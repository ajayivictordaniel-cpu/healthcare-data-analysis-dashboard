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166925"/>
  <mc:AlternateContent xmlns:mc="http://schemas.openxmlformats.org/markup-compatibility/2006">
    <mc:Choice Requires="x15">
      <x15ac:absPath xmlns:x15ac="http://schemas.microsoft.com/office/spreadsheetml/2010/11/ac" url="/Users/user/Downloads/"/>
    </mc:Choice>
  </mc:AlternateContent>
  <xr:revisionPtr revIDLastSave="0" documentId="13_ncr:1_{A169F8DC-021D-B640-BD26-2E553E706DE6}" xr6:coauthVersionLast="47" xr6:coauthVersionMax="47" xr10:uidLastSave="{00000000-0000-0000-0000-000000000000}"/>
  <bookViews>
    <workbookView xWindow="0" yWindow="600" windowWidth="28800" windowHeight="17100" activeTab="4" xr2:uid="{7CE09B62-B45E-40A9-9883-FA5E74B11181}"/>
  </bookViews>
  <sheets>
    <sheet name="Dashboard" sheetId="14" r:id="rId1"/>
    <sheet name="Analysis" sheetId="15" r:id="rId2"/>
    <sheet name="Pivot Table" sheetId="12" r:id="rId3"/>
    <sheet name="Wire Frame" sheetId="13" r:id="rId4"/>
    <sheet name="Calculated Metrics" sheetId="5" r:id="rId5"/>
    <sheet name="Cleaned Data" sheetId="3" r:id="rId6"/>
    <sheet name="Raw Data" sheetId="1" r:id="rId7"/>
    <sheet name="Doctor_Info" sheetId="2" r:id="rId8"/>
  </sheets>
  <definedNames>
    <definedName name="_xlnm._FilterDatabase" localSheetId="4" hidden="1">'Calculated Metrics'!$A$1:$Q$1</definedName>
    <definedName name="_xlnm._FilterDatabase" localSheetId="5" hidden="1">'Cleaned Data'!$A$1:$J$1</definedName>
    <definedName name="_xlnm._FilterDatabase" localSheetId="6" hidden="1">'Raw Data'!$A$1:$K$32</definedName>
    <definedName name="Slicer_Age_Group">#N/A</definedName>
    <definedName name="Slicer_Gender">#N/A</definedName>
    <definedName name="Slicer_Month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5" l="1" a="1"/>
  <c r="I2" i="5" s="1"/>
  <c r="I3" i="5" a="1"/>
  <c r="I3" i="5" s="1"/>
  <c r="I4" i="5" a="1"/>
  <c r="I4" i="5" s="1"/>
  <c r="I5" i="5" a="1"/>
  <c r="I5" i="5" s="1"/>
  <c r="I6" i="5" a="1"/>
  <c r="I6" i="5" s="1"/>
  <c r="I7" i="5" a="1"/>
  <c r="I7" i="5" s="1"/>
  <c r="I8" i="5" a="1"/>
  <c r="I8" i="5" s="1"/>
  <c r="I9" i="5" a="1"/>
  <c r="I9" i="5" s="1"/>
  <c r="I10" i="5" a="1"/>
  <c r="I10" i="5" s="1"/>
  <c r="I11" i="5" a="1"/>
  <c r="I11" i="5" s="1"/>
  <c r="I12" i="5" a="1"/>
  <c r="I12" i="5" s="1"/>
  <c r="I13" i="5" a="1"/>
  <c r="I13" i="5" s="1"/>
  <c r="I14" i="5" a="1"/>
  <c r="I14" i="5" s="1"/>
  <c r="I15" i="5" a="1"/>
  <c r="I15" i="5" s="1"/>
  <c r="I16" i="5" a="1"/>
  <c r="I16" i="5" s="1"/>
  <c r="I17" i="5" a="1"/>
  <c r="I17" i="5" s="1"/>
  <c r="I18" i="5" a="1"/>
  <c r="I18" i="5" s="1"/>
  <c r="I19" i="5" a="1"/>
  <c r="I19" i="5" s="1"/>
  <c r="I20" i="5" a="1"/>
  <c r="I20" i="5" s="1"/>
  <c r="I21" i="5" a="1"/>
  <c r="I21" i="5" s="1"/>
  <c r="I22" i="5" a="1"/>
  <c r="I22" i="5" s="1"/>
  <c r="I23" i="5" a="1"/>
  <c r="I23" i="5" s="1"/>
  <c r="I24" i="5" a="1"/>
  <c r="I24" i="5" s="1"/>
  <c r="I25" i="5" a="1"/>
  <c r="I25" i="5" s="1"/>
  <c r="I26" i="5" a="1"/>
  <c r="I26" i="5" s="1"/>
  <c r="I27" i="5" a="1"/>
  <c r="I27" i="5" s="1"/>
  <c r="I28" i="5" a="1"/>
  <c r="I28" i="5" s="1"/>
  <c r="I29" i="5" a="1"/>
  <c r="I29" i="5" s="1"/>
  <c r="I30" i="5" a="1"/>
  <c r="I30" i="5" s="1"/>
  <c r="I31" i="5" a="1"/>
  <c r="I31" i="5" s="1"/>
  <c r="I32" i="5" a="1"/>
  <c r="I32" i="5" s="1"/>
  <c r="I33" i="5" a="1"/>
  <c r="I33" i="5" s="1"/>
  <c r="I34" i="5" a="1"/>
  <c r="I34" i="5" s="1"/>
  <c r="I35" i="5" a="1"/>
  <c r="I35" i="5" s="1"/>
  <c r="I36" i="5" a="1"/>
  <c r="I36" i="5" s="1"/>
  <c r="I37" i="5" a="1"/>
  <c r="I37" i="5" s="1"/>
  <c r="I38" i="5" a="1"/>
  <c r="I38" i="5" s="1"/>
  <c r="I39" i="5" a="1"/>
  <c r="I39" i="5" s="1"/>
  <c r="I40" i="5" a="1"/>
  <c r="I40" i="5" s="1"/>
  <c r="I41" i="5" a="1"/>
  <c r="I41" i="5" s="1"/>
  <c r="I42" i="5" a="1"/>
  <c r="I42" i="5" s="1"/>
  <c r="I43" i="5" a="1"/>
  <c r="I43" i="5" s="1"/>
  <c r="I44" i="5" a="1"/>
  <c r="I44" i="5" s="1"/>
  <c r="I45" i="5" a="1"/>
  <c r="I45" i="5" s="1"/>
  <c r="I46" i="5" a="1"/>
  <c r="I46" i="5" s="1"/>
  <c r="I47" i="5" a="1"/>
  <c r="I47" i="5" s="1"/>
  <c r="I48" i="5" a="1"/>
  <c r="I48" i="5" s="1"/>
  <c r="I49" i="5" a="1"/>
  <c r="I49" i="5" s="1"/>
  <c r="I50" i="5" a="1"/>
  <c r="I50" i="5" s="1"/>
  <c r="I51" i="5" a="1"/>
  <c r="I51" i="5" s="1"/>
  <c r="I52" i="5" a="1"/>
  <c r="I52" i="5" s="1"/>
  <c r="I53" i="5" a="1"/>
  <c r="I53" i="5" s="1"/>
  <c r="I54" i="5" a="1"/>
  <c r="I54" i="5" s="1"/>
  <c r="I55" i="5" a="1"/>
  <c r="I55" i="5" s="1"/>
  <c r="I56" i="5" a="1"/>
  <c r="I56" i="5" s="1"/>
  <c r="I57" i="5" a="1"/>
  <c r="I57" i="5" s="1"/>
  <c r="I58" i="5" a="1"/>
  <c r="I58" i="5" s="1"/>
  <c r="I59" i="5" a="1"/>
  <c r="I59" i="5" s="1"/>
  <c r="I60" i="5" a="1"/>
  <c r="I60" i="5" s="1"/>
  <c r="I61" i="5" a="1"/>
  <c r="I61" i="5" s="1"/>
  <c r="I62" i="5" a="1"/>
  <c r="I62" i="5" s="1"/>
  <c r="I63" i="5" a="1"/>
  <c r="I63" i="5" s="1"/>
  <c r="I64" i="5" a="1"/>
  <c r="I64" i="5" s="1"/>
  <c r="I65" i="5" a="1"/>
  <c r="I65" i="5" s="1"/>
  <c r="I66" i="5" a="1"/>
  <c r="I66" i="5" s="1"/>
  <c r="I67" i="5" a="1"/>
  <c r="I67" i="5" s="1"/>
  <c r="I68" i="5" a="1"/>
  <c r="I68" i="5" s="1"/>
  <c r="I69" i="5" a="1"/>
  <c r="I69" i="5" s="1"/>
  <c r="I70" i="5" a="1"/>
  <c r="I70" i="5" s="1"/>
  <c r="I71" i="5" a="1"/>
  <c r="I71" i="5" s="1"/>
  <c r="I72" i="5" a="1"/>
  <c r="I72" i="5" s="1"/>
  <c r="I73" i="5" a="1"/>
  <c r="I73" i="5" s="1"/>
  <c r="I74" i="5" a="1"/>
  <c r="I74" i="5" s="1"/>
  <c r="I75" i="5" a="1"/>
  <c r="I75" i="5" s="1"/>
  <c r="I76" i="5" a="1"/>
  <c r="I76" i="5" s="1"/>
  <c r="I77" i="5" a="1"/>
  <c r="I77" i="5" s="1"/>
  <c r="I78" i="5" a="1"/>
  <c r="I78" i="5" s="1"/>
  <c r="I79" i="5" a="1"/>
  <c r="I79" i="5" s="1"/>
  <c r="I80" i="5" a="1"/>
  <c r="I80" i="5" s="1"/>
  <c r="I81" i="5" a="1"/>
  <c r="I81" i="5" s="1"/>
  <c r="I82" i="5" a="1"/>
  <c r="I82" i="5" s="1"/>
  <c r="I83" i="5" a="1"/>
  <c r="I83" i="5" s="1"/>
  <c r="I84" i="5" a="1"/>
  <c r="I84" i="5" s="1"/>
  <c r="I85" i="5" a="1"/>
  <c r="I85" i="5" s="1"/>
  <c r="I86" i="5" a="1"/>
  <c r="I86" i="5" s="1"/>
  <c r="I87" i="5" a="1"/>
  <c r="I87" i="5" s="1"/>
  <c r="I88" i="5" a="1"/>
  <c r="I88" i="5" s="1"/>
  <c r="I89" i="5" a="1"/>
  <c r="I89" i="5" s="1"/>
  <c r="I90" i="5" a="1"/>
  <c r="I90" i="5" s="1"/>
  <c r="I91" i="5" a="1"/>
  <c r="I91" i="5" s="1"/>
  <c r="I92" i="5" a="1"/>
  <c r="I92" i="5" s="1"/>
  <c r="I93" i="5" a="1"/>
  <c r="I93" i="5" s="1"/>
  <c r="I94" i="5" a="1"/>
  <c r="I94" i="5" s="1"/>
  <c r="I95" i="5" a="1"/>
  <c r="I95" i="5" s="1"/>
  <c r="I96" i="5" a="1"/>
  <c r="I96" i="5" s="1"/>
  <c r="I97" i="5" a="1"/>
  <c r="I97" i="5" s="1"/>
  <c r="I98" i="5" a="1"/>
  <c r="I98" i="5" s="1"/>
  <c r="I99" i="5" a="1"/>
  <c r="I99" i="5" s="1"/>
  <c r="I100" i="5" a="1"/>
  <c r="I100" i="5" s="1"/>
  <c r="I101" i="5" a="1"/>
  <c r="I101" i="5" s="1"/>
  <c r="I102" i="5" a="1"/>
  <c r="I102" i="5" s="1"/>
  <c r="I103" i="5" a="1"/>
  <c r="I103" i="5" s="1"/>
  <c r="I104" i="5" a="1"/>
  <c r="I104" i="5" s="1"/>
  <c r="I105" i="5" a="1"/>
  <c r="I105" i="5" s="1"/>
  <c r="I106" i="5" a="1"/>
  <c r="I106" i="5" s="1"/>
  <c r="I107" i="5" a="1"/>
  <c r="I107" i="5" s="1"/>
  <c r="I108" i="5" a="1"/>
  <c r="I108" i="5" s="1"/>
  <c r="I109" i="5" a="1"/>
  <c r="I109" i="5" s="1"/>
  <c r="I110" i="5" a="1"/>
  <c r="I110" i="5" s="1"/>
  <c r="I111" i="5" a="1"/>
  <c r="I111" i="5" s="1"/>
  <c r="I112" i="5" a="1"/>
  <c r="I112" i="5" s="1"/>
  <c r="I113" i="5" a="1"/>
  <c r="I113" i="5" s="1"/>
  <c r="I114" i="5" a="1"/>
  <c r="I114" i="5" s="1"/>
  <c r="I115" i="5" a="1"/>
  <c r="I115" i="5" s="1"/>
  <c r="I116" i="5" a="1"/>
  <c r="I116" i="5" s="1"/>
  <c r="I117" i="5" a="1"/>
  <c r="I117" i="5" s="1"/>
  <c r="I118" i="5" a="1"/>
  <c r="I118" i="5" s="1"/>
  <c r="I119" i="5" a="1"/>
  <c r="I119" i="5" s="1"/>
  <c r="I120" i="5" a="1"/>
  <c r="I120" i="5" s="1"/>
  <c r="I121" i="5" a="1"/>
  <c r="I121" i="5" s="1"/>
  <c r="I122" i="5" a="1"/>
  <c r="I122" i="5" s="1"/>
  <c r="I123" i="5" a="1"/>
  <c r="I123" i="5" s="1"/>
  <c r="I124" i="5" a="1"/>
  <c r="I124" i="5" s="1"/>
  <c r="I125" i="5" a="1"/>
  <c r="I125" i="5" s="1"/>
  <c r="I126" i="5" a="1"/>
  <c r="I126" i="5" s="1"/>
  <c r="I127" i="5" a="1"/>
  <c r="I127" i="5" s="1"/>
  <c r="I128" i="5" a="1"/>
  <c r="I128" i="5" s="1"/>
  <c r="I129" i="5" a="1"/>
  <c r="I129" i="5" s="1"/>
  <c r="I130" i="5" a="1"/>
  <c r="I130" i="5" s="1"/>
  <c r="I131" i="5" a="1"/>
  <c r="I131" i="5" s="1"/>
  <c r="I132" i="5" a="1"/>
  <c r="I132" i="5" s="1"/>
  <c r="I133" i="5" a="1"/>
  <c r="I133" i="5" s="1"/>
  <c r="I134" i="5" a="1"/>
  <c r="I134" i="5" s="1"/>
  <c r="I135" i="5" a="1"/>
  <c r="I135" i="5" s="1"/>
  <c r="I136" i="5" a="1"/>
  <c r="I136" i="5" s="1"/>
  <c r="I137" i="5" a="1"/>
  <c r="I137" i="5" s="1"/>
  <c r="I138" i="5" a="1"/>
  <c r="I138" i="5" s="1"/>
  <c r="I139" i="5" a="1"/>
  <c r="I139" i="5" s="1"/>
  <c r="I140" i="5" a="1"/>
  <c r="I140" i="5" s="1"/>
  <c r="I141" i="5" a="1"/>
  <c r="I141" i="5" s="1"/>
  <c r="I142" i="5" a="1"/>
  <c r="I142" i="5" s="1"/>
  <c r="I143" i="5" a="1"/>
  <c r="I143" i="5" s="1"/>
  <c r="I144" i="5" a="1"/>
  <c r="I144" i="5" s="1"/>
  <c r="I145" i="5" a="1"/>
  <c r="I145" i="5" s="1"/>
  <c r="I146" i="5" a="1"/>
  <c r="I146" i="5" s="1"/>
  <c r="I147" i="5" a="1"/>
  <c r="I147" i="5" s="1"/>
  <c r="I148" i="5" a="1"/>
  <c r="I148" i="5" s="1"/>
  <c r="I149" i="5" a="1"/>
  <c r="I149" i="5" s="1"/>
  <c r="I150" i="5" a="1"/>
  <c r="I150" i="5" s="1"/>
  <c r="I151" i="5" a="1"/>
  <c r="I151" i="5" s="1"/>
  <c r="I152" i="5" a="1"/>
  <c r="I152" i="5" s="1"/>
  <c r="I153" i="5" a="1"/>
  <c r="I153" i="5" s="1"/>
  <c r="I154" i="5" a="1"/>
  <c r="I154" i="5" s="1"/>
  <c r="I155" i="5" a="1"/>
  <c r="I155" i="5" s="1"/>
  <c r="I156" i="5" a="1"/>
  <c r="I156" i="5" s="1"/>
  <c r="I157" i="5" a="1"/>
  <c r="I157" i="5" s="1"/>
  <c r="I158" i="5" a="1"/>
  <c r="I158" i="5" s="1"/>
  <c r="I159" i="5" a="1"/>
  <c r="I159" i="5" s="1"/>
  <c r="I160" i="5" a="1"/>
  <c r="I160" i="5" s="1"/>
  <c r="I161" i="5" a="1"/>
  <c r="I161" i="5" s="1"/>
  <c r="I162" i="5" a="1"/>
  <c r="I162" i="5" s="1"/>
  <c r="I163" i="5" a="1"/>
  <c r="I163" i="5" s="1"/>
  <c r="I164" i="5" a="1"/>
  <c r="I164" i="5" s="1"/>
  <c r="I165" i="5" a="1"/>
  <c r="I165" i="5" s="1"/>
  <c r="I166" i="5" a="1"/>
  <c r="I166" i="5" s="1"/>
  <c r="I167" i="5" a="1"/>
  <c r="I167" i="5" s="1"/>
  <c r="I168" i="5" a="1"/>
  <c r="I168" i="5" s="1"/>
  <c r="I169" i="5" a="1"/>
  <c r="I169" i="5" s="1"/>
  <c r="I170" i="5" a="1"/>
  <c r="I170" i="5" s="1"/>
  <c r="I171" i="5" a="1"/>
  <c r="I171" i="5" s="1"/>
  <c r="I172" i="5" a="1"/>
  <c r="I172" i="5" s="1"/>
  <c r="I173" i="5" a="1"/>
  <c r="I173" i="5" s="1"/>
  <c r="I174" i="5" a="1"/>
  <c r="I174" i="5" s="1"/>
  <c r="I175" i="5" a="1"/>
  <c r="I175" i="5" s="1"/>
  <c r="I176" i="5" a="1"/>
  <c r="I176" i="5" s="1"/>
  <c r="I177" i="5" a="1"/>
  <c r="I177" i="5" s="1"/>
  <c r="I178" i="5" a="1"/>
  <c r="I178" i="5" s="1"/>
  <c r="I179" i="5" a="1"/>
  <c r="I179" i="5" s="1"/>
  <c r="I180" i="5" a="1"/>
  <c r="I180" i="5" s="1"/>
  <c r="I181" i="5" a="1"/>
  <c r="I181" i="5" s="1"/>
  <c r="I182" i="5" a="1"/>
  <c r="I182" i="5" s="1"/>
  <c r="I183" i="5" a="1"/>
  <c r="I183" i="5" s="1"/>
  <c r="I184" i="5" a="1"/>
  <c r="I184" i="5" s="1"/>
  <c r="I185" i="5" a="1"/>
  <c r="I185" i="5" s="1"/>
  <c r="I186" i="5" a="1"/>
  <c r="I186" i="5" s="1"/>
  <c r="I187" i="5" a="1"/>
  <c r="I187" i="5" s="1"/>
  <c r="I188" i="5" a="1"/>
  <c r="I188" i="5" s="1"/>
  <c r="I189" i="5" a="1"/>
  <c r="I189" i="5" s="1"/>
  <c r="I190" i="5" a="1"/>
  <c r="I190" i="5" s="1"/>
  <c r="I191" i="5" a="1"/>
  <c r="I191" i="5" s="1"/>
  <c r="I192" i="5" a="1"/>
  <c r="I192" i="5" s="1"/>
  <c r="I193" i="5" a="1"/>
  <c r="I193" i="5" s="1"/>
  <c r="I194" i="5" a="1"/>
  <c r="I194" i="5" s="1"/>
  <c r="I195" i="5" a="1"/>
  <c r="I195" i="5" s="1"/>
  <c r="I196" i="5" a="1"/>
  <c r="I196" i="5" s="1"/>
  <c r="I197" i="5" a="1"/>
  <c r="I197" i="5" s="1"/>
  <c r="I198" i="5" a="1"/>
  <c r="I198" i="5" s="1"/>
  <c r="I199" i="5" a="1"/>
  <c r="I199" i="5" s="1"/>
  <c r="I200" i="5" a="1"/>
  <c r="I200" i="5" s="1"/>
  <c r="I201" i="5" a="1"/>
  <c r="I201" i="5" s="1"/>
  <c r="I202" i="5" a="1"/>
  <c r="I202" i="5" s="1"/>
  <c r="I203" i="5" a="1"/>
  <c r="I203" i="5" s="1"/>
  <c r="I204" i="5" a="1"/>
  <c r="I204" i="5" s="1"/>
  <c r="I205" i="5" a="1"/>
  <c r="I205" i="5" s="1"/>
  <c r="I206" i="5" a="1"/>
  <c r="I206" i="5" s="1"/>
  <c r="I207" i="5" a="1"/>
  <c r="I207" i="5" s="1"/>
  <c r="I208" i="5" a="1"/>
  <c r="I208" i="5" s="1"/>
  <c r="I209" i="5" a="1"/>
  <c r="I209" i="5" s="1"/>
  <c r="I210" i="5" a="1"/>
  <c r="I210" i="5" s="1"/>
  <c r="I211" i="5" a="1"/>
  <c r="I211" i="5" s="1"/>
  <c r="I212" i="5" a="1"/>
  <c r="I212" i="5" s="1"/>
  <c r="I213" i="5" a="1"/>
  <c r="I213" i="5" s="1"/>
  <c r="I214" i="5" a="1"/>
  <c r="I214" i="5" s="1"/>
  <c r="I215" i="5" a="1"/>
  <c r="I215" i="5" s="1"/>
  <c r="I216" i="5" a="1"/>
  <c r="I216" i="5" s="1"/>
  <c r="I217" i="5" a="1"/>
  <c r="I217" i="5" s="1"/>
  <c r="I218" i="5" a="1"/>
  <c r="I218" i="5" s="1"/>
  <c r="I219" i="5" a="1"/>
  <c r="I219" i="5" s="1"/>
  <c r="I220" i="5" a="1"/>
  <c r="I220" i="5" s="1"/>
  <c r="I221" i="5" a="1"/>
  <c r="I221" i="5" s="1"/>
  <c r="I222" i="5" a="1"/>
  <c r="I222" i="5" s="1"/>
  <c r="I223" i="5" a="1"/>
  <c r="I223" i="5" s="1"/>
  <c r="I224" i="5" a="1"/>
  <c r="I224" i="5" s="1"/>
  <c r="I225" i="5" a="1"/>
  <c r="I225" i="5" s="1"/>
  <c r="I226" i="5" a="1"/>
  <c r="I226" i="5" s="1"/>
  <c r="I227" i="5" a="1"/>
  <c r="I227" i="5" s="1"/>
  <c r="I228" i="5" a="1"/>
  <c r="I228" i="5" s="1"/>
  <c r="I229" i="5" a="1"/>
  <c r="I229" i="5" s="1"/>
  <c r="I230" i="5" a="1"/>
  <c r="I230" i="5" s="1"/>
  <c r="I231" i="5" a="1"/>
  <c r="I231" i="5" s="1"/>
  <c r="I232" i="5" a="1"/>
  <c r="I232" i="5" s="1"/>
  <c r="I233" i="5" a="1"/>
  <c r="I233" i="5" s="1"/>
  <c r="I234" i="5" a="1"/>
  <c r="I234" i="5" s="1"/>
  <c r="I235" i="5" a="1"/>
  <c r="I235" i="5" s="1"/>
  <c r="I236" i="5" a="1"/>
  <c r="I236" i="5" s="1"/>
  <c r="I237" i="5" a="1"/>
  <c r="I237" i="5" s="1"/>
  <c r="I238" i="5" a="1"/>
  <c r="I238" i="5" s="1"/>
  <c r="I239" i="5" a="1"/>
  <c r="I239" i="5" s="1"/>
  <c r="I240" i="5" a="1"/>
  <c r="I240" i="5" s="1"/>
  <c r="I241" i="5" a="1"/>
  <c r="I241" i="5" s="1"/>
  <c r="I242" i="5" a="1"/>
  <c r="I242" i="5" s="1"/>
  <c r="I243" i="5" a="1"/>
  <c r="I243" i="5" s="1"/>
  <c r="I244" i="5" a="1"/>
  <c r="I244" i="5" s="1"/>
  <c r="I245" i="5" a="1"/>
  <c r="I245" i="5" s="1"/>
  <c r="I246" i="5" a="1"/>
  <c r="I246" i="5" s="1"/>
  <c r="I247" i="5" a="1"/>
  <c r="I247" i="5" s="1"/>
  <c r="I248" i="5" a="1"/>
  <c r="I248" i="5" s="1"/>
  <c r="I249" i="5" a="1"/>
  <c r="I249" i="5" s="1"/>
  <c r="I250" i="5" a="1"/>
  <c r="I250" i="5" s="1"/>
  <c r="I251" i="5" a="1"/>
  <c r="I251" i="5" s="1"/>
  <c r="I252" i="5" a="1"/>
  <c r="I252" i="5" s="1"/>
  <c r="I253" i="5" a="1"/>
  <c r="I253" i="5" s="1"/>
  <c r="I254" i="5" a="1"/>
  <c r="I254" i="5" s="1"/>
  <c r="I255" i="5" a="1"/>
  <c r="I255" i="5" s="1"/>
  <c r="I256" i="5" a="1"/>
  <c r="I256" i="5" s="1"/>
  <c r="I257" i="5" a="1"/>
  <c r="I257" i="5" s="1"/>
  <c r="I258" i="5" a="1"/>
  <c r="I258" i="5" s="1"/>
  <c r="I259" i="5" a="1"/>
  <c r="I259" i="5" s="1"/>
  <c r="I260" i="5" a="1"/>
  <c r="I260" i="5" s="1"/>
  <c r="I261" i="5" a="1"/>
  <c r="I261" i="5" s="1"/>
  <c r="I262" i="5" a="1"/>
  <c r="I262" i="5" s="1"/>
  <c r="I263" i="5" a="1"/>
  <c r="I263" i="5" s="1"/>
  <c r="I264" i="5" a="1"/>
  <c r="I264" i="5" s="1"/>
  <c r="I265" i="5" a="1"/>
  <c r="I265" i="5" s="1"/>
  <c r="I266" i="5" a="1"/>
  <c r="I266" i="5" s="1"/>
  <c r="I267" i="5" a="1"/>
  <c r="I267" i="5" s="1"/>
  <c r="I268" i="5" a="1"/>
  <c r="I268" i="5" s="1"/>
  <c r="I269" i="5" a="1"/>
  <c r="I269" i="5" s="1"/>
  <c r="I270" i="5" a="1"/>
  <c r="I270" i="5" s="1"/>
  <c r="I271" i="5" a="1"/>
  <c r="I271" i="5" s="1"/>
  <c r="I272" i="5" a="1"/>
  <c r="I272" i="5" s="1"/>
  <c r="I273" i="5" a="1"/>
  <c r="I273" i="5" s="1"/>
  <c r="I274" i="5" a="1"/>
  <c r="I274" i="5" s="1"/>
  <c r="I275" i="5" a="1"/>
  <c r="I275" i="5" s="1"/>
  <c r="I276" i="5" a="1"/>
  <c r="I276" i="5" s="1"/>
  <c r="I277" i="5" a="1"/>
  <c r="I277" i="5" s="1"/>
  <c r="I278" i="5" a="1"/>
  <c r="I278" i="5" s="1"/>
  <c r="I279" i="5" a="1"/>
  <c r="I279" i="5" s="1"/>
  <c r="I280" i="5" a="1"/>
  <c r="I280" i="5" s="1"/>
  <c r="I281" i="5" a="1"/>
  <c r="I281" i="5" s="1"/>
  <c r="I282" i="5" a="1"/>
  <c r="I282" i="5" s="1"/>
  <c r="I283" i="5" a="1"/>
  <c r="I283" i="5" s="1"/>
  <c r="I284" i="5" a="1"/>
  <c r="I284" i="5" s="1"/>
  <c r="I285" i="5" a="1"/>
  <c r="I285" i="5" s="1"/>
  <c r="I286" i="5" a="1"/>
  <c r="I286" i="5" s="1"/>
  <c r="I287" i="5" a="1"/>
  <c r="I287" i="5" s="1"/>
  <c r="I288" i="5" a="1"/>
  <c r="I288" i="5" s="1"/>
  <c r="I289" i="5" a="1"/>
  <c r="I289" i="5" s="1"/>
  <c r="I290" i="5" a="1"/>
  <c r="I290" i="5" s="1"/>
  <c r="I291" i="5" a="1"/>
  <c r="I291" i="5" s="1"/>
  <c r="I292" i="5" a="1"/>
  <c r="I292" i="5" s="1"/>
  <c r="I293" i="5" a="1"/>
  <c r="I293" i="5" s="1"/>
  <c r="I294" i="5" a="1"/>
  <c r="I294" i="5" s="1"/>
  <c r="I295" i="5" a="1"/>
  <c r="I295" i="5" s="1"/>
  <c r="I296" i="5" a="1"/>
  <c r="I296" i="5" s="1"/>
  <c r="I297" i="5" a="1"/>
  <c r="I297" i="5" s="1"/>
  <c r="I298" i="5" a="1"/>
  <c r="I298" i="5" s="1"/>
  <c r="I299" i="5" a="1"/>
  <c r="I299" i="5" s="1"/>
  <c r="I300" i="5" a="1"/>
  <c r="I300" i="5" s="1"/>
  <c r="I301" i="5" a="1"/>
  <c r="I301" i="5" s="1"/>
  <c r="I302" i="5" a="1"/>
  <c r="I302" i="5" s="1"/>
  <c r="I303" i="5" a="1"/>
  <c r="I303" i="5" s="1"/>
  <c r="I304" i="5" a="1"/>
  <c r="I304" i="5" s="1"/>
  <c r="I305" i="5" a="1"/>
  <c r="I305" i="5" s="1"/>
  <c r="I306" i="5" a="1"/>
  <c r="I306" i="5" s="1"/>
  <c r="I307" i="5" a="1"/>
  <c r="I307" i="5" s="1"/>
  <c r="I308" i="5" a="1"/>
  <c r="I308" i="5" s="1"/>
  <c r="I309" i="5" a="1"/>
  <c r="I309" i="5" s="1"/>
  <c r="I310" i="5" a="1"/>
  <c r="I310" i="5" s="1"/>
  <c r="I311" i="5" a="1"/>
  <c r="I311" i="5" s="1"/>
  <c r="I312" i="5" a="1"/>
  <c r="I312" i="5" s="1"/>
  <c r="I313" i="5" a="1"/>
  <c r="I313" i="5" s="1"/>
  <c r="I314" i="5" a="1"/>
  <c r="I314" i="5" s="1"/>
  <c r="I315" i="5" a="1"/>
  <c r="I315" i="5" s="1"/>
  <c r="I316" i="5" a="1"/>
  <c r="I316" i="5" s="1"/>
  <c r="I317" i="5" a="1"/>
  <c r="I317" i="5" s="1"/>
  <c r="I318" i="5" a="1"/>
  <c r="I318" i="5" s="1"/>
  <c r="I319" i="5" a="1"/>
  <c r="I319" i="5" s="1"/>
  <c r="I320" i="5" a="1"/>
  <c r="I320" i="5" s="1"/>
  <c r="I321" i="5" a="1"/>
  <c r="I321" i="5" s="1"/>
  <c r="I322" i="5" a="1"/>
  <c r="I322" i="5" s="1"/>
  <c r="I323" i="5" a="1"/>
  <c r="I323" i="5" s="1"/>
  <c r="I324" i="5" a="1"/>
  <c r="I324" i="5" s="1"/>
  <c r="I325" i="5" a="1"/>
  <c r="I325" i="5" s="1"/>
  <c r="I326" i="5" a="1"/>
  <c r="I326" i="5" s="1"/>
  <c r="I327" i="5" a="1"/>
  <c r="I327" i="5" s="1"/>
  <c r="I328" i="5" a="1"/>
  <c r="I328" i="5" s="1"/>
  <c r="I329" i="5" a="1"/>
  <c r="I329" i="5" s="1"/>
  <c r="I330" i="5" a="1"/>
  <c r="I330" i="5" s="1"/>
  <c r="I331" i="5" a="1"/>
  <c r="I331" i="5" s="1"/>
  <c r="I332" i="5" a="1"/>
  <c r="I332" i="5" s="1"/>
  <c r="I333" i="5" a="1"/>
  <c r="I333" i="5" s="1"/>
  <c r="I334" i="5" a="1"/>
  <c r="I334" i="5" s="1"/>
  <c r="I335" i="5" a="1"/>
  <c r="I335" i="5" s="1"/>
  <c r="I336" i="5" a="1"/>
  <c r="I336" i="5" s="1"/>
  <c r="I337" i="5" a="1"/>
  <c r="I337" i="5" s="1"/>
  <c r="I338" i="5" a="1"/>
  <c r="I338" i="5" s="1"/>
  <c r="I339" i="5" a="1"/>
  <c r="I339" i="5" s="1"/>
  <c r="I340" i="5" a="1"/>
  <c r="I340" i="5" s="1"/>
  <c r="I341" i="5" a="1"/>
  <c r="I341" i="5" s="1"/>
  <c r="I342" i="5" a="1"/>
  <c r="I342" i="5" s="1"/>
  <c r="I343" i="5" a="1"/>
  <c r="I343" i="5" s="1"/>
  <c r="I344" i="5" a="1"/>
  <c r="I344" i="5" s="1"/>
  <c r="I345" i="5" a="1"/>
  <c r="I345" i="5" s="1"/>
  <c r="I346" i="5" a="1"/>
  <c r="I346" i="5" s="1"/>
  <c r="I347" i="5" a="1"/>
  <c r="I347" i="5" s="1"/>
  <c r="I348" i="5" a="1"/>
  <c r="I348" i="5" s="1"/>
  <c r="I349" i="5" a="1"/>
  <c r="I349" i="5" s="1"/>
  <c r="I350" i="5" a="1"/>
  <c r="I350" i="5" s="1"/>
  <c r="I351" i="5" a="1"/>
  <c r="I351" i="5" s="1"/>
  <c r="I352" i="5" a="1"/>
  <c r="I352" i="5" s="1"/>
  <c r="I353" i="5" a="1"/>
  <c r="I353" i="5" s="1"/>
  <c r="I354" i="5" a="1"/>
  <c r="I354" i="5" s="1"/>
  <c r="I355" i="5" a="1"/>
  <c r="I355" i="5" s="1"/>
  <c r="I356" i="5" a="1"/>
  <c r="I356" i="5" s="1"/>
  <c r="I357" i="5" a="1"/>
  <c r="I357" i="5" s="1"/>
  <c r="I358" i="5" a="1"/>
  <c r="I358" i="5" s="1"/>
  <c r="I359" i="5" a="1"/>
  <c r="I359" i="5" s="1"/>
  <c r="I360" i="5" a="1"/>
  <c r="I360" i="5" s="1"/>
  <c r="I361" i="5" a="1"/>
  <c r="I361" i="5" s="1"/>
  <c r="I362" i="5" a="1"/>
  <c r="I362" i="5" s="1"/>
  <c r="I363" i="5" a="1"/>
  <c r="I363" i="5" s="1"/>
  <c r="I364" i="5" a="1"/>
  <c r="I364" i="5" s="1"/>
  <c r="I365" i="5" a="1"/>
  <c r="I365" i="5" s="1"/>
  <c r="I366" i="5" a="1"/>
  <c r="I366" i="5" s="1"/>
  <c r="I367" i="5" a="1"/>
  <c r="I367" i="5" s="1"/>
  <c r="I368" i="5" a="1"/>
  <c r="I368" i="5" s="1"/>
  <c r="I369" i="5" a="1"/>
  <c r="I369" i="5" s="1"/>
  <c r="I370" i="5" a="1"/>
  <c r="I370" i="5" s="1"/>
  <c r="I371" i="5" a="1"/>
  <c r="I371" i="5" s="1"/>
  <c r="I372" i="5" a="1"/>
  <c r="I372" i="5" s="1"/>
  <c r="I373" i="5" a="1"/>
  <c r="I373" i="5" s="1"/>
  <c r="I374" i="5" a="1"/>
  <c r="I374" i="5" s="1"/>
  <c r="I375" i="5" a="1"/>
  <c r="I375" i="5" s="1"/>
  <c r="I376" i="5" a="1"/>
  <c r="I376" i="5" s="1"/>
  <c r="I377" i="5" a="1"/>
  <c r="I377" i="5" s="1"/>
  <c r="I378" i="5" a="1"/>
  <c r="I378" i="5" s="1"/>
  <c r="I379" i="5" a="1"/>
  <c r="I379" i="5" s="1"/>
  <c r="I380" i="5" a="1"/>
  <c r="I380" i="5" s="1"/>
  <c r="I381" i="5" a="1"/>
  <c r="I381" i="5" s="1"/>
  <c r="I382" i="5" a="1"/>
  <c r="I382" i="5" s="1"/>
  <c r="I383" i="5" a="1"/>
  <c r="I383" i="5" s="1"/>
  <c r="I384" i="5" a="1"/>
  <c r="I384" i="5" s="1"/>
  <c r="I385" i="5" a="1"/>
  <c r="I385" i="5" s="1"/>
  <c r="I386" i="5" a="1"/>
  <c r="I386" i="5" s="1"/>
  <c r="I387" i="5" a="1"/>
  <c r="I387" i="5" s="1"/>
  <c r="I388" i="5" a="1"/>
  <c r="I388" i="5" s="1"/>
  <c r="I389" i="5" a="1"/>
  <c r="I389" i="5" s="1"/>
  <c r="I390" i="5" a="1"/>
  <c r="I390" i="5" s="1"/>
  <c r="I391" i="5" a="1"/>
  <c r="I391" i="5" s="1"/>
  <c r="I392" i="5" a="1"/>
  <c r="I392" i="5" s="1"/>
  <c r="I393" i="5" a="1"/>
  <c r="I393" i="5" s="1"/>
  <c r="I394" i="5" a="1"/>
  <c r="I394" i="5" s="1"/>
  <c r="I395" i="5" a="1"/>
  <c r="I395" i="5" s="1"/>
  <c r="I396" i="5" a="1"/>
  <c r="I396" i="5" s="1"/>
  <c r="I397" i="5" a="1"/>
  <c r="I397" i="5" s="1"/>
  <c r="I398" i="5" a="1"/>
  <c r="I398" i="5" s="1"/>
  <c r="I399" i="5" a="1"/>
  <c r="I399" i="5" s="1"/>
  <c r="I400" i="5" a="1"/>
  <c r="I400" i="5" s="1"/>
  <c r="I401" i="5" a="1"/>
  <c r="I401" i="5" s="1"/>
  <c r="I402" i="5" a="1"/>
  <c r="I402" i="5" s="1"/>
  <c r="I403" i="5" a="1"/>
  <c r="I403" i="5" s="1"/>
  <c r="I404" i="5" a="1"/>
  <c r="I404" i="5" s="1"/>
  <c r="I405" i="5" a="1"/>
  <c r="I405" i="5" s="1"/>
  <c r="I406" i="5" a="1"/>
  <c r="I406" i="5" s="1"/>
  <c r="I407" i="5" a="1"/>
  <c r="I407" i="5" s="1"/>
  <c r="I408" i="5" a="1"/>
  <c r="I408" i="5" s="1"/>
  <c r="I409" i="5" a="1"/>
  <c r="I409" i="5" s="1"/>
  <c r="I410" i="5" a="1"/>
  <c r="I410" i="5" s="1"/>
  <c r="I411" i="5" a="1"/>
  <c r="I411" i="5" s="1"/>
  <c r="I412" i="5" a="1"/>
  <c r="I412" i="5" s="1"/>
  <c r="I413" i="5" a="1"/>
  <c r="I413" i="5" s="1"/>
  <c r="I414" i="5" a="1"/>
  <c r="I414" i="5" s="1"/>
  <c r="I415" i="5" a="1"/>
  <c r="I415" i="5" s="1"/>
  <c r="I416" i="5" a="1"/>
  <c r="I416" i="5" s="1"/>
  <c r="I417" i="5" a="1"/>
  <c r="I417" i="5" s="1"/>
  <c r="I418" i="5" a="1"/>
  <c r="I418" i="5" s="1"/>
  <c r="I419" i="5" a="1"/>
  <c r="I419" i="5" s="1"/>
  <c r="I420" i="5" a="1"/>
  <c r="I420" i="5" s="1"/>
  <c r="I421" i="5" a="1"/>
  <c r="I421" i="5" s="1"/>
  <c r="I422" i="5" a="1"/>
  <c r="I422" i="5" s="1"/>
  <c r="I423" i="5" a="1"/>
  <c r="I423" i="5" s="1"/>
  <c r="I424" i="5" a="1"/>
  <c r="I424" i="5" s="1"/>
  <c r="I425" i="5" a="1"/>
  <c r="I425" i="5" s="1"/>
  <c r="I426" i="5" a="1"/>
  <c r="I426" i="5" s="1"/>
  <c r="I427" i="5" a="1"/>
  <c r="I427" i="5" s="1"/>
  <c r="I428" i="5" a="1"/>
  <c r="I428" i="5" s="1"/>
  <c r="I429" i="5" a="1"/>
  <c r="I429" i="5" s="1"/>
  <c r="I430" i="5" a="1"/>
  <c r="I430" i="5" s="1"/>
  <c r="I431" i="5" a="1"/>
  <c r="I431" i="5" s="1"/>
  <c r="I432" i="5" a="1"/>
  <c r="I432" i="5" s="1"/>
  <c r="I433" i="5" a="1"/>
  <c r="I433" i="5" s="1"/>
  <c r="I434" i="5" a="1"/>
  <c r="I434" i="5" s="1"/>
  <c r="I435" i="5" a="1"/>
  <c r="I435" i="5" s="1"/>
  <c r="I436" i="5" a="1"/>
  <c r="I436" i="5" s="1"/>
  <c r="I437" i="5" a="1"/>
  <c r="I437" i="5" s="1"/>
  <c r="I438" i="5" a="1"/>
  <c r="I438" i="5" s="1"/>
  <c r="I439" i="5" a="1"/>
  <c r="I439" i="5" s="1"/>
  <c r="I440" i="5" a="1"/>
  <c r="I440" i="5" s="1"/>
  <c r="I441" i="5" a="1"/>
  <c r="I441" i="5" s="1"/>
  <c r="I442" i="5" a="1"/>
  <c r="I442" i="5" s="1"/>
  <c r="I443" i="5" a="1"/>
  <c r="I443" i="5" s="1"/>
  <c r="I444" i="5" a="1"/>
  <c r="I444" i="5" s="1"/>
  <c r="I445" i="5" a="1"/>
  <c r="I445" i="5" s="1"/>
  <c r="I446" i="5" a="1"/>
  <c r="I446" i="5" s="1"/>
  <c r="I447" i="5" a="1"/>
  <c r="I447" i="5" s="1"/>
  <c r="I448" i="5" a="1"/>
  <c r="I448" i="5" s="1"/>
  <c r="I449" i="5" a="1"/>
  <c r="I449" i="5" s="1"/>
  <c r="I450" i="5" a="1"/>
  <c r="I450" i="5" s="1"/>
  <c r="I451" i="5" a="1"/>
  <c r="I451" i="5" s="1"/>
  <c r="I452" i="5" a="1"/>
  <c r="I452" i="5" s="1"/>
  <c r="I453" i="5" a="1"/>
  <c r="I453" i="5" s="1"/>
  <c r="I454" i="5" a="1"/>
  <c r="I454" i="5" s="1"/>
  <c r="I455" i="5" a="1"/>
  <c r="I455" i="5" s="1"/>
  <c r="I456" i="5" a="1"/>
  <c r="I456" i="5" s="1"/>
  <c r="I457" i="5" a="1"/>
  <c r="I457" i="5" s="1"/>
  <c r="I458" i="5" a="1"/>
  <c r="I458" i="5" s="1"/>
  <c r="I459" i="5" a="1"/>
  <c r="I459" i="5" s="1"/>
  <c r="I460" i="5" a="1"/>
  <c r="I460" i="5" s="1"/>
  <c r="I461" i="5" a="1"/>
  <c r="I461" i="5" s="1"/>
  <c r="I462" i="5" a="1"/>
  <c r="I462" i="5" s="1"/>
  <c r="I463" i="5" a="1"/>
  <c r="I463" i="5" s="1"/>
  <c r="I464" i="5" a="1"/>
  <c r="I464" i="5" s="1"/>
  <c r="I465" i="5" a="1"/>
  <c r="I465" i="5" s="1"/>
  <c r="I466" i="5" a="1"/>
  <c r="I466" i="5" s="1"/>
  <c r="I467" i="5" a="1"/>
  <c r="I467" i="5" s="1"/>
  <c r="I468" i="5" a="1"/>
  <c r="I468" i="5" s="1"/>
  <c r="I469" i="5" a="1"/>
  <c r="I469" i="5" s="1"/>
  <c r="I470" i="5" a="1"/>
  <c r="I470" i="5" s="1"/>
  <c r="I471" i="5" a="1"/>
  <c r="I471" i="5" s="1"/>
  <c r="I472" i="5" a="1"/>
  <c r="I472" i="5" s="1"/>
  <c r="I473" i="5" a="1"/>
  <c r="I473" i="5" s="1"/>
  <c r="I474" i="5" a="1"/>
  <c r="I474" i="5" s="1"/>
  <c r="I475" i="5" a="1"/>
  <c r="I475" i="5" s="1"/>
  <c r="I476" i="5" a="1"/>
  <c r="I476" i="5" s="1"/>
  <c r="I477" i="5" a="1"/>
  <c r="I477" i="5" s="1"/>
  <c r="I478" i="5" a="1"/>
  <c r="I478" i="5" s="1"/>
  <c r="I479" i="5" a="1"/>
  <c r="I479" i="5" s="1"/>
  <c r="I480" i="5" a="1"/>
  <c r="I480" i="5" s="1"/>
  <c r="I481" i="5" a="1"/>
  <c r="I481" i="5" s="1"/>
  <c r="I482" i="5" a="1"/>
  <c r="I482" i="5" s="1"/>
  <c r="I483" i="5" a="1"/>
  <c r="I483" i="5" s="1"/>
  <c r="I484" i="5" a="1"/>
  <c r="I484" i="5" s="1"/>
  <c r="B34" i="12"/>
  <c r="C34" i="12" s="1"/>
  <c r="B24" i="12"/>
  <c r="C24" i="12" s="1"/>
  <c r="U2" i="5"/>
  <c r="U3"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U125" i="5"/>
  <c r="U126" i="5"/>
  <c r="U127" i="5"/>
  <c r="U128" i="5"/>
  <c r="U129" i="5"/>
  <c r="U130" i="5"/>
  <c r="U131" i="5"/>
  <c r="U132" i="5"/>
  <c r="U133" i="5"/>
  <c r="U134" i="5"/>
  <c r="U135" i="5"/>
  <c r="U136" i="5"/>
  <c r="U137" i="5"/>
  <c r="U138" i="5"/>
  <c r="U139" i="5"/>
  <c r="U140" i="5"/>
  <c r="U141" i="5"/>
  <c r="U142" i="5"/>
  <c r="U143" i="5"/>
  <c r="U144" i="5"/>
  <c r="U145" i="5"/>
  <c r="U146" i="5"/>
  <c r="U147" i="5"/>
  <c r="U148" i="5"/>
  <c r="U149" i="5"/>
  <c r="U150" i="5"/>
  <c r="U151" i="5"/>
  <c r="U152" i="5"/>
  <c r="U153" i="5"/>
  <c r="U154" i="5"/>
  <c r="U155" i="5"/>
  <c r="U156" i="5"/>
  <c r="U157" i="5"/>
  <c r="U158" i="5"/>
  <c r="U159" i="5"/>
  <c r="U160" i="5"/>
  <c r="U161" i="5"/>
  <c r="U162" i="5"/>
  <c r="U163" i="5"/>
  <c r="U164" i="5"/>
  <c r="U165" i="5"/>
  <c r="U166" i="5"/>
  <c r="U167" i="5"/>
  <c r="U168" i="5"/>
  <c r="U169" i="5"/>
  <c r="U170" i="5"/>
  <c r="U171" i="5"/>
  <c r="U172" i="5"/>
  <c r="U173" i="5"/>
  <c r="U174" i="5"/>
  <c r="U175" i="5"/>
  <c r="U176" i="5"/>
  <c r="U177" i="5"/>
  <c r="U178" i="5"/>
  <c r="U179" i="5"/>
  <c r="U180" i="5"/>
  <c r="U181" i="5"/>
  <c r="U182" i="5"/>
  <c r="U183" i="5"/>
  <c r="U184" i="5"/>
  <c r="U185" i="5"/>
  <c r="U186" i="5"/>
  <c r="U187" i="5"/>
  <c r="U188" i="5"/>
  <c r="U189" i="5"/>
  <c r="U190" i="5"/>
  <c r="U191" i="5"/>
  <c r="U192" i="5"/>
  <c r="U193" i="5"/>
  <c r="U194" i="5"/>
  <c r="U195" i="5"/>
  <c r="U196" i="5"/>
  <c r="U197" i="5"/>
  <c r="U198" i="5"/>
  <c r="U199" i="5"/>
  <c r="U200" i="5"/>
  <c r="U201" i="5"/>
  <c r="U202" i="5"/>
  <c r="U203" i="5"/>
  <c r="U204" i="5"/>
  <c r="U205" i="5"/>
  <c r="U206" i="5"/>
  <c r="U207" i="5"/>
  <c r="U208" i="5"/>
  <c r="U209" i="5"/>
  <c r="U210" i="5"/>
  <c r="U211" i="5"/>
  <c r="U212" i="5"/>
  <c r="U213" i="5"/>
  <c r="U214" i="5"/>
  <c r="U215" i="5"/>
  <c r="U216" i="5"/>
  <c r="U217" i="5"/>
  <c r="U218" i="5"/>
  <c r="U219" i="5"/>
  <c r="U220" i="5"/>
  <c r="U221" i="5"/>
  <c r="U222" i="5"/>
  <c r="U223" i="5"/>
  <c r="U224" i="5"/>
  <c r="U225" i="5"/>
  <c r="U226" i="5"/>
  <c r="U227" i="5"/>
  <c r="U228" i="5"/>
  <c r="U229" i="5"/>
  <c r="U230" i="5"/>
  <c r="U231" i="5"/>
  <c r="U232" i="5"/>
  <c r="U233" i="5"/>
  <c r="U234" i="5"/>
  <c r="U235" i="5"/>
  <c r="U236" i="5"/>
  <c r="U237" i="5"/>
  <c r="U238" i="5"/>
  <c r="U239" i="5"/>
  <c r="U240" i="5"/>
  <c r="U241" i="5"/>
  <c r="U242" i="5"/>
  <c r="U243" i="5"/>
  <c r="U244" i="5"/>
  <c r="U245" i="5"/>
  <c r="U246" i="5"/>
  <c r="U247" i="5"/>
  <c r="U248" i="5"/>
  <c r="U249" i="5"/>
  <c r="U250" i="5"/>
  <c r="U251" i="5"/>
  <c r="U252" i="5"/>
  <c r="U253" i="5"/>
  <c r="U254" i="5"/>
  <c r="U255" i="5"/>
  <c r="U256" i="5"/>
  <c r="U257" i="5"/>
  <c r="U258" i="5"/>
  <c r="U259" i="5"/>
  <c r="U260" i="5"/>
  <c r="U261" i="5"/>
  <c r="U262" i="5"/>
  <c r="U263" i="5"/>
  <c r="U264" i="5"/>
  <c r="U265" i="5"/>
  <c r="U266" i="5"/>
  <c r="U267" i="5"/>
  <c r="U268" i="5"/>
  <c r="U269" i="5"/>
  <c r="U270" i="5"/>
  <c r="U271" i="5"/>
  <c r="U272" i="5"/>
  <c r="U273" i="5"/>
  <c r="U274" i="5"/>
  <c r="U275" i="5"/>
  <c r="U276" i="5"/>
  <c r="U277" i="5"/>
  <c r="U278" i="5"/>
  <c r="U279" i="5"/>
  <c r="U280" i="5"/>
  <c r="U281" i="5"/>
  <c r="U282" i="5"/>
  <c r="U283" i="5"/>
  <c r="U284" i="5"/>
  <c r="U285" i="5"/>
  <c r="U286" i="5"/>
  <c r="U287" i="5"/>
  <c r="U288" i="5"/>
  <c r="U289" i="5"/>
  <c r="U290" i="5"/>
  <c r="U291" i="5"/>
  <c r="U292" i="5"/>
  <c r="U293" i="5"/>
  <c r="U294" i="5"/>
  <c r="U295" i="5"/>
  <c r="U296" i="5"/>
  <c r="U297" i="5"/>
  <c r="U298" i="5"/>
  <c r="U299" i="5"/>
  <c r="U300" i="5"/>
  <c r="U301" i="5"/>
  <c r="U302" i="5"/>
  <c r="U303" i="5"/>
  <c r="U304" i="5"/>
  <c r="U305" i="5"/>
  <c r="U306" i="5"/>
  <c r="U307" i="5"/>
  <c r="U308" i="5"/>
  <c r="U309" i="5"/>
  <c r="U310" i="5"/>
  <c r="U311" i="5"/>
  <c r="U312" i="5"/>
  <c r="U313" i="5"/>
  <c r="U314" i="5"/>
  <c r="U315" i="5"/>
  <c r="U316" i="5"/>
  <c r="U317" i="5"/>
  <c r="U318" i="5"/>
  <c r="U319" i="5"/>
  <c r="U320" i="5"/>
  <c r="U321" i="5"/>
  <c r="U322" i="5"/>
  <c r="U323" i="5"/>
  <c r="U324" i="5"/>
  <c r="U325" i="5"/>
  <c r="U326" i="5"/>
  <c r="U327" i="5"/>
  <c r="U328" i="5"/>
  <c r="U329" i="5"/>
  <c r="U330" i="5"/>
  <c r="U331" i="5"/>
  <c r="U332" i="5"/>
  <c r="U333" i="5"/>
  <c r="U334" i="5"/>
  <c r="U335" i="5"/>
  <c r="U336" i="5"/>
  <c r="U337" i="5"/>
  <c r="U338" i="5"/>
  <c r="U339" i="5"/>
  <c r="U340" i="5"/>
  <c r="U341" i="5"/>
  <c r="U342" i="5"/>
  <c r="U343" i="5"/>
  <c r="U344" i="5"/>
  <c r="U345" i="5"/>
  <c r="U346" i="5"/>
  <c r="U347" i="5"/>
  <c r="U348" i="5"/>
  <c r="U349" i="5"/>
  <c r="U350" i="5"/>
  <c r="U351" i="5"/>
  <c r="U352" i="5"/>
  <c r="U353" i="5"/>
  <c r="U354" i="5"/>
  <c r="U355" i="5"/>
  <c r="U356" i="5"/>
  <c r="U357" i="5"/>
  <c r="U358" i="5"/>
  <c r="U359" i="5"/>
  <c r="U360" i="5"/>
  <c r="U361" i="5"/>
  <c r="U362" i="5"/>
  <c r="U363" i="5"/>
  <c r="U364" i="5"/>
  <c r="U365" i="5"/>
  <c r="U366" i="5"/>
  <c r="U367" i="5"/>
  <c r="U368" i="5"/>
  <c r="U369" i="5"/>
  <c r="U370" i="5"/>
  <c r="U371" i="5"/>
  <c r="U372" i="5"/>
  <c r="U373" i="5"/>
  <c r="U374" i="5"/>
  <c r="U375" i="5"/>
  <c r="U376" i="5"/>
  <c r="U377" i="5"/>
  <c r="U378" i="5"/>
  <c r="U379" i="5"/>
  <c r="U380" i="5"/>
  <c r="U381" i="5"/>
  <c r="U382" i="5"/>
  <c r="U383" i="5"/>
  <c r="U384" i="5"/>
  <c r="U385" i="5"/>
  <c r="U386" i="5"/>
  <c r="U387" i="5"/>
  <c r="U388" i="5"/>
  <c r="U389" i="5"/>
  <c r="U390" i="5"/>
  <c r="U391" i="5"/>
  <c r="U392" i="5"/>
  <c r="U393" i="5"/>
  <c r="U394" i="5"/>
  <c r="U395" i="5"/>
  <c r="U396" i="5"/>
  <c r="U397" i="5"/>
  <c r="U398" i="5"/>
  <c r="U399" i="5"/>
  <c r="U400" i="5"/>
  <c r="U401" i="5"/>
  <c r="U402" i="5"/>
  <c r="U403" i="5"/>
  <c r="U404" i="5"/>
  <c r="U405" i="5"/>
  <c r="U406" i="5"/>
  <c r="U407" i="5"/>
  <c r="U408" i="5"/>
  <c r="U409" i="5"/>
  <c r="U410" i="5"/>
  <c r="U411" i="5"/>
  <c r="U412" i="5"/>
  <c r="U413" i="5"/>
  <c r="U414" i="5"/>
  <c r="U415" i="5"/>
  <c r="U416" i="5"/>
  <c r="U417" i="5"/>
  <c r="U418" i="5"/>
  <c r="U419" i="5"/>
  <c r="U420" i="5"/>
  <c r="U421" i="5"/>
  <c r="U422" i="5"/>
  <c r="U423" i="5"/>
  <c r="U424" i="5"/>
  <c r="U425" i="5"/>
  <c r="U426" i="5"/>
  <c r="U427" i="5"/>
  <c r="U428" i="5"/>
  <c r="U429" i="5"/>
  <c r="U430" i="5"/>
  <c r="U431" i="5"/>
  <c r="U432" i="5"/>
  <c r="U433" i="5"/>
  <c r="U434" i="5"/>
  <c r="U435" i="5"/>
  <c r="U436" i="5"/>
  <c r="U437" i="5"/>
  <c r="U438" i="5"/>
  <c r="U439" i="5"/>
  <c r="U440" i="5"/>
  <c r="U441" i="5"/>
  <c r="U442" i="5"/>
  <c r="U443" i="5"/>
  <c r="U444" i="5"/>
  <c r="U445" i="5"/>
  <c r="U446" i="5"/>
  <c r="U447" i="5"/>
  <c r="U448" i="5"/>
  <c r="U449" i="5"/>
  <c r="U450" i="5"/>
  <c r="U451" i="5"/>
  <c r="U452" i="5"/>
  <c r="U453" i="5"/>
  <c r="U454" i="5"/>
  <c r="U455" i="5"/>
  <c r="U456" i="5"/>
  <c r="U457" i="5"/>
  <c r="U458" i="5"/>
  <c r="U459" i="5"/>
  <c r="U460" i="5"/>
  <c r="U461" i="5"/>
  <c r="U462" i="5"/>
  <c r="U463" i="5"/>
  <c r="U464" i="5"/>
  <c r="U465" i="5"/>
  <c r="U466" i="5"/>
  <c r="U467" i="5"/>
  <c r="U468" i="5"/>
  <c r="U469" i="5"/>
  <c r="U470" i="5"/>
  <c r="U471" i="5"/>
  <c r="U472" i="5"/>
  <c r="U473" i="5"/>
  <c r="U474" i="5"/>
  <c r="U475" i="5"/>
  <c r="U476" i="5"/>
  <c r="U477" i="5"/>
  <c r="U478" i="5"/>
  <c r="U479" i="5"/>
  <c r="U480" i="5"/>
  <c r="U481" i="5"/>
  <c r="U482" i="5"/>
  <c r="U483" i="5"/>
  <c r="U484" i="5"/>
  <c r="T2" i="5"/>
  <c r="T3"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102" i="5"/>
  <c r="T103" i="5"/>
  <c r="T104" i="5"/>
  <c r="T105" i="5"/>
  <c r="T106" i="5"/>
  <c r="T107" i="5"/>
  <c r="T108" i="5"/>
  <c r="T109" i="5"/>
  <c r="T110" i="5"/>
  <c r="T111" i="5"/>
  <c r="T112" i="5"/>
  <c r="T113" i="5"/>
  <c r="T114" i="5"/>
  <c r="T115" i="5"/>
  <c r="T116" i="5"/>
  <c r="T117" i="5"/>
  <c r="T118" i="5"/>
  <c r="T119" i="5"/>
  <c r="T120" i="5"/>
  <c r="T121" i="5"/>
  <c r="T122" i="5"/>
  <c r="T123" i="5"/>
  <c r="T124" i="5"/>
  <c r="T125" i="5"/>
  <c r="T126" i="5"/>
  <c r="T127" i="5"/>
  <c r="T128" i="5"/>
  <c r="T129" i="5"/>
  <c r="T130" i="5"/>
  <c r="T131" i="5"/>
  <c r="T132" i="5"/>
  <c r="T133" i="5"/>
  <c r="T134" i="5"/>
  <c r="T135" i="5"/>
  <c r="T136" i="5"/>
  <c r="T137" i="5"/>
  <c r="T138" i="5"/>
  <c r="T139" i="5"/>
  <c r="T140" i="5"/>
  <c r="T141" i="5"/>
  <c r="T142" i="5"/>
  <c r="T143" i="5"/>
  <c r="T144" i="5"/>
  <c r="T145" i="5"/>
  <c r="T146" i="5"/>
  <c r="T147" i="5"/>
  <c r="T148" i="5"/>
  <c r="T149" i="5"/>
  <c r="T150" i="5"/>
  <c r="T151" i="5"/>
  <c r="T152" i="5"/>
  <c r="T153" i="5"/>
  <c r="T154" i="5"/>
  <c r="T155" i="5"/>
  <c r="T156" i="5"/>
  <c r="T157" i="5"/>
  <c r="T158" i="5"/>
  <c r="T159" i="5"/>
  <c r="T160" i="5"/>
  <c r="T161" i="5"/>
  <c r="T162" i="5"/>
  <c r="T163" i="5"/>
  <c r="T164" i="5"/>
  <c r="T165" i="5"/>
  <c r="T166" i="5"/>
  <c r="T167" i="5"/>
  <c r="T168" i="5"/>
  <c r="T169" i="5"/>
  <c r="T170" i="5"/>
  <c r="T171" i="5"/>
  <c r="T172" i="5"/>
  <c r="T173" i="5"/>
  <c r="T174" i="5"/>
  <c r="T175" i="5"/>
  <c r="T176" i="5"/>
  <c r="T177" i="5"/>
  <c r="T178" i="5"/>
  <c r="T179" i="5"/>
  <c r="T180" i="5"/>
  <c r="T181" i="5"/>
  <c r="T182" i="5"/>
  <c r="T183" i="5"/>
  <c r="T184" i="5"/>
  <c r="T185" i="5"/>
  <c r="T186" i="5"/>
  <c r="T187" i="5"/>
  <c r="T188" i="5"/>
  <c r="T189" i="5"/>
  <c r="T190" i="5"/>
  <c r="T191" i="5"/>
  <c r="T192" i="5"/>
  <c r="T193" i="5"/>
  <c r="T194" i="5"/>
  <c r="T195" i="5"/>
  <c r="T196" i="5"/>
  <c r="T197" i="5"/>
  <c r="T198" i="5"/>
  <c r="T199" i="5"/>
  <c r="T200" i="5"/>
  <c r="T201" i="5"/>
  <c r="T202" i="5"/>
  <c r="T203" i="5"/>
  <c r="T204" i="5"/>
  <c r="T205" i="5"/>
  <c r="T206" i="5"/>
  <c r="T207" i="5"/>
  <c r="T208" i="5"/>
  <c r="T209" i="5"/>
  <c r="T210" i="5"/>
  <c r="T211" i="5"/>
  <c r="T212" i="5"/>
  <c r="T213" i="5"/>
  <c r="T214" i="5"/>
  <c r="T215" i="5"/>
  <c r="T216" i="5"/>
  <c r="T217" i="5"/>
  <c r="T218" i="5"/>
  <c r="T219" i="5"/>
  <c r="T220" i="5"/>
  <c r="T221" i="5"/>
  <c r="T222" i="5"/>
  <c r="T223" i="5"/>
  <c r="T224" i="5"/>
  <c r="T225" i="5"/>
  <c r="T226" i="5"/>
  <c r="T227" i="5"/>
  <c r="T228" i="5"/>
  <c r="T229" i="5"/>
  <c r="T230" i="5"/>
  <c r="T231" i="5"/>
  <c r="T232" i="5"/>
  <c r="T233" i="5"/>
  <c r="T234" i="5"/>
  <c r="T235" i="5"/>
  <c r="T236" i="5"/>
  <c r="T237" i="5"/>
  <c r="T238" i="5"/>
  <c r="T239" i="5"/>
  <c r="T240" i="5"/>
  <c r="T241" i="5"/>
  <c r="T242" i="5"/>
  <c r="T243" i="5"/>
  <c r="T244" i="5"/>
  <c r="T245" i="5"/>
  <c r="T246" i="5"/>
  <c r="T247" i="5"/>
  <c r="T248" i="5"/>
  <c r="T249" i="5"/>
  <c r="T250" i="5"/>
  <c r="T251" i="5"/>
  <c r="T252" i="5"/>
  <c r="T253" i="5"/>
  <c r="T254" i="5"/>
  <c r="T255" i="5"/>
  <c r="T256" i="5"/>
  <c r="T257" i="5"/>
  <c r="T258" i="5"/>
  <c r="T259" i="5"/>
  <c r="T260" i="5"/>
  <c r="T261" i="5"/>
  <c r="T262" i="5"/>
  <c r="T263" i="5"/>
  <c r="T264" i="5"/>
  <c r="T265" i="5"/>
  <c r="T266" i="5"/>
  <c r="T267" i="5"/>
  <c r="T268" i="5"/>
  <c r="T269" i="5"/>
  <c r="T270" i="5"/>
  <c r="T271" i="5"/>
  <c r="T272" i="5"/>
  <c r="T273" i="5"/>
  <c r="T274" i="5"/>
  <c r="T275" i="5"/>
  <c r="T276" i="5"/>
  <c r="T277" i="5"/>
  <c r="T278" i="5"/>
  <c r="T279" i="5"/>
  <c r="T280" i="5"/>
  <c r="T281" i="5"/>
  <c r="T282" i="5"/>
  <c r="T283" i="5"/>
  <c r="T284" i="5"/>
  <c r="T285" i="5"/>
  <c r="T286" i="5"/>
  <c r="T287" i="5"/>
  <c r="T288" i="5"/>
  <c r="T289" i="5"/>
  <c r="T290" i="5"/>
  <c r="T291" i="5"/>
  <c r="T292" i="5"/>
  <c r="T293" i="5"/>
  <c r="T294" i="5"/>
  <c r="T295" i="5"/>
  <c r="T296" i="5"/>
  <c r="T297" i="5"/>
  <c r="T298" i="5"/>
  <c r="T299" i="5"/>
  <c r="T300" i="5"/>
  <c r="T301" i="5"/>
  <c r="T302" i="5"/>
  <c r="T303" i="5"/>
  <c r="T304" i="5"/>
  <c r="T305" i="5"/>
  <c r="T306" i="5"/>
  <c r="T307" i="5"/>
  <c r="T308" i="5"/>
  <c r="T309" i="5"/>
  <c r="T310" i="5"/>
  <c r="T311" i="5"/>
  <c r="T312" i="5"/>
  <c r="T313" i="5"/>
  <c r="T314" i="5"/>
  <c r="T315" i="5"/>
  <c r="T316" i="5"/>
  <c r="T317" i="5"/>
  <c r="T318" i="5"/>
  <c r="T319" i="5"/>
  <c r="T320" i="5"/>
  <c r="T321" i="5"/>
  <c r="T322" i="5"/>
  <c r="T323" i="5"/>
  <c r="T324" i="5"/>
  <c r="T325" i="5"/>
  <c r="T326" i="5"/>
  <c r="T327" i="5"/>
  <c r="T328" i="5"/>
  <c r="T329" i="5"/>
  <c r="T330" i="5"/>
  <c r="T331" i="5"/>
  <c r="T332" i="5"/>
  <c r="T333" i="5"/>
  <c r="T334" i="5"/>
  <c r="T335" i="5"/>
  <c r="T336" i="5"/>
  <c r="T337" i="5"/>
  <c r="T338" i="5"/>
  <c r="T339" i="5"/>
  <c r="T340" i="5"/>
  <c r="T341" i="5"/>
  <c r="T342" i="5"/>
  <c r="T343" i="5"/>
  <c r="T344" i="5"/>
  <c r="T345" i="5"/>
  <c r="T346" i="5"/>
  <c r="T347" i="5"/>
  <c r="T348" i="5"/>
  <c r="T349" i="5"/>
  <c r="T350" i="5"/>
  <c r="T351" i="5"/>
  <c r="T352" i="5"/>
  <c r="T353" i="5"/>
  <c r="T354" i="5"/>
  <c r="T355" i="5"/>
  <c r="T356" i="5"/>
  <c r="T357" i="5"/>
  <c r="T358" i="5"/>
  <c r="T359" i="5"/>
  <c r="T360" i="5"/>
  <c r="T361" i="5"/>
  <c r="T362" i="5"/>
  <c r="T363" i="5"/>
  <c r="T364" i="5"/>
  <c r="T365" i="5"/>
  <c r="T366" i="5"/>
  <c r="T367" i="5"/>
  <c r="T368" i="5"/>
  <c r="T369" i="5"/>
  <c r="T370" i="5"/>
  <c r="T371" i="5"/>
  <c r="T372" i="5"/>
  <c r="T373" i="5"/>
  <c r="T374" i="5"/>
  <c r="T375" i="5"/>
  <c r="T376" i="5"/>
  <c r="T377" i="5"/>
  <c r="T378" i="5"/>
  <c r="T379" i="5"/>
  <c r="T380" i="5"/>
  <c r="T381" i="5"/>
  <c r="T382" i="5"/>
  <c r="T383" i="5"/>
  <c r="T384" i="5"/>
  <c r="T385" i="5"/>
  <c r="T386" i="5"/>
  <c r="T387" i="5"/>
  <c r="T388" i="5"/>
  <c r="T389" i="5"/>
  <c r="T390" i="5"/>
  <c r="T391" i="5"/>
  <c r="T392" i="5"/>
  <c r="T393" i="5"/>
  <c r="T394" i="5"/>
  <c r="T395" i="5"/>
  <c r="T396" i="5"/>
  <c r="T397" i="5"/>
  <c r="T398" i="5"/>
  <c r="T399" i="5"/>
  <c r="T400" i="5"/>
  <c r="T401" i="5"/>
  <c r="T402" i="5"/>
  <c r="T403" i="5"/>
  <c r="T404" i="5"/>
  <c r="T405" i="5"/>
  <c r="T406" i="5"/>
  <c r="T407" i="5"/>
  <c r="T408" i="5"/>
  <c r="T409" i="5"/>
  <c r="T410" i="5"/>
  <c r="T411" i="5"/>
  <c r="T412" i="5"/>
  <c r="T413" i="5"/>
  <c r="T414" i="5"/>
  <c r="T415" i="5"/>
  <c r="T416" i="5"/>
  <c r="T417" i="5"/>
  <c r="T418" i="5"/>
  <c r="T419" i="5"/>
  <c r="T420" i="5"/>
  <c r="T421" i="5"/>
  <c r="T422" i="5"/>
  <c r="T423" i="5"/>
  <c r="T424" i="5"/>
  <c r="T425" i="5"/>
  <c r="T426" i="5"/>
  <c r="T427" i="5"/>
  <c r="T428" i="5"/>
  <c r="T429" i="5"/>
  <c r="T430" i="5"/>
  <c r="T431" i="5"/>
  <c r="T432" i="5"/>
  <c r="T433" i="5"/>
  <c r="T434" i="5"/>
  <c r="T435" i="5"/>
  <c r="T436" i="5"/>
  <c r="T437" i="5"/>
  <c r="T438" i="5"/>
  <c r="T439" i="5"/>
  <c r="T440" i="5"/>
  <c r="T441" i="5"/>
  <c r="T442" i="5"/>
  <c r="T443" i="5"/>
  <c r="T444" i="5"/>
  <c r="T445" i="5"/>
  <c r="T446" i="5"/>
  <c r="T447" i="5"/>
  <c r="T448" i="5"/>
  <c r="T449" i="5"/>
  <c r="T450" i="5"/>
  <c r="T451" i="5"/>
  <c r="T452" i="5"/>
  <c r="T453" i="5"/>
  <c r="T454" i="5"/>
  <c r="T455" i="5"/>
  <c r="T456" i="5"/>
  <c r="T457" i="5"/>
  <c r="T458" i="5"/>
  <c r="T459" i="5"/>
  <c r="T460" i="5"/>
  <c r="T461" i="5"/>
  <c r="T462" i="5"/>
  <c r="T463" i="5"/>
  <c r="T464" i="5"/>
  <c r="T465" i="5"/>
  <c r="T466" i="5"/>
  <c r="T467" i="5"/>
  <c r="T468" i="5"/>
  <c r="T469" i="5"/>
  <c r="T470" i="5"/>
  <c r="T471" i="5"/>
  <c r="T472" i="5"/>
  <c r="T473" i="5"/>
  <c r="T474" i="5"/>
  <c r="T475" i="5"/>
  <c r="T476" i="5"/>
  <c r="T477" i="5"/>
  <c r="T478" i="5"/>
  <c r="T479" i="5"/>
  <c r="T480" i="5"/>
  <c r="T481" i="5"/>
  <c r="T482" i="5"/>
  <c r="T483" i="5"/>
  <c r="T484" i="5"/>
  <c r="R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S2" i="5"/>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69"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1" i="5"/>
  <c r="S392" i="5"/>
  <c r="S393" i="5"/>
  <c r="S394" i="5"/>
  <c r="S395" i="5"/>
  <c r="S396" i="5"/>
  <c r="S397" i="5"/>
  <c r="S398" i="5"/>
  <c r="S399" i="5"/>
  <c r="S400" i="5"/>
  <c r="S401" i="5"/>
  <c r="S402" i="5"/>
  <c r="S403" i="5"/>
  <c r="S404"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S441" i="5"/>
  <c r="S442" i="5"/>
  <c r="S443" i="5"/>
  <c r="S444" i="5"/>
  <c r="S445" i="5"/>
  <c r="S446" i="5"/>
  <c r="S447" i="5"/>
  <c r="S448" i="5"/>
  <c r="S449" i="5"/>
  <c r="S450" i="5"/>
  <c r="S451" i="5"/>
  <c r="S452" i="5"/>
  <c r="S453" i="5"/>
  <c r="S454" i="5"/>
  <c r="S455" i="5"/>
  <c r="S456" i="5"/>
  <c r="S457" i="5"/>
  <c r="S458" i="5"/>
  <c r="S459" i="5"/>
  <c r="S460" i="5"/>
  <c r="S461" i="5"/>
  <c r="S462" i="5"/>
  <c r="S463" i="5"/>
  <c r="S464" i="5"/>
  <c r="S465" i="5"/>
  <c r="S466" i="5"/>
  <c r="S467" i="5"/>
  <c r="S468" i="5"/>
  <c r="S469" i="5"/>
  <c r="S470" i="5"/>
  <c r="S471" i="5"/>
  <c r="S472" i="5"/>
  <c r="S473" i="5"/>
  <c r="S474" i="5"/>
  <c r="S475" i="5"/>
  <c r="S476" i="5"/>
  <c r="S477" i="5"/>
  <c r="S478" i="5"/>
  <c r="S479" i="5"/>
  <c r="S480" i="5"/>
  <c r="S481" i="5"/>
  <c r="S482" i="5"/>
  <c r="S483" i="5"/>
  <c r="S484" i="5"/>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L2" i="5" a="1"/>
  <c r="L2" i="5" s="1"/>
  <c r="L3" i="5" a="1"/>
  <c r="L3" i="5" s="1"/>
  <c r="L4" i="5" a="1"/>
  <c r="L4" i="5" s="1"/>
  <c r="L5" i="5" a="1"/>
  <c r="L5" i="5" s="1"/>
  <c r="L6" i="5" a="1"/>
  <c r="L6" i="5" s="1"/>
  <c r="L7" i="5" a="1"/>
  <c r="L7" i="5" s="1"/>
  <c r="L8" i="5" a="1"/>
  <c r="L8" i="5" s="1"/>
  <c r="L9" i="5" a="1"/>
  <c r="L9" i="5" s="1"/>
  <c r="L10" i="5" a="1"/>
  <c r="L10" i="5" s="1"/>
  <c r="L11" i="5" a="1"/>
  <c r="L11" i="5" s="1"/>
  <c r="L12" i="5" a="1"/>
  <c r="L12" i="5" s="1"/>
  <c r="L13" i="5" a="1"/>
  <c r="L13" i="5" s="1"/>
  <c r="L14" i="5" a="1"/>
  <c r="L14" i="5" s="1"/>
  <c r="L15" i="5" a="1"/>
  <c r="L15" i="5" s="1"/>
  <c r="L16" i="5" a="1"/>
  <c r="L16" i="5" s="1"/>
  <c r="L17" i="5" a="1"/>
  <c r="L17" i="5" s="1"/>
  <c r="L18" i="5" a="1"/>
  <c r="L18" i="5" s="1"/>
  <c r="L19" i="5" a="1"/>
  <c r="L19" i="5" s="1"/>
  <c r="L20" i="5" a="1"/>
  <c r="L20" i="5" s="1"/>
  <c r="L21" i="5" a="1"/>
  <c r="L21" i="5" s="1"/>
  <c r="L22" i="5" a="1"/>
  <c r="L22" i="5" s="1"/>
  <c r="L23" i="5" a="1"/>
  <c r="L23" i="5" s="1"/>
  <c r="L24" i="5" a="1"/>
  <c r="L24" i="5" s="1"/>
  <c r="L25" i="5" a="1"/>
  <c r="L25" i="5" s="1"/>
  <c r="L26" i="5" a="1"/>
  <c r="L26" i="5" s="1"/>
  <c r="L27" i="5" a="1"/>
  <c r="L27" i="5" s="1"/>
  <c r="L28" i="5" a="1"/>
  <c r="L28" i="5" s="1"/>
  <c r="L29" i="5" a="1"/>
  <c r="L29" i="5" s="1"/>
  <c r="L30" i="5" a="1"/>
  <c r="L30" i="5" s="1"/>
  <c r="L31" i="5" a="1"/>
  <c r="L31" i="5" s="1"/>
  <c r="L32" i="5" a="1"/>
  <c r="L32" i="5" s="1"/>
  <c r="L33" i="5" a="1"/>
  <c r="L33" i="5" s="1"/>
  <c r="L34" i="5" a="1"/>
  <c r="L34" i="5" s="1"/>
  <c r="L35" i="5" a="1"/>
  <c r="L35" i="5" s="1"/>
  <c r="L36" i="5" a="1"/>
  <c r="L36" i="5" s="1"/>
  <c r="L37" i="5" a="1"/>
  <c r="L37" i="5" s="1"/>
  <c r="L38" i="5" a="1"/>
  <c r="L38" i="5" s="1"/>
  <c r="L39" i="5" a="1"/>
  <c r="L39" i="5" s="1"/>
  <c r="L40" i="5" a="1"/>
  <c r="L40" i="5" s="1"/>
  <c r="L41" i="5" a="1"/>
  <c r="L41" i="5" s="1"/>
  <c r="L42" i="5" a="1"/>
  <c r="L42" i="5" s="1"/>
  <c r="L43" i="5" a="1"/>
  <c r="L43" i="5" s="1"/>
  <c r="L44" i="5" a="1"/>
  <c r="L44" i="5" s="1"/>
  <c r="L45" i="5" a="1"/>
  <c r="L45" i="5" s="1"/>
  <c r="L46" i="5" a="1"/>
  <c r="L46" i="5" s="1"/>
  <c r="L47" i="5" a="1"/>
  <c r="L47" i="5" s="1"/>
  <c r="L48" i="5" a="1"/>
  <c r="L48" i="5" s="1"/>
  <c r="L49" i="5" a="1"/>
  <c r="L49" i="5" s="1"/>
  <c r="L50" i="5" a="1"/>
  <c r="L50" i="5" s="1"/>
  <c r="L51" i="5" a="1"/>
  <c r="L51" i="5" s="1"/>
  <c r="L52" i="5" a="1"/>
  <c r="L52" i="5" s="1"/>
  <c r="L53" i="5" a="1"/>
  <c r="L53" i="5" s="1"/>
  <c r="L54" i="5" a="1"/>
  <c r="L54" i="5" s="1"/>
  <c r="L55" i="5" a="1"/>
  <c r="L55" i="5" s="1"/>
  <c r="L56" i="5" a="1"/>
  <c r="L56" i="5" s="1"/>
  <c r="L57" i="5" a="1"/>
  <c r="L57" i="5" s="1"/>
  <c r="L58" i="5" a="1"/>
  <c r="L58" i="5" s="1"/>
  <c r="L59" i="5" a="1"/>
  <c r="L59" i="5" s="1"/>
  <c r="L60" i="5" a="1"/>
  <c r="L60" i="5" s="1"/>
  <c r="L61" i="5" a="1"/>
  <c r="L61" i="5" s="1"/>
  <c r="L62" i="5" a="1"/>
  <c r="L62" i="5" s="1"/>
  <c r="L63" i="5" a="1"/>
  <c r="L63" i="5" s="1"/>
  <c r="L64" i="5" a="1"/>
  <c r="L64" i="5" s="1"/>
  <c r="L65" i="5" a="1"/>
  <c r="L65" i="5" s="1"/>
  <c r="L66" i="5" a="1"/>
  <c r="L66" i="5" s="1"/>
  <c r="L67" i="5" a="1"/>
  <c r="L67" i="5" s="1"/>
  <c r="L68" i="5" a="1"/>
  <c r="L68" i="5" s="1"/>
  <c r="L69" i="5" a="1"/>
  <c r="L69" i="5" s="1"/>
  <c r="L70" i="5" a="1"/>
  <c r="L70" i="5" s="1"/>
  <c r="L71" i="5" a="1"/>
  <c r="L71" i="5" s="1"/>
  <c r="L72" i="5" a="1"/>
  <c r="L72" i="5" s="1"/>
  <c r="L73" i="5" a="1"/>
  <c r="L73" i="5" s="1"/>
  <c r="L74" i="5" a="1"/>
  <c r="L74" i="5" s="1"/>
  <c r="L75" i="5" a="1"/>
  <c r="L75" i="5" s="1"/>
  <c r="L76" i="5" a="1"/>
  <c r="L76" i="5" s="1"/>
  <c r="L77" i="5" a="1"/>
  <c r="L77" i="5" s="1"/>
  <c r="L78" i="5" a="1"/>
  <c r="L78" i="5" s="1"/>
  <c r="L79" i="5" a="1"/>
  <c r="L79" i="5" s="1"/>
  <c r="L80" i="5" a="1"/>
  <c r="L80" i="5" s="1"/>
  <c r="L81" i="5" a="1"/>
  <c r="L81" i="5" s="1"/>
  <c r="L82" i="5" a="1"/>
  <c r="L82" i="5" s="1"/>
  <c r="L83" i="5" a="1"/>
  <c r="L83" i="5" s="1"/>
  <c r="L84" i="5" a="1"/>
  <c r="L84" i="5" s="1"/>
  <c r="L85" i="5" a="1"/>
  <c r="L85" i="5" s="1"/>
  <c r="L86" i="5" a="1"/>
  <c r="L86" i="5" s="1"/>
  <c r="L87" i="5" a="1"/>
  <c r="L87" i="5" s="1"/>
  <c r="L88" i="5" a="1"/>
  <c r="L88" i="5" s="1"/>
  <c r="L89" i="5" a="1"/>
  <c r="L89" i="5" s="1"/>
  <c r="L90" i="5" a="1"/>
  <c r="L90" i="5" s="1"/>
  <c r="L91" i="5" a="1"/>
  <c r="L91" i="5" s="1"/>
  <c r="L92" i="5" a="1"/>
  <c r="L92" i="5" s="1"/>
  <c r="L93" i="5" a="1"/>
  <c r="L93" i="5" s="1"/>
  <c r="L94" i="5" a="1"/>
  <c r="L94" i="5" s="1"/>
  <c r="L95" i="5" a="1"/>
  <c r="L95" i="5" s="1"/>
  <c r="L96" i="5" a="1"/>
  <c r="L96" i="5" s="1"/>
  <c r="L97" i="5" a="1"/>
  <c r="L97" i="5" s="1"/>
  <c r="L98" i="5" a="1"/>
  <c r="L98" i="5" s="1"/>
  <c r="L99" i="5" a="1"/>
  <c r="L99" i="5" s="1"/>
  <c r="L100" i="5" a="1"/>
  <c r="L100" i="5" s="1"/>
  <c r="L101" i="5" a="1"/>
  <c r="L101" i="5" s="1"/>
  <c r="L102" i="5" a="1"/>
  <c r="L102" i="5" s="1"/>
  <c r="L103" i="5" a="1"/>
  <c r="L103" i="5" s="1"/>
  <c r="L104" i="5" a="1"/>
  <c r="L104" i="5" s="1"/>
  <c r="L105" i="5" a="1"/>
  <c r="L105" i="5" s="1"/>
  <c r="L106" i="5" a="1"/>
  <c r="L106" i="5" s="1"/>
  <c r="L107" i="5" a="1"/>
  <c r="L107" i="5" s="1"/>
  <c r="L108" i="5" a="1"/>
  <c r="L108" i="5" s="1"/>
  <c r="L109" i="5" a="1"/>
  <c r="L109" i="5" s="1"/>
  <c r="L110" i="5" a="1"/>
  <c r="L110" i="5" s="1"/>
  <c r="L111" i="5" a="1"/>
  <c r="L111" i="5" s="1"/>
  <c r="L112" i="5" a="1"/>
  <c r="L112" i="5" s="1"/>
  <c r="L113" i="5" a="1"/>
  <c r="L113" i="5" s="1"/>
  <c r="L114" i="5" a="1"/>
  <c r="L114" i="5" s="1"/>
  <c r="L115" i="5" a="1"/>
  <c r="L115" i="5" s="1"/>
  <c r="L116" i="5" a="1"/>
  <c r="L116" i="5" s="1"/>
  <c r="L117" i="5" a="1"/>
  <c r="L117" i="5" s="1"/>
  <c r="L118" i="5" a="1"/>
  <c r="L118" i="5" s="1"/>
  <c r="L119" i="5" a="1"/>
  <c r="L119" i="5" s="1"/>
  <c r="L120" i="5" a="1"/>
  <c r="L120" i="5" s="1"/>
  <c r="L121" i="5" a="1"/>
  <c r="L121" i="5" s="1"/>
  <c r="L122" i="5" a="1"/>
  <c r="L122" i="5" s="1"/>
  <c r="L123" i="5" a="1"/>
  <c r="L123" i="5" s="1"/>
  <c r="L124" i="5" a="1"/>
  <c r="L124" i="5" s="1"/>
  <c r="L125" i="5" a="1"/>
  <c r="L125" i="5" s="1"/>
  <c r="L126" i="5" a="1"/>
  <c r="L126" i="5" s="1"/>
  <c r="L127" i="5" a="1"/>
  <c r="L127" i="5" s="1"/>
  <c r="L128" i="5" a="1"/>
  <c r="L128" i="5" s="1"/>
  <c r="L129" i="5" a="1"/>
  <c r="L129" i="5" s="1"/>
  <c r="L130" i="5" a="1"/>
  <c r="L130" i="5" s="1"/>
  <c r="L131" i="5" a="1"/>
  <c r="L131" i="5" s="1"/>
  <c r="L132" i="5" a="1"/>
  <c r="L132" i="5" s="1"/>
  <c r="L133" i="5" a="1"/>
  <c r="L133" i="5" s="1"/>
  <c r="L134" i="5" a="1"/>
  <c r="L134" i="5" s="1"/>
  <c r="L135" i="5" a="1"/>
  <c r="L135" i="5" s="1"/>
  <c r="L136" i="5" a="1"/>
  <c r="L136" i="5" s="1"/>
  <c r="L137" i="5" a="1"/>
  <c r="L137" i="5" s="1"/>
  <c r="L138" i="5" a="1"/>
  <c r="L138" i="5" s="1"/>
  <c r="L139" i="5" a="1"/>
  <c r="L139" i="5" s="1"/>
  <c r="L140" i="5" a="1"/>
  <c r="L140" i="5" s="1"/>
  <c r="L141" i="5" a="1"/>
  <c r="L141" i="5" s="1"/>
  <c r="L142" i="5" a="1"/>
  <c r="L142" i="5" s="1"/>
  <c r="L143" i="5" a="1"/>
  <c r="L143" i="5" s="1"/>
  <c r="L144" i="5" a="1"/>
  <c r="L144" i="5" s="1"/>
  <c r="L145" i="5" a="1"/>
  <c r="L145" i="5" s="1"/>
  <c r="L146" i="5" a="1"/>
  <c r="L146" i="5" s="1"/>
  <c r="L147" i="5" a="1"/>
  <c r="L147" i="5" s="1"/>
  <c r="L148" i="5" a="1"/>
  <c r="L148" i="5" s="1"/>
  <c r="L149" i="5" a="1"/>
  <c r="L149" i="5" s="1"/>
  <c r="L150" i="5" a="1"/>
  <c r="L150" i="5" s="1"/>
  <c r="L151" i="5" a="1"/>
  <c r="L151" i="5" s="1"/>
  <c r="L152" i="5" a="1"/>
  <c r="L152" i="5" s="1"/>
  <c r="L153" i="5" a="1"/>
  <c r="L153" i="5" s="1"/>
  <c r="L154" i="5" a="1"/>
  <c r="L154" i="5" s="1"/>
  <c r="L155" i="5" a="1"/>
  <c r="L155" i="5" s="1"/>
  <c r="L156" i="5" a="1"/>
  <c r="L156" i="5" s="1"/>
  <c r="L157" i="5" a="1"/>
  <c r="L157" i="5" s="1"/>
  <c r="L158" i="5" a="1"/>
  <c r="L158" i="5" s="1"/>
  <c r="L159" i="5" a="1"/>
  <c r="L159" i="5" s="1"/>
  <c r="L160" i="5" a="1"/>
  <c r="L160" i="5" s="1"/>
  <c r="L161" i="5" a="1"/>
  <c r="L161" i="5" s="1"/>
  <c r="L162" i="5" a="1"/>
  <c r="L162" i="5" s="1"/>
  <c r="L163" i="5" a="1"/>
  <c r="L163" i="5" s="1"/>
  <c r="L164" i="5" a="1"/>
  <c r="L164" i="5" s="1"/>
  <c r="L165" i="5" a="1"/>
  <c r="L165" i="5" s="1"/>
  <c r="L166" i="5" a="1"/>
  <c r="L166" i="5" s="1"/>
  <c r="L167" i="5" a="1"/>
  <c r="L167" i="5" s="1"/>
  <c r="L168" i="5" a="1"/>
  <c r="L168" i="5" s="1"/>
  <c r="L169" i="5" a="1"/>
  <c r="L169" i="5" s="1"/>
  <c r="L170" i="5" a="1"/>
  <c r="L170" i="5" s="1"/>
  <c r="L171" i="5" a="1"/>
  <c r="L171" i="5" s="1"/>
  <c r="L172" i="5" a="1"/>
  <c r="L172" i="5" s="1"/>
  <c r="L173" i="5" a="1"/>
  <c r="L173" i="5" s="1"/>
  <c r="L174" i="5" a="1"/>
  <c r="L174" i="5" s="1"/>
  <c r="L175" i="5" a="1"/>
  <c r="L175" i="5" s="1"/>
  <c r="L176" i="5" a="1"/>
  <c r="L176" i="5" s="1"/>
  <c r="L177" i="5" a="1"/>
  <c r="L177" i="5" s="1"/>
  <c r="L178" i="5" a="1"/>
  <c r="L178" i="5" s="1"/>
  <c r="L179" i="5" a="1"/>
  <c r="L179" i="5" s="1"/>
  <c r="L180" i="5" a="1"/>
  <c r="L180" i="5" s="1"/>
  <c r="L181" i="5" a="1"/>
  <c r="L181" i="5" s="1"/>
  <c r="L182" i="5" a="1"/>
  <c r="L182" i="5" s="1"/>
  <c r="L183" i="5" a="1"/>
  <c r="L183" i="5" s="1"/>
  <c r="L184" i="5" a="1"/>
  <c r="L184" i="5" s="1"/>
  <c r="L185" i="5" a="1"/>
  <c r="L185" i="5" s="1"/>
  <c r="L186" i="5" a="1"/>
  <c r="L186" i="5" s="1"/>
  <c r="L187" i="5" a="1"/>
  <c r="L187" i="5" s="1"/>
  <c r="L188" i="5" a="1"/>
  <c r="L188" i="5" s="1"/>
  <c r="L189" i="5" a="1"/>
  <c r="L189" i="5" s="1"/>
  <c r="L190" i="5" a="1"/>
  <c r="L190" i="5" s="1"/>
  <c r="L191" i="5" a="1"/>
  <c r="L191" i="5" s="1"/>
  <c r="L192" i="5" a="1"/>
  <c r="L192" i="5" s="1"/>
  <c r="L193" i="5" a="1"/>
  <c r="L193" i="5" s="1"/>
  <c r="L194" i="5" a="1"/>
  <c r="L194" i="5" s="1"/>
  <c r="L195" i="5" a="1"/>
  <c r="L195" i="5" s="1"/>
  <c r="L196" i="5" a="1"/>
  <c r="L196" i="5" s="1"/>
  <c r="L197" i="5" a="1"/>
  <c r="L197" i="5" s="1"/>
  <c r="L198" i="5" a="1"/>
  <c r="L198" i="5" s="1"/>
  <c r="L199" i="5" a="1"/>
  <c r="L199" i="5" s="1"/>
  <c r="L200" i="5" a="1"/>
  <c r="L200" i="5" s="1"/>
  <c r="L201" i="5" a="1"/>
  <c r="L201" i="5" s="1"/>
  <c r="L202" i="5" a="1"/>
  <c r="L202" i="5" s="1"/>
  <c r="L203" i="5" a="1"/>
  <c r="L203" i="5" s="1"/>
  <c r="L204" i="5" a="1"/>
  <c r="L204" i="5" s="1"/>
  <c r="L205" i="5" a="1"/>
  <c r="L205" i="5" s="1"/>
  <c r="L206" i="5" a="1"/>
  <c r="L206" i="5" s="1"/>
  <c r="L207" i="5" a="1"/>
  <c r="L207" i="5" s="1"/>
  <c r="L208" i="5" a="1"/>
  <c r="L208" i="5" s="1"/>
  <c r="L209" i="5" a="1"/>
  <c r="L209" i="5" s="1"/>
  <c r="L210" i="5" a="1"/>
  <c r="L210" i="5" s="1"/>
  <c r="L211" i="5" a="1"/>
  <c r="L211" i="5" s="1"/>
  <c r="L212" i="5" a="1"/>
  <c r="L212" i="5" s="1"/>
  <c r="L213" i="5" a="1"/>
  <c r="L213" i="5" s="1"/>
  <c r="L214" i="5" a="1"/>
  <c r="L214" i="5" s="1"/>
  <c r="L215" i="5" a="1"/>
  <c r="L215" i="5" s="1"/>
  <c r="L216" i="5" a="1"/>
  <c r="L216" i="5" s="1"/>
  <c r="L217" i="5" a="1"/>
  <c r="L217" i="5" s="1"/>
  <c r="L218" i="5" a="1"/>
  <c r="L218" i="5" s="1"/>
  <c r="L219" i="5" a="1"/>
  <c r="L219" i="5" s="1"/>
  <c r="L220" i="5" a="1"/>
  <c r="L220" i="5" s="1"/>
  <c r="L221" i="5" a="1"/>
  <c r="L221" i="5" s="1"/>
  <c r="L222" i="5" a="1"/>
  <c r="L222" i="5" s="1"/>
  <c r="L223" i="5" a="1"/>
  <c r="L223" i="5" s="1"/>
  <c r="L224" i="5" a="1"/>
  <c r="L224" i="5" s="1"/>
  <c r="L225" i="5" a="1"/>
  <c r="L225" i="5" s="1"/>
  <c r="L226" i="5" a="1"/>
  <c r="L226" i="5" s="1"/>
  <c r="L227" i="5" a="1"/>
  <c r="L227" i="5" s="1"/>
  <c r="L228" i="5" a="1"/>
  <c r="L228" i="5" s="1"/>
  <c r="L229" i="5" a="1"/>
  <c r="L229" i="5" s="1"/>
  <c r="L230" i="5" a="1"/>
  <c r="L230" i="5" s="1"/>
  <c r="L231" i="5" a="1"/>
  <c r="L231" i="5" s="1"/>
  <c r="L232" i="5" a="1"/>
  <c r="L232" i="5" s="1"/>
  <c r="L233" i="5" a="1"/>
  <c r="L233" i="5" s="1"/>
  <c r="L234" i="5" a="1"/>
  <c r="L234" i="5" s="1"/>
  <c r="L235" i="5" a="1"/>
  <c r="L235" i="5" s="1"/>
  <c r="L236" i="5" a="1"/>
  <c r="L236" i="5" s="1"/>
  <c r="L237" i="5" a="1"/>
  <c r="L237" i="5" s="1"/>
  <c r="L238" i="5" a="1"/>
  <c r="L238" i="5" s="1"/>
  <c r="L239" i="5" a="1"/>
  <c r="L239" i="5" s="1"/>
  <c r="L240" i="5" a="1"/>
  <c r="L240" i="5" s="1"/>
  <c r="L241" i="5" a="1"/>
  <c r="L241" i="5" s="1"/>
  <c r="L242" i="5" a="1"/>
  <c r="L242" i="5" s="1"/>
  <c r="L243" i="5" a="1"/>
  <c r="L243" i="5" s="1"/>
  <c r="L244" i="5" a="1"/>
  <c r="L244" i="5" s="1"/>
  <c r="L245" i="5" a="1"/>
  <c r="L245" i="5" s="1"/>
  <c r="L246" i="5" a="1"/>
  <c r="L246" i="5" s="1"/>
  <c r="L247" i="5" a="1"/>
  <c r="L247" i="5" s="1"/>
  <c r="L248" i="5" a="1"/>
  <c r="L248" i="5" s="1"/>
  <c r="L249" i="5" a="1"/>
  <c r="L249" i="5" s="1"/>
  <c r="L250" i="5" a="1"/>
  <c r="L250" i="5" s="1"/>
  <c r="L251" i="5" a="1"/>
  <c r="L251" i="5" s="1"/>
  <c r="L252" i="5" a="1"/>
  <c r="L252" i="5" s="1"/>
  <c r="L253" i="5" a="1"/>
  <c r="L253" i="5" s="1"/>
  <c r="L254" i="5" a="1"/>
  <c r="L254" i="5" s="1"/>
  <c r="L255" i="5" a="1"/>
  <c r="L255" i="5" s="1"/>
  <c r="L256" i="5" a="1"/>
  <c r="L256" i="5" s="1"/>
  <c r="L257" i="5" a="1"/>
  <c r="L257" i="5" s="1"/>
  <c r="L258" i="5" a="1"/>
  <c r="L258" i="5" s="1"/>
  <c r="L259" i="5" a="1"/>
  <c r="L259" i="5" s="1"/>
  <c r="L260" i="5" a="1"/>
  <c r="L260" i="5" s="1"/>
  <c r="L261" i="5" a="1"/>
  <c r="L261" i="5" s="1"/>
  <c r="L262" i="5" a="1"/>
  <c r="L262" i="5" s="1"/>
  <c r="L263" i="5" a="1"/>
  <c r="L263" i="5" s="1"/>
  <c r="L264" i="5" a="1"/>
  <c r="L264" i="5" s="1"/>
  <c r="L265" i="5" a="1"/>
  <c r="L265" i="5" s="1"/>
  <c r="L266" i="5" a="1"/>
  <c r="L266" i="5" s="1"/>
  <c r="L267" i="5" a="1"/>
  <c r="L267" i="5" s="1"/>
  <c r="L268" i="5" a="1"/>
  <c r="L268" i="5" s="1"/>
  <c r="L269" i="5" a="1"/>
  <c r="L269" i="5" s="1"/>
  <c r="L270" i="5" a="1"/>
  <c r="L270" i="5" s="1"/>
  <c r="L271" i="5" a="1"/>
  <c r="L271" i="5" s="1"/>
  <c r="L272" i="5" a="1"/>
  <c r="L272" i="5" s="1"/>
  <c r="L273" i="5" a="1"/>
  <c r="L273" i="5" s="1"/>
  <c r="L274" i="5" a="1"/>
  <c r="L274" i="5" s="1"/>
  <c r="L275" i="5" a="1"/>
  <c r="L275" i="5" s="1"/>
  <c r="L276" i="5" a="1"/>
  <c r="L276" i="5" s="1"/>
  <c r="L277" i="5" a="1"/>
  <c r="L277" i="5" s="1"/>
  <c r="L278" i="5" a="1"/>
  <c r="L278" i="5" s="1"/>
  <c r="L279" i="5" a="1"/>
  <c r="L279" i="5" s="1"/>
  <c r="L280" i="5" a="1"/>
  <c r="L280" i="5" s="1"/>
  <c r="L281" i="5" a="1"/>
  <c r="L281" i="5" s="1"/>
  <c r="L282" i="5" a="1"/>
  <c r="L282" i="5" s="1"/>
  <c r="L283" i="5" a="1"/>
  <c r="L283" i="5" s="1"/>
  <c r="L284" i="5" a="1"/>
  <c r="L284" i="5" s="1"/>
  <c r="L285" i="5" a="1"/>
  <c r="L285" i="5" s="1"/>
  <c r="L286" i="5" a="1"/>
  <c r="L286" i="5" s="1"/>
  <c r="L287" i="5" a="1"/>
  <c r="L287" i="5" s="1"/>
  <c r="L288" i="5" a="1"/>
  <c r="L288" i="5" s="1"/>
  <c r="L289" i="5" a="1"/>
  <c r="L289" i="5" s="1"/>
  <c r="L290" i="5" a="1"/>
  <c r="L290" i="5" s="1"/>
  <c r="L291" i="5" a="1"/>
  <c r="L291" i="5" s="1"/>
  <c r="L292" i="5" a="1"/>
  <c r="L292" i="5" s="1"/>
  <c r="L293" i="5" a="1"/>
  <c r="L293" i="5" s="1"/>
  <c r="L294" i="5" a="1"/>
  <c r="L294" i="5" s="1"/>
  <c r="L295" i="5" a="1"/>
  <c r="L295" i="5" s="1"/>
  <c r="L296" i="5" a="1"/>
  <c r="L296" i="5" s="1"/>
  <c r="L297" i="5" a="1"/>
  <c r="L297" i="5" s="1"/>
  <c r="L298" i="5" a="1"/>
  <c r="L298" i="5" s="1"/>
  <c r="L299" i="5" a="1"/>
  <c r="L299" i="5" s="1"/>
  <c r="L300" i="5" a="1"/>
  <c r="L300" i="5" s="1"/>
  <c r="L301" i="5" a="1"/>
  <c r="L301" i="5" s="1"/>
  <c r="L302" i="5" a="1"/>
  <c r="L302" i="5" s="1"/>
  <c r="L303" i="5" a="1"/>
  <c r="L303" i="5" s="1"/>
  <c r="L304" i="5" a="1"/>
  <c r="L304" i="5" s="1"/>
  <c r="L305" i="5" a="1"/>
  <c r="L305" i="5" s="1"/>
  <c r="L306" i="5" a="1"/>
  <c r="L306" i="5" s="1"/>
  <c r="L307" i="5" a="1"/>
  <c r="L307" i="5" s="1"/>
  <c r="L308" i="5" a="1"/>
  <c r="L308" i="5" s="1"/>
  <c r="L309" i="5" a="1"/>
  <c r="L309" i="5" s="1"/>
  <c r="L310" i="5" a="1"/>
  <c r="L310" i="5" s="1"/>
  <c r="L311" i="5" a="1"/>
  <c r="L311" i="5" s="1"/>
  <c r="L312" i="5" a="1"/>
  <c r="L312" i="5" s="1"/>
  <c r="L313" i="5" a="1"/>
  <c r="L313" i="5" s="1"/>
  <c r="L314" i="5" a="1"/>
  <c r="L314" i="5" s="1"/>
  <c r="L315" i="5" a="1"/>
  <c r="L315" i="5" s="1"/>
  <c r="L316" i="5" a="1"/>
  <c r="L316" i="5" s="1"/>
  <c r="L317" i="5" a="1"/>
  <c r="L317" i="5" s="1"/>
  <c r="L318" i="5" a="1"/>
  <c r="L318" i="5" s="1"/>
  <c r="L319" i="5" a="1"/>
  <c r="L319" i="5" s="1"/>
  <c r="L320" i="5" a="1"/>
  <c r="L320" i="5" s="1"/>
  <c r="L321" i="5" a="1"/>
  <c r="L321" i="5" s="1"/>
  <c r="L322" i="5" a="1"/>
  <c r="L322" i="5" s="1"/>
  <c r="L323" i="5" a="1"/>
  <c r="L323" i="5" s="1"/>
  <c r="L324" i="5" a="1"/>
  <c r="L324" i="5" s="1"/>
  <c r="L325" i="5" a="1"/>
  <c r="L325" i="5" s="1"/>
  <c r="L326" i="5" a="1"/>
  <c r="L326" i="5" s="1"/>
  <c r="L327" i="5" a="1"/>
  <c r="L327" i="5" s="1"/>
  <c r="L328" i="5" a="1"/>
  <c r="L328" i="5" s="1"/>
  <c r="L329" i="5" a="1"/>
  <c r="L329" i="5" s="1"/>
  <c r="L330" i="5" a="1"/>
  <c r="L330" i="5" s="1"/>
  <c r="L331" i="5" a="1"/>
  <c r="L331" i="5" s="1"/>
  <c r="L332" i="5" a="1"/>
  <c r="L332" i="5" s="1"/>
  <c r="L333" i="5" a="1"/>
  <c r="L333" i="5" s="1"/>
  <c r="L334" i="5" a="1"/>
  <c r="L334" i="5" s="1"/>
  <c r="L335" i="5" a="1"/>
  <c r="L335" i="5" s="1"/>
  <c r="L336" i="5" a="1"/>
  <c r="L336" i="5" s="1"/>
  <c r="L337" i="5" a="1"/>
  <c r="L337" i="5" s="1"/>
  <c r="L338" i="5" a="1"/>
  <c r="L338" i="5" s="1"/>
  <c r="L339" i="5" a="1"/>
  <c r="L339" i="5" s="1"/>
  <c r="L340" i="5" a="1"/>
  <c r="L340" i="5" s="1"/>
  <c r="L341" i="5" a="1"/>
  <c r="L341" i="5" s="1"/>
  <c r="L342" i="5" a="1"/>
  <c r="L342" i="5" s="1"/>
  <c r="L343" i="5" a="1"/>
  <c r="L343" i="5" s="1"/>
  <c r="L344" i="5" a="1"/>
  <c r="L344" i="5" s="1"/>
  <c r="L345" i="5" a="1"/>
  <c r="L345" i="5" s="1"/>
  <c r="L346" i="5" a="1"/>
  <c r="L346" i="5" s="1"/>
  <c r="L347" i="5" a="1"/>
  <c r="L347" i="5" s="1"/>
  <c r="L348" i="5" a="1"/>
  <c r="L348" i="5" s="1"/>
  <c r="L349" i="5" a="1"/>
  <c r="L349" i="5" s="1"/>
  <c r="L350" i="5" a="1"/>
  <c r="L350" i="5" s="1"/>
  <c r="L351" i="5" a="1"/>
  <c r="L351" i="5" s="1"/>
  <c r="L352" i="5" a="1"/>
  <c r="L352" i="5" s="1"/>
  <c r="L353" i="5" a="1"/>
  <c r="L353" i="5" s="1"/>
  <c r="L354" i="5" a="1"/>
  <c r="L354" i="5" s="1"/>
  <c r="L355" i="5" a="1"/>
  <c r="L355" i="5" s="1"/>
  <c r="L356" i="5" a="1"/>
  <c r="L356" i="5" s="1"/>
  <c r="L357" i="5" a="1"/>
  <c r="L357" i="5" s="1"/>
  <c r="L358" i="5" a="1"/>
  <c r="L358" i="5" s="1"/>
  <c r="L359" i="5" a="1"/>
  <c r="L359" i="5" s="1"/>
  <c r="L360" i="5" a="1"/>
  <c r="L360" i="5" s="1"/>
  <c r="L361" i="5" a="1"/>
  <c r="L361" i="5" s="1"/>
  <c r="L362" i="5" a="1"/>
  <c r="L362" i="5" s="1"/>
  <c r="L363" i="5" a="1"/>
  <c r="L363" i="5" s="1"/>
  <c r="L364" i="5" a="1"/>
  <c r="L364" i="5" s="1"/>
  <c r="L365" i="5" a="1"/>
  <c r="L365" i="5" s="1"/>
  <c r="L366" i="5" a="1"/>
  <c r="L366" i="5" s="1"/>
  <c r="L367" i="5" a="1"/>
  <c r="L367" i="5" s="1"/>
  <c r="L368" i="5" a="1"/>
  <c r="L368" i="5" s="1"/>
  <c r="L369" i="5" a="1"/>
  <c r="L369" i="5" s="1"/>
  <c r="L370" i="5" a="1"/>
  <c r="L370" i="5" s="1"/>
  <c r="L371" i="5" a="1"/>
  <c r="L371" i="5" s="1"/>
  <c r="L372" i="5" a="1"/>
  <c r="L372" i="5" s="1"/>
  <c r="L373" i="5" a="1"/>
  <c r="L373" i="5" s="1"/>
  <c r="L374" i="5" a="1"/>
  <c r="L374" i="5" s="1"/>
  <c r="L375" i="5" a="1"/>
  <c r="L375" i="5" s="1"/>
  <c r="L376" i="5" a="1"/>
  <c r="L376" i="5" s="1"/>
  <c r="L377" i="5" a="1"/>
  <c r="L377" i="5" s="1"/>
  <c r="L378" i="5" a="1"/>
  <c r="L378" i="5" s="1"/>
  <c r="L379" i="5" a="1"/>
  <c r="L379" i="5" s="1"/>
  <c r="L380" i="5" a="1"/>
  <c r="L380" i="5" s="1"/>
  <c r="L381" i="5" a="1"/>
  <c r="L381" i="5" s="1"/>
  <c r="L382" i="5" a="1"/>
  <c r="L382" i="5" s="1"/>
  <c r="L383" i="5" a="1"/>
  <c r="L383" i="5" s="1"/>
  <c r="L384" i="5" a="1"/>
  <c r="L384" i="5" s="1"/>
  <c r="L385" i="5" a="1"/>
  <c r="L385" i="5" s="1"/>
  <c r="L386" i="5" a="1"/>
  <c r="L386" i="5" s="1"/>
  <c r="L387" i="5" a="1"/>
  <c r="L387" i="5" s="1"/>
  <c r="L388" i="5" a="1"/>
  <c r="L388" i="5" s="1"/>
  <c r="L389" i="5" a="1"/>
  <c r="L389" i="5" s="1"/>
  <c r="L390" i="5" a="1"/>
  <c r="L390" i="5" s="1"/>
  <c r="L391" i="5" a="1"/>
  <c r="L391" i="5" s="1"/>
  <c r="L392" i="5" a="1"/>
  <c r="L392" i="5" s="1"/>
  <c r="L393" i="5" a="1"/>
  <c r="L393" i="5" s="1"/>
  <c r="L394" i="5" a="1"/>
  <c r="L394" i="5" s="1"/>
  <c r="L395" i="5" a="1"/>
  <c r="L395" i="5" s="1"/>
  <c r="L396" i="5" a="1"/>
  <c r="L396" i="5" s="1"/>
  <c r="L397" i="5" a="1"/>
  <c r="L397" i="5" s="1"/>
  <c r="L398" i="5" a="1"/>
  <c r="L398" i="5" s="1"/>
  <c r="L399" i="5" a="1"/>
  <c r="L399" i="5" s="1"/>
  <c r="L400" i="5" a="1"/>
  <c r="L400" i="5" s="1"/>
  <c r="L401" i="5" a="1"/>
  <c r="L401" i="5" s="1"/>
  <c r="L402" i="5" a="1"/>
  <c r="L402" i="5" s="1"/>
  <c r="L403" i="5" a="1"/>
  <c r="L403" i="5" s="1"/>
  <c r="L404" i="5" a="1"/>
  <c r="L404" i="5" s="1"/>
  <c r="L405" i="5" a="1"/>
  <c r="L405" i="5" s="1"/>
  <c r="L406" i="5" a="1"/>
  <c r="L406" i="5" s="1"/>
  <c r="L407" i="5" a="1"/>
  <c r="L407" i="5" s="1"/>
  <c r="L408" i="5" a="1"/>
  <c r="L408" i="5" s="1"/>
  <c r="L409" i="5" a="1"/>
  <c r="L409" i="5" s="1"/>
  <c r="L410" i="5" a="1"/>
  <c r="L410" i="5" s="1"/>
  <c r="L411" i="5" a="1"/>
  <c r="L411" i="5" s="1"/>
  <c r="L412" i="5" a="1"/>
  <c r="L412" i="5" s="1"/>
  <c r="L413" i="5" a="1"/>
  <c r="L413" i="5" s="1"/>
  <c r="L414" i="5" a="1"/>
  <c r="L414" i="5" s="1"/>
  <c r="L415" i="5" a="1"/>
  <c r="L415" i="5" s="1"/>
  <c r="L416" i="5" a="1"/>
  <c r="L416" i="5" s="1"/>
  <c r="L417" i="5" a="1"/>
  <c r="L417" i="5" s="1"/>
  <c r="L418" i="5" a="1"/>
  <c r="L418" i="5" s="1"/>
  <c r="L419" i="5" a="1"/>
  <c r="L419" i="5" s="1"/>
  <c r="L420" i="5" a="1"/>
  <c r="L420" i="5" s="1"/>
  <c r="L421" i="5" a="1"/>
  <c r="L421" i="5" s="1"/>
  <c r="L422" i="5" a="1"/>
  <c r="L422" i="5" s="1"/>
  <c r="L423" i="5" a="1"/>
  <c r="L423" i="5" s="1"/>
  <c r="L424" i="5" a="1"/>
  <c r="L424" i="5" s="1"/>
  <c r="L425" i="5" a="1"/>
  <c r="L425" i="5" s="1"/>
  <c r="L426" i="5" a="1"/>
  <c r="L426" i="5" s="1"/>
  <c r="L427" i="5" a="1"/>
  <c r="L427" i="5" s="1"/>
  <c r="L428" i="5" a="1"/>
  <c r="L428" i="5" s="1"/>
  <c r="L429" i="5" a="1"/>
  <c r="L429" i="5" s="1"/>
  <c r="L430" i="5" a="1"/>
  <c r="L430" i="5" s="1"/>
  <c r="L431" i="5" a="1"/>
  <c r="L431" i="5" s="1"/>
  <c r="L432" i="5" a="1"/>
  <c r="L432" i="5" s="1"/>
  <c r="L433" i="5" a="1"/>
  <c r="L433" i="5" s="1"/>
  <c r="L434" i="5" a="1"/>
  <c r="L434" i="5" s="1"/>
  <c r="L435" i="5" a="1"/>
  <c r="L435" i="5" s="1"/>
  <c r="L436" i="5" a="1"/>
  <c r="L436" i="5" s="1"/>
  <c r="L437" i="5" a="1"/>
  <c r="L437" i="5" s="1"/>
  <c r="L438" i="5" a="1"/>
  <c r="L438" i="5" s="1"/>
  <c r="L439" i="5" a="1"/>
  <c r="L439" i="5" s="1"/>
  <c r="L440" i="5" a="1"/>
  <c r="L440" i="5" s="1"/>
  <c r="L441" i="5" a="1"/>
  <c r="L441" i="5" s="1"/>
  <c r="L442" i="5" a="1"/>
  <c r="L442" i="5" s="1"/>
  <c r="L443" i="5" a="1"/>
  <c r="L443" i="5" s="1"/>
  <c r="L444" i="5" a="1"/>
  <c r="L444" i="5" s="1"/>
  <c r="L445" i="5" a="1"/>
  <c r="L445" i="5" s="1"/>
  <c r="L446" i="5" a="1"/>
  <c r="L446" i="5" s="1"/>
  <c r="L447" i="5" a="1"/>
  <c r="L447" i="5" s="1"/>
  <c r="L448" i="5" a="1"/>
  <c r="L448" i="5" s="1"/>
  <c r="L449" i="5" a="1"/>
  <c r="L449" i="5" s="1"/>
  <c r="L450" i="5" a="1"/>
  <c r="L450" i="5" s="1"/>
  <c r="L451" i="5" a="1"/>
  <c r="L451" i="5" s="1"/>
  <c r="L452" i="5" a="1"/>
  <c r="L452" i="5" s="1"/>
  <c r="L453" i="5" a="1"/>
  <c r="L453" i="5" s="1"/>
  <c r="L454" i="5" a="1"/>
  <c r="L454" i="5" s="1"/>
  <c r="L455" i="5" a="1"/>
  <c r="L455" i="5" s="1"/>
  <c r="L456" i="5" a="1"/>
  <c r="L456" i="5" s="1"/>
  <c r="L457" i="5" a="1"/>
  <c r="L457" i="5" s="1"/>
  <c r="L458" i="5" a="1"/>
  <c r="L458" i="5" s="1"/>
  <c r="L459" i="5" a="1"/>
  <c r="L459" i="5" s="1"/>
  <c r="L460" i="5" a="1"/>
  <c r="L460" i="5" s="1"/>
  <c r="L461" i="5" a="1"/>
  <c r="L461" i="5" s="1"/>
  <c r="L462" i="5" a="1"/>
  <c r="L462" i="5" s="1"/>
  <c r="L463" i="5" a="1"/>
  <c r="L463" i="5" s="1"/>
  <c r="L464" i="5" a="1"/>
  <c r="L464" i="5" s="1"/>
  <c r="L465" i="5" a="1"/>
  <c r="L465" i="5" s="1"/>
  <c r="L466" i="5" a="1"/>
  <c r="L466" i="5" s="1"/>
  <c r="L467" i="5" a="1"/>
  <c r="L467" i="5" s="1"/>
  <c r="L468" i="5" a="1"/>
  <c r="L468" i="5" s="1"/>
  <c r="L469" i="5" a="1"/>
  <c r="L469" i="5" s="1"/>
  <c r="L470" i="5" a="1"/>
  <c r="L470" i="5" s="1"/>
  <c r="L471" i="5" a="1"/>
  <c r="L471" i="5" s="1"/>
  <c r="L472" i="5" a="1"/>
  <c r="L472" i="5" s="1"/>
  <c r="L473" i="5" a="1"/>
  <c r="L473" i="5" s="1"/>
  <c r="L474" i="5" a="1"/>
  <c r="L474" i="5" s="1"/>
  <c r="L475" i="5" a="1"/>
  <c r="L475" i="5" s="1"/>
  <c r="L476" i="5" a="1"/>
  <c r="L476" i="5" s="1"/>
  <c r="L477" i="5" a="1"/>
  <c r="L477" i="5" s="1"/>
  <c r="L478" i="5" a="1"/>
  <c r="L478" i="5" s="1"/>
  <c r="L479" i="5" a="1"/>
  <c r="L479" i="5" s="1"/>
  <c r="L480" i="5" a="1"/>
  <c r="L480" i="5" s="1"/>
  <c r="L481" i="5" a="1"/>
  <c r="L481" i="5" s="1"/>
  <c r="L482" i="5" a="1"/>
  <c r="L482" i="5" s="1"/>
  <c r="L483" i="5" a="1"/>
  <c r="L483" i="5" s="1"/>
  <c r="L484" i="5" a="1"/>
  <c r="L484" i="5" s="1"/>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E2" i="5"/>
  <c r="N2" i="5" s="1"/>
  <c r="E3" i="5"/>
  <c r="N3" i="5" s="1"/>
  <c r="E4" i="5"/>
  <c r="N4" i="5" s="1"/>
  <c r="E5" i="5"/>
  <c r="N5" i="5" s="1"/>
  <c r="E6" i="5"/>
  <c r="N6" i="5" s="1"/>
  <c r="E7" i="5"/>
  <c r="N7" i="5" s="1"/>
  <c r="E8" i="5"/>
  <c r="N8" i="5" s="1"/>
  <c r="E9" i="5"/>
  <c r="N9" i="5" s="1"/>
  <c r="E10" i="5"/>
  <c r="N10" i="5" s="1"/>
  <c r="E11" i="5"/>
  <c r="N11" i="5" s="1"/>
  <c r="E12" i="5"/>
  <c r="N12" i="5" s="1"/>
  <c r="E13" i="5"/>
  <c r="N13" i="5" s="1"/>
  <c r="E14" i="5"/>
  <c r="N14" i="5" s="1"/>
  <c r="E15" i="5"/>
  <c r="N15" i="5" s="1"/>
  <c r="E16" i="5"/>
  <c r="N16" i="5" s="1"/>
  <c r="E17" i="5"/>
  <c r="N17" i="5" s="1"/>
  <c r="E18" i="5"/>
  <c r="N18" i="5" s="1"/>
  <c r="E19" i="5"/>
  <c r="N19" i="5" s="1"/>
  <c r="E20" i="5"/>
  <c r="N20" i="5" s="1"/>
  <c r="E21" i="5"/>
  <c r="N21" i="5" s="1"/>
  <c r="E22" i="5"/>
  <c r="N22" i="5" s="1"/>
  <c r="E23" i="5"/>
  <c r="N23" i="5" s="1"/>
  <c r="E24" i="5"/>
  <c r="N24" i="5" s="1"/>
  <c r="E25" i="5"/>
  <c r="N25" i="5" s="1"/>
  <c r="E26" i="5"/>
  <c r="N26" i="5" s="1"/>
  <c r="E27" i="5"/>
  <c r="N27" i="5" s="1"/>
  <c r="E28" i="5"/>
  <c r="N28" i="5" s="1"/>
  <c r="E29" i="5"/>
  <c r="N29" i="5" s="1"/>
  <c r="E30" i="5"/>
  <c r="N30" i="5" s="1"/>
  <c r="E31" i="5"/>
  <c r="N31" i="5" s="1"/>
  <c r="E32" i="5"/>
  <c r="N32" i="5" s="1"/>
  <c r="E33" i="5"/>
  <c r="N33" i="5" s="1"/>
  <c r="E34" i="5"/>
  <c r="N34" i="5" s="1"/>
  <c r="E35" i="5"/>
  <c r="N35" i="5" s="1"/>
  <c r="E36" i="5"/>
  <c r="N36" i="5" s="1"/>
  <c r="E37" i="5"/>
  <c r="N37" i="5" s="1"/>
  <c r="E38" i="5"/>
  <c r="N38" i="5" s="1"/>
  <c r="E39" i="5"/>
  <c r="N39" i="5" s="1"/>
  <c r="E40" i="5"/>
  <c r="N40" i="5" s="1"/>
  <c r="E41" i="5"/>
  <c r="N41" i="5" s="1"/>
  <c r="E42" i="5"/>
  <c r="N42" i="5" s="1"/>
  <c r="E43" i="5"/>
  <c r="N43" i="5" s="1"/>
  <c r="E44" i="5"/>
  <c r="N44" i="5" s="1"/>
  <c r="E45" i="5"/>
  <c r="N45" i="5" s="1"/>
  <c r="E46" i="5"/>
  <c r="N46" i="5" s="1"/>
  <c r="E47" i="5"/>
  <c r="N47" i="5" s="1"/>
  <c r="E48" i="5"/>
  <c r="N48" i="5" s="1"/>
  <c r="E49" i="5"/>
  <c r="N49" i="5" s="1"/>
  <c r="E50" i="5"/>
  <c r="N50" i="5" s="1"/>
  <c r="E51" i="5"/>
  <c r="N51" i="5" s="1"/>
  <c r="E52" i="5"/>
  <c r="N52" i="5" s="1"/>
  <c r="E53" i="5"/>
  <c r="N53" i="5" s="1"/>
  <c r="E54" i="5"/>
  <c r="N54" i="5" s="1"/>
  <c r="E55" i="5"/>
  <c r="N55" i="5" s="1"/>
  <c r="E56" i="5"/>
  <c r="N56" i="5" s="1"/>
  <c r="E57" i="5"/>
  <c r="N57" i="5" s="1"/>
  <c r="E58" i="5"/>
  <c r="N58" i="5" s="1"/>
  <c r="E59" i="5"/>
  <c r="N59" i="5" s="1"/>
  <c r="E60" i="5"/>
  <c r="N60" i="5" s="1"/>
  <c r="E61" i="5"/>
  <c r="N61" i="5" s="1"/>
  <c r="E62" i="5"/>
  <c r="N62" i="5" s="1"/>
  <c r="E63" i="5"/>
  <c r="N63" i="5" s="1"/>
  <c r="E64" i="5"/>
  <c r="N64" i="5" s="1"/>
  <c r="E65" i="5"/>
  <c r="N65" i="5" s="1"/>
  <c r="E66" i="5"/>
  <c r="N66" i="5" s="1"/>
  <c r="E67" i="5"/>
  <c r="N67" i="5" s="1"/>
  <c r="E68" i="5"/>
  <c r="N68" i="5" s="1"/>
  <c r="E69" i="5"/>
  <c r="N69" i="5" s="1"/>
  <c r="E70" i="5"/>
  <c r="N70" i="5" s="1"/>
  <c r="E71" i="5"/>
  <c r="N71" i="5" s="1"/>
  <c r="E72" i="5"/>
  <c r="N72" i="5" s="1"/>
  <c r="E73" i="5"/>
  <c r="N73" i="5" s="1"/>
  <c r="E74" i="5"/>
  <c r="N74" i="5" s="1"/>
  <c r="E75" i="5"/>
  <c r="N75" i="5" s="1"/>
  <c r="E76" i="5"/>
  <c r="N76" i="5" s="1"/>
  <c r="E77" i="5"/>
  <c r="N77" i="5" s="1"/>
  <c r="E78" i="5"/>
  <c r="N78" i="5" s="1"/>
  <c r="E79" i="5"/>
  <c r="N79" i="5" s="1"/>
  <c r="E80" i="5"/>
  <c r="N80" i="5" s="1"/>
  <c r="E81" i="5"/>
  <c r="N81" i="5" s="1"/>
  <c r="E82" i="5"/>
  <c r="N82" i="5" s="1"/>
  <c r="E83" i="5"/>
  <c r="N83" i="5" s="1"/>
  <c r="E84" i="5"/>
  <c r="N84" i="5" s="1"/>
  <c r="E85" i="5"/>
  <c r="N85" i="5" s="1"/>
  <c r="E86" i="5"/>
  <c r="N86" i="5" s="1"/>
  <c r="E87" i="5"/>
  <c r="N87" i="5" s="1"/>
  <c r="E88" i="5"/>
  <c r="N88" i="5" s="1"/>
  <c r="E89" i="5"/>
  <c r="N89" i="5" s="1"/>
  <c r="E90" i="5"/>
  <c r="N90" i="5" s="1"/>
  <c r="E91" i="5"/>
  <c r="N91" i="5" s="1"/>
  <c r="E92" i="5"/>
  <c r="N92" i="5" s="1"/>
  <c r="E93" i="5"/>
  <c r="N93" i="5" s="1"/>
  <c r="E94" i="5"/>
  <c r="N94" i="5" s="1"/>
  <c r="E95" i="5"/>
  <c r="N95" i="5" s="1"/>
  <c r="E96" i="5"/>
  <c r="N96" i="5" s="1"/>
  <c r="E97" i="5"/>
  <c r="N97" i="5" s="1"/>
  <c r="E98" i="5"/>
  <c r="N98" i="5" s="1"/>
  <c r="E99" i="5"/>
  <c r="N99" i="5" s="1"/>
  <c r="E100" i="5"/>
  <c r="N100" i="5" s="1"/>
  <c r="E101" i="5"/>
  <c r="N101" i="5" s="1"/>
  <c r="E102" i="5"/>
  <c r="N102" i="5" s="1"/>
  <c r="E103" i="5"/>
  <c r="N103" i="5" s="1"/>
  <c r="E104" i="5"/>
  <c r="N104" i="5" s="1"/>
  <c r="E105" i="5"/>
  <c r="N105" i="5" s="1"/>
  <c r="E106" i="5"/>
  <c r="N106" i="5" s="1"/>
  <c r="E107" i="5"/>
  <c r="N107" i="5" s="1"/>
  <c r="E108" i="5"/>
  <c r="N108" i="5" s="1"/>
  <c r="E109" i="5"/>
  <c r="N109" i="5" s="1"/>
  <c r="E110" i="5"/>
  <c r="N110" i="5" s="1"/>
  <c r="E111" i="5"/>
  <c r="N111" i="5" s="1"/>
  <c r="E112" i="5"/>
  <c r="N112" i="5" s="1"/>
  <c r="E113" i="5"/>
  <c r="N113" i="5" s="1"/>
  <c r="E114" i="5"/>
  <c r="N114" i="5" s="1"/>
  <c r="E115" i="5"/>
  <c r="N115" i="5" s="1"/>
  <c r="E116" i="5"/>
  <c r="N116" i="5" s="1"/>
  <c r="E117" i="5"/>
  <c r="N117" i="5" s="1"/>
  <c r="E118" i="5"/>
  <c r="N118" i="5" s="1"/>
  <c r="E119" i="5"/>
  <c r="N119" i="5" s="1"/>
  <c r="E120" i="5"/>
  <c r="N120" i="5" s="1"/>
  <c r="E121" i="5"/>
  <c r="N121" i="5" s="1"/>
  <c r="E122" i="5"/>
  <c r="N122" i="5" s="1"/>
  <c r="E123" i="5"/>
  <c r="N123" i="5" s="1"/>
  <c r="E124" i="5"/>
  <c r="N124" i="5" s="1"/>
  <c r="E125" i="5"/>
  <c r="N125" i="5" s="1"/>
  <c r="E126" i="5"/>
  <c r="N126" i="5" s="1"/>
  <c r="E127" i="5"/>
  <c r="N127" i="5" s="1"/>
  <c r="E128" i="5"/>
  <c r="N128" i="5" s="1"/>
  <c r="E129" i="5"/>
  <c r="N129" i="5" s="1"/>
  <c r="E130" i="5"/>
  <c r="N130" i="5" s="1"/>
  <c r="E131" i="5"/>
  <c r="N131" i="5" s="1"/>
  <c r="E132" i="5"/>
  <c r="N132" i="5" s="1"/>
  <c r="E133" i="5"/>
  <c r="N133" i="5" s="1"/>
  <c r="E134" i="5"/>
  <c r="N134" i="5" s="1"/>
  <c r="E135" i="5"/>
  <c r="N135" i="5" s="1"/>
  <c r="E136" i="5"/>
  <c r="N136" i="5" s="1"/>
  <c r="E137" i="5"/>
  <c r="N137" i="5" s="1"/>
  <c r="E138" i="5"/>
  <c r="N138" i="5" s="1"/>
  <c r="E139" i="5"/>
  <c r="N139" i="5" s="1"/>
  <c r="E140" i="5"/>
  <c r="N140" i="5" s="1"/>
  <c r="E141" i="5"/>
  <c r="N141" i="5" s="1"/>
  <c r="E142" i="5"/>
  <c r="N142" i="5" s="1"/>
  <c r="E143" i="5"/>
  <c r="N143" i="5" s="1"/>
  <c r="E144" i="5"/>
  <c r="N144" i="5" s="1"/>
  <c r="E145" i="5"/>
  <c r="N145" i="5" s="1"/>
  <c r="E146" i="5"/>
  <c r="N146" i="5" s="1"/>
  <c r="E147" i="5"/>
  <c r="N147" i="5" s="1"/>
  <c r="E148" i="5"/>
  <c r="N148" i="5" s="1"/>
  <c r="E149" i="5"/>
  <c r="N149" i="5" s="1"/>
  <c r="E150" i="5"/>
  <c r="N150" i="5" s="1"/>
  <c r="E151" i="5"/>
  <c r="N151" i="5" s="1"/>
  <c r="E152" i="5"/>
  <c r="N152" i="5" s="1"/>
  <c r="E153" i="5"/>
  <c r="N153" i="5" s="1"/>
  <c r="E154" i="5"/>
  <c r="N154" i="5" s="1"/>
  <c r="E155" i="5"/>
  <c r="N155" i="5" s="1"/>
  <c r="E156" i="5"/>
  <c r="N156" i="5" s="1"/>
  <c r="E157" i="5"/>
  <c r="N157" i="5" s="1"/>
  <c r="E158" i="5"/>
  <c r="N158" i="5" s="1"/>
  <c r="E159" i="5"/>
  <c r="N159" i="5" s="1"/>
  <c r="E160" i="5"/>
  <c r="N160" i="5" s="1"/>
  <c r="E161" i="5"/>
  <c r="N161" i="5" s="1"/>
  <c r="E162" i="5"/>
  <c r="N162" i="5" s="1"/>
  <c r="E163" i="5"/>
  <c r="N163" i="5" s="1"/>
  <c r="E164" i="5"/>
  <c r="N164" i="5" s="1"/>
  <c r="E165" i="5"/>
  <c r="N165" i="5" s="1"/>
  <c r="E166" i="5"/>
  <c r="N166" i="5" s="1"/>
  <c r="E167" i="5"/>
  <c r="N167" i="5" s="1"/>
  <c r="E168" i="5"/>
  <c r="N168" i="5" s="1"/>
  <c r="E169" i="5"/>
  <c r="N169" i="5" s="1"/>
  <c r="E170" i="5"/>
  <c r="N170" i="5" s="1"/>
  <c r="E171" i="5"/>
  <c r="N171" i="5" s="1"/>
  <c r="E172" i="5"/>
  <c r="N172" i="5" s="1"/>
  <c r="E173" i="5"/>
  <c r="N173" i="5" s="1"/>
  <c r="E174" i="5"/>
  <c r="N174" i="5" s="1"/>
  <c r="E175" i="5"/>
  <c r="N175" i="5" s="1"/>
  <c r="E176" i="5"/>
  <c r="N176" i="5" s="1"/>
  <c r="E177" i="5"/>
  <c r="N177" i="5" s="1"/>
  <c r="E178" i="5"/>
  <c r="N178" i="5" s="1"/>
  <c r="E179" i="5"/>
  <c r="N179" i="5" s="1"/>
  <c r="E180" i="5"/>
  <c r="N180" i="5" s="1"/>
  <c r="E181" i="5"/>
  <c r="N181" i="5" s="1"/>
  <c r="E182" i="5"/>
  <c r="N182" i="5" s="1"/>
  <c r="E183" i="5"/>
  <c r="N183" i="5" s="1"/>
  <c r="E184" i="5"/>
  <c r="N184" i="5" s="1"/>
  <c r="E185" i="5"/>
  <c r="N185" i="5" s="1"/>
  <c r="E186" i="5"/>
  <c r="N186" i="5" s="1"/>
  <c r="E187" i="5"/>
  <c r="N187" i="5" s="1"/>
  <c r="E188" i="5"/>
  <c r="N188" i="5" s="1"/>
  <c r="E189" i="5"/>
  <c r="N189" i="5" s="1"/>
  <c r="E190" i="5"/>
  <c r="N190" i="5" s="1"/>
  <c r="E191" i="5"/>
  <c r="N191" i="5" s="1"/>
  <c r="E192" i="5"/>
  <c r="N192" i="5" s="1"/>
  <c r="E193" i="5"/>
  <c r="N193" i="5" s="1"/>
  <c r="E194" i="5"/>
  <c r="N194" i="5" s="1"/>
  <c r="E195" i="5"/>
  <c r="N195" i="5" s="1"/>
  <c r="E196" i="5"/>
  <c r="N196" i="5" s="1"/>
  <c r="E197" i="5"/>
  <c r="N197" i="5" s="1"/>
  <c r="E198" i="5"/>
  <c r="N198" i="5" s="1"/>
  <c r="E199" i="5"/>
  <c r="N199" i="5" s="1"/>
  <c r="E200" i="5"/>
  <c r="N200" i="5" s="1"/>
  <c r="E201" i="5"/>
  <c r="N201" i="5" s="1"/>
  <c r="E202" i="5"/>
  <c r="N202" i="5" s="1"/>
  <c r="E203" i="5"/>
  <c r="N203" i="5" s="1"/>
  <c r="E204" i="5"/>
  <c r="N204" i="5" s="1"/>
  <c r="E205" i="5"/>
  <c r="N205" i="5" s="1"/>
  <c r="E206" i="5"/>
  <c r="N206" i="5" s="1"/>
  <c r="E207" i="5"/>
  <c r="N207" i="5" s="1"/>
  <c r="E208" i="5"/>
  <c r="N208" i="5" s="1"/>
  <c r="E209" i="5"/>
  <c r="N209" i="5" s="1"/>
  <c r="E210" i="5"/>
  <c r="N210" i="5" s="1"/>
  <c r="E211" i="5"/>
  <c r="N211" i="5" s="1"/>
  <c r="E212" i="5"/>
  <c r="N212" i="5" s="1"/>
  <c r="E213" i="5"/>
  <c r="N213" i="5" s="1"/>
  <c r="E214" i="5"/>
  <c r="N214" i="5" s="1"/>
  <c r="E215" i="5"/>
  <c r="N215" i="5" s="1"/>
  <c r="E216" i="5"/>
  <c r="N216" i="5" s="1"/>
  <c r="E217" i="5"/>
  <c r="N217" i="5" s="1"/>
  <c r="E218" i="5"/>
  <c r="N218" i="5" s="1"/>
  <c r="E219" i="5"/>
  <c r="N219" i="5" s="1"/>
  <c r="E220" i="5"/>
  <c r="N220" i="5" s="1"/>
  <c r="E221" i="5"/>
  <c r="N221" i="5" s="1"/>
  <c r="E222" i="5"/>
  <c r="N222" i="5" s="1"/>
  <c r="E223" i="5"/>
  <c r="N223" i="5" s="1"/>
  <c r="E224" i="5"/>
  <c r="N224" i="5" s="1"/>
  <c r="E225" i="5"/>
  <c r="N225" i="5" s="1"/>
  <c r="E226" i="5"/>
  <c r="N226" i="5" s="1"/>
  <c r="E227" i="5"/>
  <c r="N227" i="5" s="1"/>
  <c r="E228" i="5"/>
  <c r="N228" i="5" s="1"/>
  <c r="E229" i="5"/>
  <c r="N229" i="5" s="1"/>
  <c r="E230" i="5"/>
  <c r="N230" i="5" s="1"/>
  <c r="E231" i="5"/>
  <c r="N231" i="5" s="1"/>
  <c r="E232" i="5"/>
  <c r="N232" i="5" s="1"/>
  <c r="E233" i="5"/>
  <c r="N233" i="5" s="1"/>
  <c r="E234" i="5"/>
  <c r="N234" i="5" s="1"/>
  <c r="E235" i="5"/>
  <c r="N235" i="5" s="1"/>
  <c r="E236" i="5"/>
  <c r="N236" i="5" s="1"/>
  <c r="E237" i="5"/>
  <c r="N237" i="5" s="1"/>
  <c r="E238" i="5"/>
  <c r="N238" i="5" s="1"/>
  <c r="E239" i="5"/>
  <c r="N239" i="5" s="1"/>
  <c r="E240" i="5"/>
  <c r="N240" i="5" s="1"/>
  <c r="E241" i="5"/>
  <c r="N241" i="5" s="1"/>
  <c r="E242" i="5"/>
  <c r="N242" i="5" s="1"/>
  <c r="E243" i="5"/>
  <c r="N243" i="5" s="1"/>
  <c r="E244" i="5"/>
  <c r="N244" i="5" s="1"/>
  <c r="E245" i="5"/>
  <c r="N245" i="5" s="1"/>
  <c r="E246" i="5"/>
  <c r="N246" i="5" s="1"/>
  <c r="E247" i="5"/>
  <c r="N247" i="5" s="1"/>
  <c r="E248" i="5"/>
  <c r="N248" i="5" s="1"/>
  <c r="E249" i="5"/>
  <c r="N249" i="5" s="1"/>
  <c r="E250" i="5"/>
  <c r="N250" i="5" s="1"/>
  <c r="E251" i="5"/>
  <c r="N251" i="5" s="1"/>
  <c r="E252" i="5"/>
  <c r="N252" i="5" s="1"/>
  <c r="E253" i="5"/>
  <c r="N253" i="5" s="1"/>
  <c r="E254" i="5"/>
  <c r="N254" i="5" s="1"/>
  <c r="E255" i="5"/>
  <c r="N255" i="5" s="1"/>
  <c r="E256" i="5"/>
  <c r="N256" i="5" s="1"/>
  <c r="E257" i="5"/>
  <c r="N257" i="5" s="1"/>
  <c r="E258" i="5"/>
  <c r="N258" i="5" s="1"/>
  <c r="E259" i="5"/>
  <c r="N259" i="5" s="1"/>
  <c r="E260" i="5"/>
  <c r="N260" i="5" s="1"/>
  <c r="E261" i="5"/>
  <c r="N261" i="5" s="1"/>
  <c r="E262" i="5"/>
  <c r="N262" i="5" s="1"/>
  <c r="E263" i="5"/>
  <c r="N263" i="5" s="1"/>
  <c r="E264" i="5"/>
  <c r="N264" i="5" s="1"/>
  <c r="E265" i="5"/>
  <c r="N265" i="5" s="1"/>
  <c r="E266" i="5"/>
  <c r="N266" i="5" s="1"/>
  <c r="E267" i="5"/>
  <c r="N267" i="5" s="1"/>
  <c r="E268" i="5"/>
  <c r="N268" i="5" s="1"/>
  <c r="E269" i="5"/>
  <c r="N269" i="5" s="1"/>
  <c r="E270" i="5"/>
  <c r="N270" i="5" s="1"/>
  <c r="E271" i="5"/>
  <c r="N271" i="5" s="1"/>
  <c r="E272" i="5"/>
  <c r="N272" i="5" s="1"/>
  <c r="E273" i="5"/>
  <c r="N273" i="5" s="1"/>
  <c r="E274" i="5"/>
  <c r="N274" i="5" s="1"/>
  <c r="E275" i="5"/>
  <c r="N275" i="5" s="1"/>
  <c r="E276" i="5"/>
  <c r="N276" i="5" s="1"/>
  <c r="E277" i="5"/>
  <c r="N277" i="5" s="1"/>
  <c r="E278" i="5"/>
  <c r="N278" i="5" s="1"/>
  <c r="E279" i="5"/>
  <c r="N279" i="5" s="1"/>
  <c r="E280" i="5"/>
  <c r="N280" i="5" s="1"/>
  <c r="E281" i="5"/>
  <c r="N281" i="5" s="1"/>
  <c r="E282" i="5"/>
  <c r="N282" i="5" s="1"/>
  <c r="E283" i="5"/>
  <c r="N283" i="5" s="1"/>
  <c r="E284" i="5"/>
  <c r="N284" i="5" s="1"/>
  <c r="E285" i="5"/>
  <c r="N285" i="5" s="1"/>
  <c r="E286" i="5"/>
  <c r="N286" i="5" s="1"/>
  <c r="E287" i="5"/>
  <c r="N287" i="5" s="1"/>
  <c r="E288" i="5"/>
  <c r="N288" i="5" s="1"/>
  <c r="E289" i="5"/>
  <c r="N289" i="5" s="1"/>
  <c r="E290" i="5"/>
  <c r="N290" i="5" s="1"/>
  <c r="E291" i="5"/>
  <c r="N291" i="5" s="1"/>
  <c r="E292" i="5"/>
  <c r="N292" i="5" s="1"/>
  <c r="E293" i="5"/>
  <c r="N293" i="5" s="1"/>
  <c r="E294" i="5"/>
  <c r="N294" i="5" s="1"/>
  <c r="E295" i="5"/>
  <c r="N295" i="5" s="1"/>
  <c r="E296" i="5"/>
  <c r="N296" i="5" s="1"/>
  <c r="E297" i="5"/>
  <c r="N297" i="5" s="1"/>
  <c r="E298" i="5"/>
  <c r="N298" i="5" s="1"/>
  <c r="E299" i="5"/>
  <c r="N299" i="5" s="1"/>
  <c r="E300" i="5"/>
  <c r="N300" i="5" s="1"/>
  <c r="E301" i="5"/>
  <c r="N301" i="5" s="1"/>
  <c r="E302" i="5"/>
  <c r="N302" i="5" s="1"/>
  <c r="E303" i="5"/>
  <c r="N303" i="5" s="1"/>
  <c r="E304" i="5"/>
  <c r="N304" i="5" s="1"/>
  <c r="E305" i="5"/>
  <c r="N305" i="5" s="1"/>
  <c r="E306" i="5"/>
  <c r="N306" i="5" s="1"/>
  <c r="E307" i="5"/>
  <c r="N307" i="5" s="1"/>
  <c r="E308" i="5"/>
  <c r="N308" i="5" s="1"/>
  <c r="E309" i="5"/>
  <c r="N309" i="5" s="1"/>
  <c r="E310" i="5"/>
  <c r="N310" i="5" s="1"/>
  <c r="E311" i="5"/>
  <c r="N311" i="5" s="1"/>
  <c r="E312" i="5"/>
  <c r="N312" i="5" s="1"/>
  <c r="E313" i="5"/>
  <c r="N313" i="5" s="1"/>
  <c r="E314" i="5"/>
  <c r="N314" i="5" s="1"/>
  <c r="E315" i="5"/>
  <c r="N315" i="5" s="1"/>
  <c r="E316" i="5"/>
  <c r="N316" i="5" s="1"/>
  <c r="E317" i="5"/>
  <c r="N317" i="5" s="1"/>
  <c r="E318" i="5"/>
  <c r="N318" i="5" s="1"/>
  <c r="E319" i="5"/>
  <c r="N319" i="5" s="1"/>
  <c r="E320" i="5"/>
  <c r="N320" i="5" s="1"/>
  <c r="E321" i="5"/>
  <c r="N321" i="5" s="1"/>
  <c r="E322" i="5"/>
  <c r="N322" i="5" s="1"/>
  <c r="E323" i="5"/>
  <c r="N323" i="5" s="1"/>
  <c r="E324" i="5"/>
  <c r="N324" i="5" s="1"/>
  <c r="E325" i="5"/>
  <c r="N325" i="5" s="1"/>
  <c r="E326" i="5"/>
  <c r="N326" i="5" s="1"/>
  <c r="E327" i="5"/>
  <c r="N327" i="5" s="1"/>
  <c r="E328" i="5"/>
  <c r="N328" i="5" s="1"/>
  <c r="E329" i="5"/>
  <c r="N329" i="5" s="1"/>
  <c r="E330" i="5"/>
  <c r="N330" i="5" s="1"/>
  <c r="E331" i="5"/>
  <c r="N331" i="5" s="1"/>
  <c r="E332" i="5"/>
  <c r="N332" i="5" s="1"/>
  <c r="E333" i="5"/>
  <c r="N333" i="5" s="1"/>
  <c r="E334" i="5"/>
  <c r="N334" i="5" s="1"/>
  <c r="E335" i="5"/>
  <c r="N335" i="5" s="1"/>
  <c r="E336" i="5"/>
  <c r="N336" i="5" s="1"/>
  <c r="E337" i="5"/>
  <c r="N337" i="5" s="1"/>
  <c r="E338" i="5"/>
  <c r="N338" i="5" s="1"/>
  <c r="E339" i="5"/>
  <c r="N339" i="5" s="1"/>
  <c r="E340" i="5"/>
  <c r="N340" i="5" s="1"/>
  <c r="E341" i="5"/>
  <c r="N341" i="5" s="1"/>
  <c r="E342" i="5"/>
  <c r="N342" i="5" s="1"/>
  <c r="E343" i="5"/>
  <c r="N343" i="5" s="1"/>
  <c r="E344" i="5"/>
  <c r="N344" i="5" s="1"/>
  <c r="E345" i="5"/>
  <c r="N345" i="5" s="1"/>
  <c r="E346" i="5"/>
  <c r="N346" i="5" s="1"/>
  <c r="E347" i="5"/>
  <c r="N347" i="5" s="1"/>
  <c r="E348" i="5"/>
  <c r="N348" i="5" s="1"/>
  <c r="E349" i="5"/>
  <c r="N349" i="5" s="1"/>
  <c r="E350" i="5"/>
  <c r="N350" i="5" s="1"/>
  <c r="E351" i="5"/>
  <c r="N351" i="5" s="1"/>
  <c r="E352" i="5"/>
  <c r="N352" i="5" s="1"/>
  <c r="E353" i="5"/>
  <c r="N353" i="5" s="1"/>
  <c r="E354" i="5"/>
  <c r="N354" i="5" s="1"/>
  <c r="E355" i="5"/>
  <c r="N355" i="5" s="1"/>
  <c r="E356" i="5"/>
  <c r="N356" i="5" s="1"/>
  <c r="E357" i="5"/>
  <c r="N357" i="5" s="1"/>
  <c r="E358" i="5"/>
  <c r="N358" i="5" s="1"/>
  <c r="E359" i="5"/>
  <c r="N359" i="5" s="1"/>
  <c r="E360" i="5"/>
  <c r="N360" i="5" s="1"/>
  <c r="E361" i="5"/>
  <c r="N361" i="5" s="1"/>
  <c r="E362" i="5"/>
  <c r="N362" i="5" s="1"/>
  <c r="E363" i="5"/>
  <c r="N363" i="5" s="1"/>
  <c r="E364" i="5"/>
  <c r="N364" i="5" s="1"/>
  <c r="E365" i="5"/>
  <c r="N365" i="5" s="1"/>
  <c r="E366" i="5"/>
  <c r="N366" i="5" s="1"/>
  <c r="E367" i="5"/>
  <c r="N367" i="5" s="1"/>
  <c r="E368" i="5"/>
  <c r="N368" i="5" s="1"/>
  <c r="E369" i="5"/>
  <c r="N369" i="5" s="1"/>
  <c r="E370" i="5"/>
  <c r="N370" i="5" s="1"/>
  <c r="E371" i="5"/>
  <c r="N371" i="5" s="1"/>
  <c r="E372" i="5"/>
  <c r="N372" i="5" s="1"/>
  <c r="E373" i="5"/>
  <c r="N373" i="5" s="1"/>
  <c r="E374" i="5"/>
  <c r="N374" i="5" s="1"/>
  <c r="E375" i="5"/>
  <c r="N375" i="5" s="1"/>
  <c r="E376" i="5"/>
  <c r="N376" i="5" s="1"/>
  <c r="E377" i="5"/>
  <c r="N377" i="5" s="1"/>
  <c r="E378" i="5"/>
  <c r="N378" i="5" s="1"/>
  <c r="E379" i="5"/>
  <c r="N379" i="5" s="1"/>
  <c r="E380" i="5"/>
  <c r="N380" i="5" s="1"/>
  <c r="E381" i="5"/>
  <c r="N381" i="5" s="1"/>
  <c r="E382" i="5"/>
  <c r="N382" i="5" s="1"/>
  <c r="E383" i="5"/>
  <c r="N383" i="5" s="1"/>
  <c r="E384" i="5"/>
  <c r="N384" i="5" s="1"/>
  <c r="E385" i="5"/>
  <c r="N385" i="5" s="1"/>
  <c r="E386" i="5"/>
  <c r="N386" i="5" s="1"/>
  <c r="E387" i="5"/>
  <c r="N387" i="5" s="1"/>
  <c r="E388" i="5"/>
  <c r="N388" i="5" s="1"/>
  <c r="E389" i="5"/>
  <c r="N389" i="5" s="1"/>
  <c r="E390" i="5"/>
  <c r="N390" i="5" s="1"/>
  <c r="E391" i="5"/>
  <c r="N391" i="5" s="1"/>
  <c r="E392" i="5"/>
  <c r="N392" i="5" s="1"/>
  <c r="E393" i="5"/>
  <c r="N393" i="5" s="1"/>
  <c r="E394" i="5"/>
  <c r="N394" i="5" s="1"/>
  <c r="E395" i="5"/>
  <c r="N395" i="5" s="1"/>
  <c r="E396" i="5"/>
  <c r="N396" i="5" s="1"/>
  <c r="E397" i="5"/>
  <c r="N397" i="5" s="1"/>
  <c r="E398" i="5"/>
  <c r="N398" i="5" s="1"/>
  <c r="E399" i="5"/>
  <c r="N399" i="5" s="1"/>
  <c r="E400" i="5"/>
  <c r="N400" i="5" s="1"/>
  <c r="E401" i="5"/>
  <c r="N401" i="5" s="1"/>
  <c r="E402" i="5"/>
  <c r="N402" i="5" s="1"/>
  <c r="E403" i="5"/>
  <c r="N403" i="5" s="1"/>
  <c r="E404" i="5"/>
  <c r="N404" i="5" s="1"/>
  <c r="E405" i="5"/>
  <c r="N405" i="5" s="1"/>
  <c r="E406" i="5"/>
  <c r="N406" i="5" s="1"/>
  <c r="E407" i="5"/>
  <c r="N407" i="5" s="1"/>
  <c r="E408" i="5"/>
  <c r="N408" i="5" s="1"/>
  <c r="E409" i="5"/>
  <c r="N409" i="5" s="1"/>
  <c r="E410" i="5"/>
  <c r="N410" i="5" s="1"/>
  <c r="E411" i="5"/>
  <c r="N411" i="5" s="1"/>
  <c r="E412" i="5"/>
  <c r="N412" i="5" s="1"/>
  <c r="E413" i="5"/>
  <c r="N413" i="5" s="1"/>
  <c r="E414" i="5"/>
  <c r="N414" i="5" s="1"/>
  <c r="E415" i="5"/>
  <c r="N415" i="5" s="1"/>
  <c r="E416" i="5"/>
  <c r="N416" i="5" s="1"/>
  <c r="E417" i="5"/>
  <c r="N417" i="5" s="1"/>
  <c r="E418" i="5"/>
  <c r="N418" i="5" s="1"/>
  <c r="E419" i="5"/>
  <c r="N419" i="5" s="1"/>
  <c r="E420" i="5"/>
  <c r="N420" i="5" s="1"/>
  <c r="E421" i="5"/>
  <c r="N421" i="5" s="1"/>
  <c r="E422" i="5"/>
  <c r="N422" i="5" s="1"/>
  <c r="E423" i="5"/>
  <c r="N423" i="5" s="1"/>
  <c r="E424" i="5"/>
  <c r="N424" i="5" s="1"/>
  <c r="E425" i="5"/>
  <c r="N425" i="5" s="1"/>
  <c r="E426" i="5"/>
  <c r="N426" i="5" s="1"/>
  <c r="E427" i="5"/>
  <c r="N427" i="5" s="1"/>
  <c r="E428" i="5"/>
  <c r="N428" i="5" s="1"/>
  <c r="E429" i="5"/>
  <c r="N429" i="5" s="1"/>
  <c r="E430" i="5"/>
  <c r="N430" i="5" s="1"/>
  <c r="E431" i="5"/>
  <c r="N431" i="5" s="1"/>
  <c r="E432" i="5"/>
  <c r="N432" i="5" s="1"/>
  <c r="E433" i="5"/>
  <c r="N433" i="5" s="1"/>
  <c r="E434" i="5"/>
  <c r="N434" i="5" s="1"/>
  <c r="E435" i="5"/>
  <c r="N435" i="5" s="1"/>
  <c r="E436" i="5"/>
  <c r="N436" i="5" s="1"/>
  <c r="E437" i="5"/>
  <c r="N437" i="5" s="1"/>
  <c r="E438" i="5"/>
  <c r="N438" i="5" s="1"/>
  <c r="E439" i="5"/>
  <c r="N439" i="5" s="1"/>
  <c r="E440" i="5"/>
  <c r="N440" i="5" s="1"/>
  <c r="E441" i="5"/>
  <c r="N441" i="5" s="1"/>
  <c r="E442" i="5"/>
  <c r="N442" i="5" s="1"/>
  <c r="E443" i="5"/>
  <c r="N443" i="5" s="1"/>
  <c r="E444" i="5"/>
  <c r="N444" i="5" s="1"/>
  <c r="E445" i="5"/>
  <c r="N445" i="5" s="1"/>
  <c r="E446" i="5"/>
  <c r="N446" i="5" s="1"/>
  <c r="E447" i="5"/>
  <c r="N447" i="5" s="1"/>
  <c r="E448" i="5"/>
  <c r="N448" i="5" s="1"/>
  <c r="E449" i="5"/>
  <c r="N449" i="5" s="1"/>
  <c r="E450" i="5"/>
  <c r="N450" i="5" s="1"/>
  <c r="E451" i="5"/>
  <c r="N451" i="5" s="1"/>
  <c r="E452" i="5"/>
  <c r="N452" i="5" s="1"/>
  <c r="E453" i="5"/>
  <c r="N453" i="5" s="1"/>
  <c r="E454" i="5"/>
  <c r="N454" i="5" s="1"/>
  <c r="E455" i="5"/>
  <c r="N455" i="5" s="1"/>
  <c r="E456" i="5"/>
  <c r="N456" i="5" s="1"/>
  <c r="E457" i="5"/>
  <c r="N457" i="5" s="1"/>
  <c r="E458" i="5"/>
  <c r="N458" i="5" s="1"/>
  <c r="E459" i="5"/>
  <c r="N459" i="5" s="1"/>
  <c r="E460" i="5"/>
  <c r="N460" i="5" s="1"/>
  <c r="E461" i="5"/>
  <c r="N461" i="5" s="1"/>
  <c r="E462" i="5"/>
  <c r="N462" i="5" s="1"/>
  <c r="E463" i="5"/>
  <c r="N463" i="5" s="1"/>
  <c r="E464" i="5"/>
  <c r="N464" i="5" s="1"/>
  <c r="E465" i="5"/>
  <c r="N465" i="5" s="1"/>
  <c r="E466" i="5"/>
  <c r="N466" i="5" s="1"/>
  <c r="E467" i="5"/>
  <c r="N467" i="5" s="1"/>
  <c r="E468" i="5"/>
  <c r="N468" i="5" s="1"/>
  <c r="E469" i="5"/>
  <c r="N469" i="5" s="1"/>
  <c r="E470" i="5"/>
  <c r="N470" i="5" s="1"/>
  <c r="E471" i="5"/>
  <c r="N471" i="5" s="1"/>
  <c r="E472" i="5"/>
  <c r="N472" i="5" s="1"/>
  <c r="E473" i="5"/>
  <c r="N473" i="5" s="1"/>
  <c r="E474" i="5"/>
  <c r="N474" i="5" s="1"/>
  <c r="E475" i="5"/>
  <c r="N475" i="5" s="1"/>
  <c r="E476" i="5"/>
  <c r="N476" i="5" s="1"/>
  <c r="E477" i="5"/>
  <c r="N477" i="5" s="1"/>
  <c r="E478" i="5"/>
  <c r="N478" i="5" s="1"/>
  <c r="E479" i="5"/>
  <c r="N479" i="5" s="1"/>
  <c r="E480" i="5"/>
  <c r="N480" i="5" s="1"/>
  <c r="E481" i="5"/>
  <c r="N481" i="5" s="1"/>
  <c r="E482" i="5"/>
  <c r="N482" i="5" s="1"/>
  <c r="E483" i="5"/>
  <c r="N483" i="5" s="1"/>
  <c r="E484" i="5"/>
  <c r="N484" i="5" s="1"/>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Q484" i="5"/>
  <c r="O484" i="5"/>
  <c r="Q483" i="5"/>
  <c r="O483" i="5"/>
  <c r="Q482" i="5"/>
  <c r="O482" i="5"/>
  <c r="Q481" i="5"/>
  <c r="O481" i="5"/>
  <c r="Q480" i="5"/>
  <c r="O480" i="5"/>
  <c r="Q479" i="5"/>
  <c r="O479" i="5"/>
  <c r="Q478" i="5"/>
  <c r="O478" i="5"/>
  <c r="Q477" i="5"/>
  <c r="O477" i="5"/>
  <c r="Q476" i="5"/>
  <c r="O476" i="5"/>
  <c r="Q475" i="5"/>
  <c r="O475" i="5"/>
  <c r="Q474" i="5"/>
  <c r="O474" i="5"/>
  <c r="Q473" i="5"/>
  <c r="O473" i="5"/>
  <c r="Q472" i="5"/>
  <c r="O472" i="5"/>
  <c r="Q471" i="5"/>
  <c r="O471" i="5"/>
  <c r="Q470" i="5"/>
  <c r="O470" i="5"/>
  <c r="Q469" i="5"/>
  <c r="O469" i="5"/>
  <c r="Q468" i="5"/>
  <c r="O468" i="5"/>
  <c r="Q467" i="5"/>
  <c r="O467" i="5"/>
  <c r="Q466" i="5"/>
  <c r="O466" i="5"/>
  <c r="Q465" i="5"/>
  <c r="O465" i="5"/>
  <c r="Q464" i="5"/>
  <c r="O464" i="5"/>
  <c r="Q463" i="5"/>
  <c r="O463" i="5"/>
  <c r="Q462" i="5"/>
  <c r="O462" i="5"/>
  <c r="Q461" i="5"/>
  <c r="O461" i="5"/>
  <c r="Q460" i="5"/>
  <c r="O460" i="5"/>
  <c r="Q459" i="5"/>
  <c r="O459" i="5"/>
  <c r="Q458" i="5"/>
  <c r="O458" i="5"/>
  <c r="Q457" i="5"/>
  <c r="O457" i="5"/>
  <c r="Q456" i="5"/>
  <c r="O456" i="5"/>
  <c r="Q455" i="5"/>
  <c r="O455" i="5"/>
  <c r="Q454" i="5"/>
  <c r="O454" i="5"/>
  <c r="Q453" i="5"/>
  <c r="O453" i="5"/>
  <c r="Q452" i="5"/>
  <c r="O452" i="5"/>
  <c r="Q451" i="5"/>
  <c r="O451" i="5"/>
  <c r="Q450" i="5"/>
  <c r="O450" i="5"/>
  <c r="Q449" i="5"/>
  <c r="O449" i="5"/>
  <c r="Q448" i="5"/>
  <c r="O448" i="5"/>
  <c r="Q447" i="5"/>
  <c r="O447" i="5"/>
  <c r="Q446" i="5"/>
  <c r="O446" i="5"/>
  <c r="Q445" i="5"/>
  <c r="O445" i="5"/>
  <c r="Q444" i="5"/>
  <c r="O444" i="5"/>
  <c r="Q443" i="5"/>
  <c r="O443" i="5"/>
  <c r="Q442" i="5"/>
  <c r="O442" i="5"/>
  <c r="Q441" i="5"/>
  <c r="O441" i="5"/>
  <c r="Q440" i="5"/>
  <c r="O440" i="5"/>
  <c r="Q439" i="5"/>
  <c r="O439" i="5"/>
  <c r="Q438" i="5"/>
  <c r="O438" i="5"/>
  <c r="Q437" i="5"/>
  <c r="O437" i="5"/>
  <c r="Q436" i="5"/>
  <c r="O436" i="5"/>
  <c r="Q435" i="5"/>
  <c r="O435" i="5"/>
  <c r="Q434" i="5"/>
  <c r="O434" i="5"/>
  <c r="Q433" i="5"/>
  <c r="O433" i="5"/>
  <c r="Q432" i="5"/>
  <c r="O432" i="5"/>
  <c r="Q431" i="5"/>
  <c r="O431" i="5"/>
  <c r="Q430" i="5"/>
  <c r="O430" i="5"/>
  <c r="Q429" i="5"/>
  <c r="O429" i="5"/>
  <c r="Q428" i="5"/>
  <c r="O428" i="5"/>
  <c r="Q427" i="5"/>
  <c r="O427" i="5"/>
  <c r="Q426" i="5"/>
  <c r="O426" i="5"/>
  <c r="Q425" i="5"/>
  <c r="O425" i="5"/>
  <c r="Q424" i="5"/>
  <c r="O424" i="5"/>
  <c r="Q423" i="5"/>
  <c r="O423" i="5"/>
  <c r="Q422" i="5"/>
  <c r="O422" i="5"/>
  <c r="Q421" i="5"/>
  <c r="O421" i="5"/>
  <c r="Q420" i="5"/>
  <c r="O420" i="5"/>
  <c r="Q419" i="5"/>
  <c r="O419" i="5"/>
  <c r="Q418" i="5"/>
  <c r="O418" i="5"/>
  <c r="Q417" i="5"/>
  <c r="O417" i="5"/>
  <c r="Q416" i="5"/>
  <c r="O416" i="5"/>
  <c r="Q415" i="5"/>
  <c r="O415" i="5"/>
  <c r="Q414" i="5"/>
  <c r="O414" i="5"/>
  <c r="Q413" i="5"/>
  <c r="O413" i="5"/>
  <c r="Q412" i="5"/>
  <c r="O412" i="5"/>
  <c r="Q411" i="5"/>
  <c r="O411" i="5"/>
  <c r="Q410" i="5"/>
  <c r="O410" i="5"/>
  <c r="Q409" i="5"/>
  <c r="O409" i="5"/>
  <c r="Q408" i="5"/>
  <c r="O408" i="5"/>
  <c r="Q407" i="5"/>
  <c r="O407" i="5"/>
  <c r="Q406" i="5"/>
  <c r="O406" i="5"/>
  <c r="Q405" i="5"/>
  <c r="O405" i="5"/>
  <c r="Q404" i="5"/>
  <c r="O404" i="5"/>
  <c r="Q403" i="5"/>
  <c r="O403" i="5"/>
  <c r="Q402" i="5"/>
  <c r="O402" i="5"/>
  <c r="Q401" i="5"/>
  <c r="O401" i="5"/>
  <c r="Q400" i="5"/>
  <c r="O400" i="5"/>
  <c r="Q399" i="5"/>
  <c r="O399" i="5"/>
  <c r="Q398" i="5"/>
  <c r="O398" i="5"/>
  <c r="Q397" i="5"/>
  <c r="O397" i="5"/>
  <c r="Q396" i="5"/>
  <c r="O396" i="5"/>
  <c r="Q395" i="5"/>
  <c r="O395" i="5"/>
  <c r="Q394" i="5"/>
  <c r="O394" i="5"/>
  <c r="Q393" i="5"/>
  <c r="O393" i="5"/>
  <c r="Q392" i="5"/>
  <c r="O392" i="5"/>
  <c r="Q391" i="5"/>
  <c r="O391" i="5"/>
  <c r="Q390" i="5"/>
  <c r="O390" i="5"/>
  <c r="Q389" i="5"/>
  <c r="O389" i="5"/>
  <c r="Q388" i="5"/>
  <c r="O388" i="5"/>
  <c r="Q387" i="5"/>
  <c r="O387" i="5"/>
  <c r="Q386" i="5"/>
  <c r="O386" i="5"/>
  <c r="Q385" i="5"/>
  <c r="O385" i="5"/>
  <c r="Q384" i="5"/>
  <c r="O384" i="5"/>
  <c r="Q383" i="5"/>
  <c r="O383" i="5"/>
  <c r="Q382" i="5"/>
  <c r="O382" i="5"/>
  <c r="Q381" i="5"/>
  <c r="O381" i="5"/>
  <c r="Q380" i="5"/>
  <c r="O380" i="5"/>
  <c r="Q379" i="5"/>
  <c r="O379" i="5"/>
  <c r="Q378" i="5"/>
  <c r="O378" i="5"/>
  <c r="Q377" i="5"/>
  <c r="O377" i="5"/>
  <c r="Q376" i="5"/>
  <c r="O376" i="5"/>
  <c r="Q375" i="5"/>
  <c r="O375" i="5"/>
  <c r="Q374" i="5"/>
  <c r="O374" i="5"/>
  <c r="Q373" i="5"/>
  <c r="O373" i="5"/>
  <c r="Q372" i="5"/>
  <c r="O372" i="5"/>
  <c r="Q371" i="5"/>
  <c r="O371" i="5"/>
  <c r="Q370" i="5"/>
  <c r="O370" i="5"/>
  <c r="Q369" i="5"/>
  <c r="O369" i="5"/>
  <c r="Q368" i="5"/>
  <c r="O368" i="5"/>
  <c r="Q367" i="5"/>
  <c r="O367" i="5"/>
  <c r="Q366" i="5"/>
  <c r="O366" i="5"/>
  <c r="Q365" i="5"/>
  <c r="O365" i="5"/>
  <c r="Q364" i="5"/>
  <c r="O364" i="5"/>
  <c r="Q363" i="5"/>
  <c r="O363" i="5"/>
  <c r="Q362" i="5"/>
  <c r="O362" i="5"/>
  <c r="Q361" i="5"/>
  <c r="O361" i="5"/>
  <c r="Q360" i="5"/>
  <c r="O360" i="5"/>
  <c r="Q359" i="5"/>
  <c r="O359" i="5"/>
  <c r="Q358" i="5"/>
  <c r="O358" i="5"/>
  <c r="Q357" i="5"/>
  <c r="O357" i="5"/>
  <c r="Q356" i="5"/>
  <c r="O356" i="5"/>
  <c r="Q355" i="5"/>
  <c r="O355" i="5"/>
  <c r="Q354" i="5"/>
  <c r="O354" i="5"/>
  <c r="Q353" i="5"/>
  <c r="O353" i="5"/>
  <c r="Q352" i="5"/>
  <c r="O352" i="5"/>
  <c r="Q351" i="5"/>
  <c r="O351" i="5"/>
  <c r="Q350" i="5"/>
  <c r="O350" i="5"/>
  <c r="Q349" i="5"/>
  <c r="O349" i="5"/>
  <c r="Q348" i="5"/>
  <c r="O348" i="5"/>
  <c r="Q347" i="5"/>
  <c r="O347" i="5"/>
  <c r="Q346" i="5"/>
  <c r="O346" i="5"/>
  <c r="Q345" i="5"/>
  <c r="O345" i="5"/>
  <c r="Q344" i="5"/>
  <c r="O344" i="5"/>
  <c r="Q343" i="5"/>
  <c r="O343" i="5"/>
  <c r="Q342" i="5"/>
  <c r="O342" i="5"/>
  <c r="Q341" i="5"/>
  <c r="O341" i="5"/>
  <c r="Q340" i="5"/>
  <c r="O340" i="5"/>
  <c r="Q339" i="5"/>
  <c r="O339" i="5"/>
  <c r="Q338" i="5"/>
  <c r="O338" i="5"/>
  <c r="Q337" i="5"/>
  <c r="O337" i="5"/>
  <c r="Q336" i="5"/>
  <c r="O336" i="5"/>
  <c r="Q335" i="5"/>
  <c r="O335" i="5"/>
  <c r="Q334" i="5"/>
  <c r="O334" i="5"/>
  <c r="Q333" i="5"/>
  <c r="O333" i="5"/>
  <c r="Q332" i="5"/>
  <c r="O332" i="5"/>
  <c r="Q331" i="5"/>
  <c r="O331" i="5"/>
  <c r="Q330" i="5"/>
  <c r="O330" i="5"/>
  <c r="Q329" i="5"/>
  <c r="O329" i="5"/>
  <c r="Q328" i="5"/>
  <c r="O328" i="5"/>
  <c r="Q327" i="5"/>
  <c r="O327" i="5"/>
  <c r="Q326" i="5"/>
  <c r="O326" i="5"/>
  <c r="Q325" i="5"/>
  <c r="O325" i="5"/>
  <c r="Q324" i="5"/>
  <c r="O324" i="5"/>
  <c r="Q323" i="5"/>
  <c r="O323" i="5"/>
  <c r="Q322" i="5"/>
  <c r="O322" i="5"/>
  <c r="Q321" i="5"/>
  <c r="O321" i="5"/>
  <c r="Q320" i="5"/>
  <c r="O320" i="5"/>
  <c r="Q319" i="5"/>
  <c r="O319" i="5"/>
  <c r="Q318" i="5"/>
  <c r="O318" i="5"/>
  <c r="Q317" i="5"/>
  <c r="O317" i="5"/>
  <c r="Q316" i="5"/>
  <c r="O316" i="5"/>
  <c r="Q315" i="5"/>
  <c r="O315" i="5"/>
  <c r="Q314" i="5"/>
  <c r="O314" i="5"/>
  <c r="Q313" i="5"/>
  <c r="O313" i="5"/>
  <c r="Q312" i="5"/>
  <c r="O312" i="5"/>
  <c r="Q311" i="5"/>
  <c r="O311" i="5"/>
  <c r="Q310" i="5"/>
  <c r="O310" i="5"/>
  <c r="Q309" i="5"/>
  <c r="O309" i="5"/>
  <c r="Q308" i="5"/>
  <c r="O308" i="5"/>
  <c r="Q307" i="5"/>
  <c r="O307" i="5"/>
  <c r="Q306" i="5"/>
  <c r="O306" i="5"/>
  <c r="Q305" i="5"/>
  <c r="O305" i="5"/>
  <c r="Q304" i="5"/>
  <c r="O304" i="5"/>
  <c r="Q303" i="5"/>
  <c r="O303" i="5"/>
  <c r="Q302" i="5"/>
  <c r="O302" i="5"/>
  <c r="Q301" i="5"/>
  <c r="O301" i="5"/>
  <c r="Q300" i="5"/>
  <c r="O300" i="5"/>
  <c r="Q299" i="5"/>
  <c r="O299" i="5"/>
  <c r="Q298" i="5"/>
  <c r="O298" i="5"/>
  <c r="Q297" i="5"/>
  <c r="O297" i="5"/>
  <c r="Q296" i="5"/>
  <c r="O296" i="5"/>
  <c r="Q295" i="5"/>
  <c r="O295" i="5"/>
  <c r="Q294" i="5"/>
  <c r="O294" i="5"/>
  <c r="Q293" i="5"/>
  <c r="O293" i="5"/>
  <c r="Q292" i="5"/>
  <c r="O292" i="5"/>
  <c r="Q291" i="5"/>
  <c r="O291" i="5"/>
  <c r="Q290" i="5"/>
  <c r="O290" i="5"/>
  <c r="Q289" i="5"/>
  <c r="O289" i="5"/>
  <c r="Q288" i="5"/>
  <c r="O288" i="5"/>
  <c r="Q287" i="5"/>
  <c r="O287" i="5"/>
  <c r="Q286" i="5"/>
  <c r="O286" i="5"/>
  <c r="Q285" i="5"/>
  <c r="O285" i="5"/>
  <c r="Q284" i="5"/>
  <c r="O284" i="5"/>
  <c r="Q283" i="5"/>
  <c r="O283" i="5"/>
  <c r="Q282" i="5"/>
  <c r="O282" i="5"/>
  <c r="Q281" i="5"/>
  <c r="O281" i="5"/>
  <c r="Q280" i="5"/>
  <c r="O280" i="5"/>
  <c r="Q279" i="5"/>
  <c r="O279" i="5"/>
  <c r="Q278" i="5"/>
  <c r="O278" i="5"/>
  <c r="Q277" i="5"/>
  <c r="O277" i="5"/>
  <c r="Q276" i="5"/>
  <c r="O276" i="5"/>
  <c r="Q275" i="5"/>
  <c r="O275" i="5"/>
  <c r="Q274" i="5"/>
  <c r="O274" i="5"/>
  <c r="Q273" i="5"/>
  <c r="O273" i="5"/>
  <c r="Q272" i="5"/>
  <c r="O272" i="5"/>
  <c r="Q271" i="5"/>
  <c r="O271" i="5"/>
  <c r="Q270" i="5"/>
  <c r="O270" i="5"/>
  <c r="Q269" i="5"/>
  <c r="O269" i="5"/>
  <c r="Q268" i="5"/>
  <c r="O268" i="5"/>
  <c r="Q267" i="5"/>
  <c r="O267" i="5"/>
  <c r="Q266" i="5"/>
  <c r="O266" i="5"/>
  <c r="Q265" i="5"/>
  <c r="O265" i="5"/>
  <c r="Q264" i="5"/>
  <c r="O264" i="5"/>
  <c r="Q263" i="5"/>
  <c r="O263" i="5"/>
  <c r="Q262" i="5"/>
  <c r="O262" i="5"/>
  <c r="Q261" i="5"/>
  <c r="O261" i="5"/>
  <c r="Q260" i="5"/>
  <c r="O260" i="5"/>
  <c r="Q259" i="5"/>
  <c r="O259" i="5"/>
  <c r="Q258" i="5"/>
  <c r="O258" i="5"/>
  <c r="Q257" i="5"/>
  <c r="O257" i="5"/>
  <c r="Q256" i="5"/>
  <c r="O256" i="5"/>
  <c r="Q255" i="5"/>
  <c r="O255" i="5"/>
  <c r="Q254" i="5"/>
  <c r="O254" i="5"/>
  <c r="Q253" i="5"/>
  <c r="O253" i="5"/>
  <c r="Q252" i="5"/>
  <c r="O252" i="5"/>
  <c r="Q251" i="5"/>
  <c r="O251" i="5"/>
  <c r="Q250" i="5"/>
  <c r="O250" i="5"/>
  <c r="Q249" i="5"/>
  <c r="O249" i="5"/>
  <c r="Q248" i="5"/>
  <c r="O248" i="5"/>
  <c r="Q247" i="5"/>
  <c r="O247" i="5"/>
  <c r="Q246" i="5"/>
  <c r="O246" i="5"/>
  <c r="Q245" i="5"/>
  <c r="O245" i="5"/>
  <c r="Q244" i="5"/>
  <c r="O244" i="5"/>
  <c r="Q243" i="5"/>
  <c r="O243" i="5"/>
  <c r="Q242" i="5"/>
  <c r="O242" i="5"/>
  <c r="Q241" i="5"/>
  <c r="O241" i="5"/>
  <c r="Q240" i="5"/>
  <c r="O240" i="5"/>
  <c r="Q239" i="5"/>
  <c r="O239" i="5"/>
  <c r="Q238" i="5"/>
  <c r="O238" i="5"/>
  <c r="Q237" i="5"/>
  <c r="O237" i="5"/>
  <c r="Q236" i="5"/>
  <c r="O236" i="5"/>
  <c r="Q235" i="5"/>
  <c r="O235" i="5"/>
  <c r="Q234" i="5"/>
  <c r="O234" i="5"/>
  <c r="Q233" i="5"/>
  <c r="O233" i="5"/>
  <c r="Q232" i="5"/>
  <c r="O232" i="5"/>
  <c r="Q231" i="5"/>
  <c r="O231" i="5"/>
  <c r="Q230" i="5"/>
  <c r="O230" i="5"/>
  <c r="Q229" i="5"/>
  <c r="O229" i="5"/>
  <c r="Q228" i="5"/>
  <c r="O228" i="5"/>
  <c r="Q227" i="5"/>
  <c r="O227" i="5"/>
  <c r="Q226" i="5"/>
  <c r="O226" i="5"/>
  <c r="Q225" i="5"/>
  <c r="O225" i="5"/>
  <c r="Q224" i="5"/>
  <c r="O224" i="5"/>
  <c r="Q223" i="5"/>
  <c r="O223" i="5"/>
  <c r="Q222" i="5"/>
  <c r="O222" i="5"/>
  <c r="Q221" i="5"/>
  <c r="O221" i="5"/>
  <c r="Q220" i="5"/>
  <c r="O220" i="5"/>
  <c r="Q219" i="5"/>
  <c r="O219" i="5"/>
  <c r="Q218" i="5"/>
  <c r="O218" i="5"/>
  <c r="Q217" i="5"/>
  <c r="O217" i="5"/>
  <c r="Q216" i="5"/>
  <c r="O216" i="5"/>
  <c r="Q215" i="5"/>
  <c r="O215" i="5"/>
  <c r="Q214" i="5"/>
  <c r="O214" i="5"/>
  <c r="Q213" i="5"/>
  <c r="O213" i="5"/>
  <c r="Q212" i="5"/>
  <c r="O212" i="5"/>
  <c r="Q211" i="5"/>
  <c r="O211" i="5"/>
  <c r="Q210" i="5"/>
  <c r="O210" i="5"/>
  <c r="Q209" i="5"/>
  <c r="O209" i="5"/>
  <c r="Q208" i="5"/>
  <c r="O208" i="5"/>
  <c r="Q207" i="5"/>
  <c r="O207" i="5"/>
  <c r="Q206" i="5"/>
  <c r="O206" i="5"/>
  <c r="Q205" i="5"/>
  <c r="O205" i="5"/>
  <c r="Q204" i="5"/>
  <c r="O204" i="5"/>
  <c r="Q203" i="5"/>
  <c r="O203" i="5"/>
  <c r="Q202" i="5"/>
  <c r="O202" i="5"/>
  <c r="Q201" i="5"/>
  <c r="O201" i="5"/>
  <c r="Q200" i="5"/>
  <c r="O200" i="5"/>
  <c r="Q199" i="5"/>
  <c r="O199" i="5"/>
  <c r="Q198" i="5"/>
  <c r="O198" i="5"/>
  <c r="Q197" i="5"/>
  <c r="O197" i="5"/>
  <c r="Q196" i="5"/>
  <c r="O196" i="5"/>
  <c r="Q195" i="5"/>
  <c r="O195" i="5"/>
  <c r="Q194" i="5"/>
  <c r="O194" i="5"/>
  <c r="Q193" i="5"/>
  <c r="O193" i="5"/>
  <c r="Q192" i="5"/>
  <c r="O192" i="5"/>
  <c r="Q191" i="5"/>
  <c r="O191" i="5"/>
  <c r="Q190" i="5"/>
  <c r="O190" i="5"/>
  <c r="Q189" i="5"/>
  <c r="O189" i="5"/>
  <c r="Q188" i="5"/>
  <c r="O188" i="5"/>
  <c r="Q187" i="5"/>
  <c r="O187" i="5"/>
  <c r="Q186" i="5"/>
  <c r="O186" i="5"/>
  <c r="Q185" i="5"/>
  <c r="O185" i="5"/>
  <c r="Q184" i="5"/>
  <c r="O184" i="5"/>
  <c r="Q183" i="5"/>
  <c r="O183" i="5"/>
  <c r="Q182" i="5"/>
  <c r="O182" i="5"/>
  <c r="Q181" i="5"/>
  <c r="O181" i="5"/>
  <c r="Q180" i="5"/>
  <c r="O180" i="5"/>
  <c r="Q179" i="5"/>
  <c r="O179" i="5"/>
  <c r="Q178" i="5"/>
  <c r="O178" i="5"/>
  <c r="Q177" i="5"/>
  <c r="O177" i="5"/>
  <c r="Q176" i="5"/>
  <c r="O176" i="5"/>
  <c r="Q175" i="5"/>
  <c r="O175" i="5"/>
  <c r="Q174" i="5"/>
  <c r="O174" i="5"/>
  <c r="Q173" i="5"/>
  <c r="O173" i="5"/>
  <c r="Q172" i="5"/>
  <c r="O172" i="5"/>
  <c r="Q171" i="5"/>
  <c r="O171" i="5"/>
  <c r="Q170" i="5"/>
  <c r="O170" i="5"/>
  <c r="Q169" i="5"/>
  <c r="O169" i="5"/>
  <c r="Q168" i="5"/>
  <c r="O168" i="5"/>
  <c r="Q167" i="5"/>
  <c r="O167" i="5"/>
  <c r="Q166" i="5"/>
  <c r="O166" i="5"/>
  <c r="Q165" i="5"/>
  <c r="O165" i="5"/>
  <c r="Q164" i="5"/>
  <c r="O164" i="5"/>
  <c r="Q163" i="5"/>
  <c r="O163" i="5"/>
  <c r="Q162" i="5"/>
  <c r="O162" i="5"/>
  <c r="Q161" i="5"/>
  <c r="O161" i="5"/>
  <c r="Q160" i="5"/>
  <c r="O160" i="5"/>
  <c r="Q159" i="5"/>
  <c r="O159" i="5"/>
  <c r="Q158" i="5"/>
  <c r="O158" i="5"/>
  <c r="Q157" i="5"/>
  <c r="O157" i="5"/>
  <c r="Q156" i="5"/>
  <c r="O156" i="5"/>
  <c r="Q155" i="5"/>
  <c r="O155" i="5"/>
  <c r="Q154" i="5"/>
  <c r="O154" i="5"/>
  <c r="Q153" i="5"/>
  <c r="O153" i="5"/>
  <c r="Q152" i="5"/>
  <c r="O152" i="5"/>
  <c r="Q151" i="5"/>
  <c r="O151" i="5"/>
  <c r="Q150" i="5"/>
  <c r="O150" i="5"/>
  <c r="Q149" i="5"/>
  <c r="O149" i="5"/>
  <c r="Q148" i="5"/>
  <c r="O148" i="5"/>
  <c r="Q147" i="5"/>
  <c r="O147" i="5"/>
  <c r="Q146" i="5"/>
  <c r="O146" i="5"/>
  <c r="Q145" i="5"/>
  <c r="O145" i="5"/>
  <c r="Q144" i="5"/>
  <c r="O144" i="5"/>
  <c r="Q143" i="5"/>
  <c r="O143" i="5"/>
  <c r="Q142" i="5"/>
  <c r="O142" i="5"/>
  <c r="Q141" i="5"/>
  <c r="O141" i="5"/>
  <c r="Q140" i="5"/>
  <c r="O140" i="5"/>
  <c r="Q139" i="5"/>
  <c r="O139" i="5"/>
  <c r="Q138" i="5"/>
  <c r="O138" i="5"/>
  <c r="Q137" i="5"/>
  <c r="O137" i="5"/>
  <c r="Q136" i="5"/>
  <c r="O136" i="5"/>
  <c r="Q135" i="5"/>
  <c r="O135" i="5"/>
  <c r="Q134" i="5"/>
  <c r="O134" i="5"/>
  <c r="Q133" i="5"/>
  <c r="O133" i="5"/>
  <c r="Q132" i="5"/>
  <c r="O132" i="5"/>
  <c r="Q131" i="5"/>
  <c r="O131" i="5"/>
  <c r="Q130" i="5"/>
  <c r="O130" i="5"/>
  <c r="Q129" i="5"/>
  <c r="O129" i="5"/>
  <c r="Q128" i="5"/>
  <c r="O128" i="5"/>
  <c r="Q127" i="5"/>
  <c r="O127" i="5"/>
  <c r="Q126" i="5"/>
  <c r="O126" i="5"/>
  <c r="Q125" i="5"/>
  <c r="O125" i="5"/>
  <c r="Q124" i="5"/>
  <c r="O124" i="5"/>
  <c r="Q123" i="5"/>
  <c r="O123" i="5"/>
  <c r="Q122" i="5"/>
  <c r="O122" i="5"/>
  <c r="Q121" i="5"/>
  <c r="O121" i="5"/>
  <c r="Q120" i="5"/>
  <c r="O120" i="5"/>
  <c r="Q119" i="5"/>
  <c r="O119" i="5"/>
  <c r="Q118" i="5"/>
  <c r="O118" i="5"/>
  <c r="Q117" i="5"/>
  <c r="O117" i="5"/>
  <c r="Q116" i="5"/>
  <c r="O116" i="5"/>
  <c r="Q115" i="5"/>
  <c r="O115" i="5"/>
  <c r="Q114" i="5"/>
  <c r="O114" i="5"/>
  <c r="Q113" i="5"/>
  <c r="O113" i="5"/>
  <c r="Q112" i="5"/>
  <c r="O112" i="5"/>
  <c r="Q111" i="5"/>
  <c r="O111" i="5"/>
  <c r="Q110" i="5"/>
  <c r="O110" i="5"/>
  <c r="Q109" i="5"/>
  <c r="O109" i="5"/>
  <c r="Q108" i="5"/>
  <c r="O108" i="5"/>
  <c r="Q107" i="5"/>
  <c r="O107" i="5"/>
  <c r="Q106" i="5"/>
  <c r="O106" i="5"/>
  <c r="Q105" i="5"/>
  <c r="O105" i="5"/>
  <c r="Q104" i="5"/>
  <c r="O104" i="5"/>
  <c r="Q103" i="5"/>
  <c r="O103" i="5"/>
  <c r="Q102" i="5"/>
  <c r="O102" i="5"/>
  <c r="Q101" i="5"/>
  <c r="O101" i="5"/>
  <c r="Q100" i="5"/>
  <c r="O100" i="5"/>
  <c r="Q99" i="5"/>
  <c r="O99" i="5"/>
  <c r="Q98" i="5"/>
  <c r="O98" i="5"/>
  <c r="Q97" i="5"/>
  <c r="O97" i="5"/>
  <c r="Q96" i="5"/>
  <c r="O96" i="5"/>
  <c r="Q95" i="5"/>
  <c r="O95" i="5"/>
  <c r="Q94" i="5"/>
  <c r="O94" i="5"/>
  <c r="Q93" i="5"/>
  <c r="O93" i="5"/>
  <c r="Q92" i="5"/>
  <c r="O92" i="5"/>
  <c r="Q91" i="5"/>
  <c r="O91" i="5"/>
  <c r="Q90" i="5"/>
  <c r="O90" i="5"/>
  <c r="Q89" i="5"/>
  <c r="O89" i="5"/>
  <c r="Q88" i="5"/>
  <c r="O88" i="5"/>
  <c r="Q87" i="5"/>
  <c r="O87" i="5"/>
  <c r="Q86" i="5"/>
  <c r="O86" i="5"/>
  <c r="Q85" i="5"/>
  <c r="O85" i="5"/>
  <c r="Q84" i="5"/>
  <c r="O84" i="5"/>
  <c r="Q83" i="5"/>
  <c r="O83" i="5"/>
  <c r="Q82" i="5"/>
  <c r="O82" i="5"/>
  <c r="Q81" i="5"/>
  <c r="O81" i="5"/>
  <c r="Q80" i="5"/>
  <c r="O80" i="5"/>
  <c r="Q79" i="5"/>
  <c r="O79" i="5"/>
  <c r="Q78" i="5"/>
  <c r="O78" i="5"/>
  <c r="Q77" i="5"/>
  <c r="O77" i="5"/>
  <c r="Q76" i="5"/>
  <c r="O76" i="5"/>
  <c r="Q75" i="5"/>
  <c r="O75" i="5"/>
  <c r="Q74" i="5"/>
  <c r="O74" i="5"/>
  <c r="Q73" i="5"/>
  <c r="O73" i="5"/>
  <c r="Q72" i="5"/>
  <c r="O72" i="5"/>
  <c r="Q71" i="5"/>
  <c r="O71" i="5"/>
  <c r="Q70" i="5"/>
  <c r="O70" i="5"/>
  <c r="Q69" i="5"/>
  <c r="O69" i="5"/>
  <c r="Q68" i="5"/>
  <c r="O68" i="5"/>
  <c r="Q67" i="5"/>
  <c r="O67" i="5"/>
  <c r="Q66" i="5"/>
  <c r="O66" i="5"/>
  <c r="Q65" i="5"/>
  <c r="O65" i="5"/>
  <c r="Q64" i="5"/>
  <c r="O64" i="5"/>
  <c r="Q63" i="5"/>
  <c r="O63" i="5"/>
  <c r="Q62" i="5"/>
  <c r="O62" i="5"/>
  <c r="Q61" i="5"/>
  <c r="O61" i="5"/>
  <c r="Q60" i="5"/>
  <c r="O60" i="5"/>
  <c r="Q59" i="5"/>
  <c r="O59" i="5"/>
  <c r="Q58" i="5"/>
  <c r="O58" i="5"/>
  <c r="Q57" i="5"/>
  <c r="O57" i="5"/>
  <c r="Q56" i="5"/>
  <c r="O56" i="5"/>
  <c r="Q55" i="5"/>
  <c r="O55" i="5"/>
  <c r="Q54" i="5"/>
  <c r="O54" i="5"/>
  <c r="Q53" i="5"/>
  <c r="O53" i="5"/>
  <c r="Q52" i="5"/>
  <c r="O52" i="5"/>
  <c r="Q51" i="5"/>
  <c r="O51" i="5"/>
  <c r="Q50" i="5"/>
  <c r="O50" i="5"/>
  <c r="Q49" i="5"/>
  <c r="O49" i="5"/>
  <c r="Q48" i="5"/>
  <c r="O48" i="5"/>
  <c r="Q47" i="5"/>
  <c r="O47" i="5"/>
  <c r="Q46" i="5"/>
  <c r="O46" i="5"/>
  <c r="Q45" i="5"/>
  <c r="O45" i="5"/>
  <c r="Q44" i="5"/>
  <c r="O44" i="5"/>
  <c r="Q43" i="5"/>
  <c r="O43" i="5"/>
  <c r="Q42" i="5"/>
  <c r="O42" i="5"/>
  <c r="Q41" i="5"/>
  <c r="O41" i="5"/>
  <c r="Q40" i="5"/>
  <c r="O40" i="5"/>
  <c r="Q39" i="5"/>
  <c r="O39" i="5"/>
  <c r="Q38" i="5"/>
  <c r="O38" i="5"/>
  <c r="Q37" i="5"/>
  <c r="O37" i="5"/>
  <c r="Q36" i="5"/>
  <c r="O36" i="5"/>
  <c r="Q35" i="5"/>
  <c r="O35" i="5"/>
  <c r="Q34" i="5"/>
  <c r="O34" i="5"/>
  <c r="Q33" i="5"/>
  <c r="O33" i="5"/>
  <c r="Q32" i="5"/>
  <c r="O32" i="5"/>
  <c r="Q31" i="5"/>
  <c r="O31" i="5"/>
  <c r="Q30" i="5"/>
  <c r="O30" i="5"/>
  <c r="Q29" i="5"/>
  <c r="O29" i="5"/>
  <c r="Q28" i="5"/>
  <c r="O28" i="5"/>
  <c r="Q27" i="5"/>
  <c r="O27" i="5"/>
  <c r="Q26" i="5"/>
  <c r="O26" i="5"/>
  <c r="Q25" i="5"/>
  <c r="O25" i="5"/>
  <c r="Q24" i="5"/>
  <c r="O24" i="5"/>
  <c r="Q23" i="5"/>
  <c r="O23" i="5"/>
  <c r="Q22" i="5"/>
  <c r="O22" i="5"/>
  <c r="Q21" i="5"/>
  <c r="O21" i="5"/>
  <c r="Q20" i="5"/>
  <c r="O20" i="5"/>
  <c r="Q19" i="5"/>
  <c r="O19" i="5"/>
  <c r="Q18" i="5"/>
  <c r="O18" i="5"/>
  <c r="Q17" i="5"/>
  <c r="O17" i="5"/>
  <c r="Q16" i="5"/>
  <c r="O16" i="5"/>
  <c r="Q15" i="5"/>
  <c r="O15" i="5"/>
  <c r="Q14" i="5"/>
  <c r="O14" i="5"/>
  <c r="Q13" i="5"/>
  <c r="O13" i="5"/>
  <c r="Q12" i="5"/>
  <c r="O12" i="5"/>
  <c r="Q11" i="5"/>
  <c r="O11" i="5"/>
  <c r="Q10" i="5"/>
  <c r="O10" i="5"/>
  <c r="Q9" i="5"/>
  <c r="O9" i="5"/>
  <c r="Q8" i="5"/>
  <c r="O8" i="5"/>
  <c r="Q7" i="5"/>
  <c r="O7" i="5"/>
  <c r="Q6" i="5"/>
  <c r="O6" i="5"/>
  <c r="Q5" i="5"/>
  <c r="O5" i="5"/>
  <c r="Q4" i="5"/>
  <c r="O4" i="5"/>
  <c r="Q3" i="5"/>
  <c r="O3" i="5"/>
  <c r="Q2" i="5"/>
  <c r="O2" i="5"/>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C17" i="12"/>
  <c r="H6" i="12"/>
  <c r="B12" i="12"/>
  <c r="B7" i="12"/>
  <c r="I6" i="12"/>
  <c r="I15" i="12"/>
  <c r="H15" i="12"/>
  <c r="V9" i="5" l="1"/>
  <c r="V482" i="5"/>
  <c r="V474" i="5"/>
  <c r="V466" i="5"/>
  <c r="V458" i="5"/>
  <c r="V450" i="5"/>
  <c r="V442" i="5"/>
  <c r="V434" i="5"/>
  <c r="V426" i="5"/>
  <c r="V418" i="5"/>
  <c r="V410" i="5"/>
  <c r="V402" i="5"/>
  <c r="V394" i="5"/>
  <c r="V386" i="5"/>
  <c r="V378" i="5"/>
  <c r="V370" i="5"/>
  <c r="V362" i="5"/>
  <c r="V354" i="5"/>
  <c r="V346" i="5"/>
  <c r="V338" i="5"/>
  <c r="V330" i="5"/>
  <c r="V322" i="5"/>
  <c r="V314" i="5"/>
  <c r="V306" i="5"/>
  <c r="V298" i="5"/>
  <c r="V290" i="5"/>
  <c r="V282" i="5"/>
  <c r="V274" i="5"/>
  <c r="V266" i="5"/>
  <c r="V258" i="5"/>
  <c r="V250" i="5"/>
  <c r="V242" i="5"/>
  <c r="V234" i="5"/>
  <c r="V226" i="5"/>
  <c r="V218" i="5"/>
  <c r="V210" i="5"/>
  <c r="V202" i="5"/>
  <c r="V194" i="5"/>
  <c r="V186" i="5"/>
  <c r="V178" i="5"/>
  <c r="V170" i="5"/>
  <c r="V162" i="5"/>
  <c r="V154" i="5"/>
  <c r="V146" i="5"/>
  <c r="V138" i="5"/>
  <c r="V130" i="5"/>
  <c r="V122" i="5"/>
  <c r="V114" i="5"/>
  <c r="V106" i="5"/>
  <c r="V98" i="5"/>
  <c r="V90" i="5"/>
  <c r="V82" i="5"/>
  <c r="V74" i="5"/>
  <c r="V66" i="5"/>
  <c r="V58" i="5"/>
  <c r="V50" i="5"/>
  <c r="V42" i="5"/>
  <c r="V34" i="5"/>
  <c r="V26" i="5"/>
  <c r="V18" i="5"/>
  <c r="V10" i="5"/>
  <c r="V481" i="5"/>
  <c r="V473" i="5"/>
  <c r="V465" i="5"/>
  <c r="V457" i="5"/>
  <c r="V449" i="5"/>
  <c r="V441" i="5"/>
  <c r="V433" i="5"/>
  <c r="V425" i="5"/>
  <c r="V417" i="5"/>
  <c r="V409" i="5"/>
  <c r="V401" i="5"/>
  <c r="V393" i="5"/>
  <c r="V385" i="5"/>
  <c r="V377" i="5"/>
  <c r="V369" i="5"/>
  <c r="V361" i="5"/>
  <c r="V353" i="5"/>
  <c r="V345" i="5"/>
  <c r="V337" i="5"/>
  <c r="V329" i="5"/>
  <c r="V321" i="5"/>
  <c r="V313" i="5"/>
  <c r="V305" i="5"/>
  <c r="V297" i="5"/>
  <c r="V289" i="5"/>
  <c r="V281" i="5"/>
  <c r="V273" i="5"/>
  <c r="V265" i="5"/>
  <c r="V257" i="5"/>
  <c r="V249" i="5"/>
  <c r="V241" i="5"/>
  <c r="V233" i="5"/>
  <c r="V225" i="5"/>
  <c r="V217" i="5"/>
  <c r="V209" i="5"/>
  <c r="V201" i="5"/>
  <c r="V193" i="5"/>
  <c r="V185" i="5"/>
  <c r="V177" i="5"/>
  <c r="V169" i="5"/>
  <c r="V161" i="5"/>
  <c r="V153" i="5"/>
  <c r="V145" i="5"/>
  <c r="V137" i="5"/>
  <c r="V129" i="5"/>
  <c r="V121" i="5"/>
  <c r="V113" i="5"/>
  <c r="V105" i="5"/>
  <c r="V97" i="5"/>
  <c r="V89" i="5"/>
  <c r="V81" i="5"/>
  <c r="V73" i="5"/>
  <c r="V65" i="5"/>
  <c r="V57" i="5"/>
  <c r="V49" i="5"/>
  <c r="V41" i="5"/>
  <c r="V33" i="5"/>
  <c r="V25" i="5"/>
  <c r="V17" i="5"/>
  <c r="V2" i="5"/>
  <c r="V480" i="5"/>
  <c r="V472" i="5"/>
  <c r="V464" i="5"/>
  <c r="V456" i="5"/>
  <c r="V448" i="5"/>
  <c r="V440" i="5"/>
  <c r="V432" i="5"/>
  <c r="V424" i="5"/>
  <c r="V416" i="5"/>
  <c r="V408" i="5"/>
  <c r="V400" i="5"/>
  <c r="V392" i="5"/>
  <c r="V384" i="5"/>
  <c r="V376" i="5"/>
  <c r="V368" i="5"/>
  <c r="V360" i="5"/>
  <c r="V352" i="5"/>
  <c r="V344" i="5"/>
  <c r="V336" i="5"/>
  <c r="V328" i="5"/>
  <c r="V320" i="5"/>
  <c r="V312" i="5"/>
  <c r="V304" i="5"/>
  <c r="V296" i="5"/>
  <c r="V288" i="5"/>
  <c r="V280" i="5"/>
  <c r="V272" i="5"/>
  <c r="V264" i="5"/>
  <c r="V256" i="5"/>
  <c r="V248" i="5"/>
  <c r="V240" i="5"/>
  <c r="V232" i="5"/>
  <c r="V224" i="5"/>
  <c r="V216" i="5"/>
  <c r="V208" i="5"/>
  <c r="V200" i="5"/>
  <c r="V192" i="5"/>
  <c r="V184" i="5"/>
  <c r="V176" i="5"/>
  <c r="V168" i="5"/>
  <c r="V160" i="5"/>
  <c r="V152" i="5"/>
  <c r="V144" i="5"/>
  <c r="V136" i="5"/>
  <c r="V128" i="5"/>
  <c r="V120" i="5"/>
  <c r="V112" i="5"/>
  <c r="V104" i="5"/>
  <c r="V96" i="5"/>
  <c r="V88" i="5"/>
  <c r="V80" i="5"/>
  <c r="V72" i="5"/>
  <c r="V64" i="5"/>
  <c r="V56" i="5"/>
  <c r="V48" i="5"/>
  <c r="V40" i="5"/>
  <c r="V32" i="5"/>
  <c r="V24" i="5"/>
  <c r="V16" i="5"/>
  <c r="V8" i="5"/>
  <c r="V479" i="5"/>
  <c r="V471" i="5"/>
  <c r="V463" i="5"/>
  <c r="V455" i="5"/>
  <c r="V447" i="5"/>
  <c r="V439" i="5"/>
  <c r="V431" i="5"/>
  <c r="V423" i="5"/>
  <c r="V415" i="5"/>
  <c r="V407" i="5"/>
  <c r="V399" i="5"/>
  <c r="V391" i="5"/>
  <c r="V383" i="5"/>
  <c r="V375" i="5"/>
  <c r="V367" i="5"/>
  <c r="V359" i="5"/>
  <c r="V351" i="5"/>
  <c r="V343" i="5"/>
  <c r="V335" i="5"/>
  <c r="V327" i="5"/>
  <c r="V319" i="5"/>
  <c r="V311" i="5"/>
  <c r="V303" i="5"/>
  <c r="V295" i="5"/>
  <c r="V287" i="5"/>
  <c r="V279" i="5"/>
  <c r="V271" i="5"/>
  <c r="V263" i="5"/>
  <c r="V255" i="5"/>
  <c r="V247" i="5"/>
  <c r="V239" i="5"/>
  <c r="V231" i="5"/>
  <c r="V223" i="5"/>
  <c r="V215" i="5"/>
  <c r="V207" i="5"/>
  <c r="V199" i="5"/>
  <c r="V191" i="5"/>
  <c r="V183" i="5"/>
  <c r="V175" i="5"/>
  <c r="V167" i="5"/>
  <c r="V159" i="5"/>
  <c r="V151" i="5"/>
  <c r="V143" i="5"/>
  <c r="V135" i="5"/>
  <c r="V127" i="5"/>
  <c r="V119" i="5"/>
  <c r="V111" i="5"/>
  <c r="V103" i="5"/>
  <c r="V95" i="5"/>
  <c r="V87" i="5"/>
  <c r="V79" i="5"/>
  <c r="V71" i="5"/>
  <c r="V63" i="5"/>
  <c r="V55" i="5"/>
  <c r="V47" i="5"/>
  <c r="V39" i="5"/>
  <c r="V31" i="5"/>
  <c r="V23" i="5"/>
  <c r="V15" i="5"/>
  <c r="V7" i="5"/>
  <c r="V478" i="5"/>
  <c r="V470" i="5"/>
  <c r="V462" i="5"/>
  <c r="V454" i="5"/>
  <c r="V446" i="5"/>
  <c r="V438" i="5"/>
  <c r="V430" i="5"/>
  <c r="V422" i="5"/>
  <c r="V414" i="5"/>
  <c r="V406" i="5"/>
  <c r="V398" i="5"/>
  <c r="V390" i="5"/>
  <c r="V382" i="5"/>
  <c r="V374" i="5"/>
  <c r="V366" i="5"/>
  <c r="V358" i="5"/>
  <c r="V350" i="5"/>
  <c r="V342" i="5"/>
  <c r="V334" i="5"/>
  <c r="V326" i="5"/>
  <c r="V318" i="5"/>
  <c r="V310" i="5"/>
  <c r="V302" i="5"/>
  <c r="V294" i="5"/>
  <c r="V286" i="5"/>
  <c r="V278" i="5"/>
  <c r="V270" i="5"/>
  <c r="V262" i="5"/>
  <c r="V254" i="5"/>
  <c r="V246" i="5"/>
  <c r="V238" i="5"/>
  <c r="V230" i="5"/>
  <c r="V222" i="5"/>
  <c r="V214" i="5"/>
  <c r="V206" i="5"/>
  <c r="V198" i="5"/>
  <c r="V190" i="5"/>
  <c r="V182" i="5"/>
  <c r="V174" i="5"/>
  <c r="V166" i="5"/>
  <c r="V158" i="5"/>
  <c r="V150" i="5"/>
  <c r="V142" i="5"/>
  <c r="V134" i="5"/>
  <c r="V126" i="5"/>
  <c r="V118" i="5"/>
  <c r="V110" i="5"/>
  <c r="V102" i="5"/>
  <c r="V94" i="5"/>
  <c r="V86" i="5"/>
  <c r="V78" i="5"/>
  <c r="V70" i="5"/>
  <c r="V62" i="5"/>
  <c r="V54" i="5"/>
  <c r="V46" i="5"/>
  <c r="V38" i="5"/>
  <c r="V30" i="5"/>
  <c r="V22" i="5"/>
  <c r="V14" i="5"/>
  <c r="V6" i="5"/>
  <c r="V477" i="5"/>
  <c r="V469" i="5"/>
  <c r="V461" i="5"/>
  <c r="V453" i="5"/>
  <c r="V445" i="5"/>
  <c r="V437" i="5"/>
  <c r="V429" i="5"/>
  <c r="V421" i="5"/>
  <c r="V413" i="5"/>
  <c r="V405" i="5"/>
  <c r="V397" i="5"/>
  <c r="V389" i="5"/>
  <c r="V381" i="5"/>
  <c r="V373" i="5"/>
  <c r="V365" i="5"/>
  <c r="V357" i="5"/>
  <c r="V349" i="5"/>
  <c r="V341" i="5"/>
  <c r="V333" i="5"/>
  <c r="V325" i="5"/>
  <c r="V317" i="5"/>
  <c r="V309" i="5"/>
  <c r="V301" i="5"/>
  <c r="V293" i="5"/>
  <c r="V285" i="5"/>
  <c r="V277" i="5"/>
  <c r="V269" i="5"/>
  <c r="V261" i="5"/>
  <c r="V253" i="5"/>
  <c r="V245" i="5"/>
  <c r="V237" i="5"/>
  <c r="V229" i="5"/>
  <c r="V221" i="5"/>
  <c r="V213" i="5"/>
  <c r="V205" i="5"/>
  <c r="V197" i="5"/>
  <c r="V189" i="5"/>
  <c r="V181" i="5"/>
  <c r="V173" i="5"/>
  <c r="V165" i="5"/>
  <c r="V157" i="5"/>
  <c r="V149" i="5"/>
  <c r="V141" i="5"/>
  <c r="V133" i="5"/>
  <c r="V125" i="5"/>
  <c r="V117" i="5"/>
  <c r="V109" i="5"/>
  <c r="V101" i="5"/>
  <c r="V93" i="5"/>
  <c r="V85" i="5"/>
  <c r="V77" i="5"/>
  <c r="V69" i="5"/>
  <c r="V61" i="5"/>
  <c r="V53" i="5"/>
  <c r="V45" i="5"/>
  <c r="V37" i="5"/>
  <c r="V29" i="5"/>
  <c r="V21" i="5"/>
  <c r="V13" i="5"/>
  <c r="V5" i="5"/>
  <c r="V484" i="5"/>
  <c r="V476" i="5"/>
  <c r="V468" i="5"/>
  <c r="V460" i="5"/>
  <c r="V452" i="5"/>
  <c r="V444" i="5"/>
  <c r="V436" i="5"/>
  <c r="V428" i="5"/>
  <c r="V420" i="5"/>
  <c r="V412" i="5"/>
  <c r="V404" i="5"/>
  <c r="V396" i="5"/>
  <c r="V388" i="5"/>
  <c r="V380" i="5"/>
  <c r="V372" i="5"/>
  <c r="V364" i="5"/>
  <c r="V356" i="5"/>
  <c r="V348" i="5"/>
  <c r="V340" i="5"/>
  <c r="V332" i="5"/>
  <c r="V324" i="5"/>
  <c r="V316" i="5"/>
  <c r="V308" i="5"/>
  <c r="V300" i="5"/>
  <c r="V292" i="5"/>
  <c r="V284" i="5"/>
  <c r="V276" i="5"/>
  <c r="V268" i="5"/>
  <c r="V260" i="5"/>
  <c r="V252" i="5"/>
  <c r="V244" i="5"/>
  <c r="V236" i="5"/>
  <c r="V228" i="5"/>
  <c r="V220" i="5"/>
  <c r="V212" i="5"/>
  <c r="V204" i="5"/>
  <c r="V196" i="5"/>
  <c r="V188" i="5"/>
  <c r="V180" i="5"/>
  <c r="V172" i="5"/>
  <c r="V164" i="5"/>
  <c r="V156" i="5"/>
  <c r="V148" i="5"/>
  <c r="V140" i="5"/>
  <c r="V132" i="5"/>
  <c r="V124" i="5"/>
  <c r="V116" i="5"/>
  <c r="V108" i="5"/>
  <c r="V100" i="5"/>
  <c r="V92" i="5"/>
  <c r="V84" i="5"/>
  <c r="V76" i="5"/>
  <c r="V68" i="5"/>
  <c r="V60" i="5"/>
  <c r="V52" i="5"/>
  <c r="V44" i="5"/>
  <c r="V36" i="5"/>
  <c r="V28" i="5"/>
  <c r="V20" i="5"/>
  <c r="V12" i="5"/>
  <c r="V4" i="5"/>
  <c r="V483" i="5"/>
  <c r="V475" i="5"/>
  <c r="V467" i="5"/>
  <c r="V459" i="5"/>
  <c r="V451" i="5"/>
  <c r="V443" i="5"/>
  <c r="V435" i="5"/>
  <c r="V427" i="5"/>
  <c r="V419" i="5"/>
  <c r="V411" i="5"/>
  <c r="V403" i="5"/>
  <c r="V395" i="5"/>
  <c r="V387" i="5"/>
  <c r="V379" i="5"/>
  <c r="V371" i="5"/>
  <c r="V363" i="5"/>
  <c r="V355" i="5"/>
  <c r="V347" i="5"/>
  <c r="V339" i="5"/>
  <c r="V331" i="5"/>
  <c r="V323" i="5"/>
  <c r="V315" i="5"/>
  <c r="V307" i="5"/>
  <c r="V299" i="5"/>
  <c r="V291" i="5"/>
  <c r="V283" i="5"/>
  <c r="V275" i="5"/>
  <c r="V267" i="5"/>
  <c r="V259" i="5"/>
  <c r="V251" i="5"/>
  <c r="V243" i="5"/>
  <c r="V235" i="5"/>
  <c r="V227" i="5"/>
  <c r="V219" i="5"/>
  <c r="V211" i="5"/>
  <c r="V203" i="5"/>
  <c r="V195" i="5"/>
  <c r="V187" i="5"/>
  <c r="V179" i="5"/>
  <c r="V171" i="5"/>
  <c r="V163" i="5"/>
  <c r="V155" i="5"/>
  <c r="V147" i="5"/>
  <c r="V139" i="5"/>
  <c r="V131" i="5"/>
  <c r="V123" i="5"/>
  <c r="V115" i="5"/>
  <c r="V107" i="5"/>
  <c r="V99" i="5"/>
  <c r="V91" i="5"/>
  <c r="V83" i="5"/>
  <c r="V75" i="5"/>
  <c r="V67" i="5"/>
  <c r="V59" i="5"/>
  <c r="V51" i="5"/>
  <c r="V43" i="5"/>
  <c r="V35" i="5"/>
  <c r="V27" i="5"/>
  <c r="V19" i="5"/>
  <c r="V11" i="5"/>
  <c r="V3"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<sst xmlns="http://schemas.openxmlformats.org/spreadsheetml/2006/main" count="6481" uniqueCount="590">
  <si>
    <t>Patient_ID</t>
  </si>
  <si>
    <t>Admission_Date</t>
  </si>
  <si>
    <t>Dept</t>
  </si>
  <si>
    <t>Age</t>
  </si>
  <si>
    <t>Outcome</t>
  </si>
  <si>
    <t>ER</t>
  </si>
  <si>
    <t>Recovered</t>
  </si>
  <si>
    <t>Cardiology</t>
  </si>
  <si>
    <t>Follow-up</t>
  </si>
  <si>
    <t>er</t>
  </si>
  <si>
    <t>Oncology</t>
  </si>
  <si>
    <t>Pediatrics</t>
  </si>
  <si>
    <t>Neurology</t>
  </si>
  <si>
    <t>oncology</t>
  </si>
  <si>
    <t>HOSP-101</t>
  </si>
  <si>
    <t>HOSP-102</t>
  </si>
  <si>
    <t>HOSP-103</t>
  </si>
  <si>
    <t>HOSP-104</t>
  </si>
  <si>
    <t>HOSP-105</t>
  </si>
  <si>
    <t>HOSP-106</t>
  </si>
  <si>
    <t>HOSP-107</t>
  </si>
  <si>
    <t>HOSP-108</t>
  </si>
  <si>
    <t>HOSP-109</t>
  </si>
  <si>
    <t>HOSP-110</t>
  </si>
  <si>
    <t>HOSP-111</t>
  </si>
  <si>
    <t>HOSP-112</t>
  </si>
  <si>
    <t>HOSP-113</t>
  </si>
  <si>
    <t>HOSP-114</t>
  </si>
  <si>
    <t>HOSP-115</t>
  </si>
  <si>
    <t>HOSP-116</t>
  </si>
  <si>
    <t>HOSP-117</t>
  </si>
  <si>
    <t>HOSP-118</t>
  </si>
  <si>
    <t>HOSP-119</t>
  </si>
  <si>
    <t>HOSP-120</t>
  </si>
  <si>
    <t>HOSP-121</t>
  </si>
  <si>
    <t>HOSP-122</t>
  </si>
  <si>
    <t>HOSP-123</t>
  </si>
  <si>
    <t>HOSP-124</t>
  </si>
  <si>
    <t>HOSP-125</t>
  </si>
  <si>
    <t>HOSP-126</t>
  </si>
  <si>
    <t>HOSP-127</t>
  </si>
  <si>
    <t>HOSP-128</t>
  </si>
  <si>
    <t>HOSP-129</t>
  </si>
  <si>
    <t>HOSP-130</t>
  </si>
  <si>
    <t>HOSP-131</t>
  </si>
  <si>
    <t>HOSP-132</t>
  </si>
  <si>
    <t>HOSP-133</t>
  </si>
  <si>
    <t>HOSP-134</t>
  </si>
  <si>
    <t>HOSP-135</t>
  </si>
  <si>
    <t>HOSP-136</t>
  </si>
  <si>
    <t>HOSP-137</t>
  </si>
  <si>
    <t>HOSP-138</t>
  </si>
  <si>
    <t>HOSP-139</t>
  </si>
  <si>
    <t>HOSP-140</t>
  </si>
  <si>
    <t>HOSP-141</t>
  </si>
  <si>
    <t>HOSP-142</t>
  </si>
  <si>
    <t>HOSP-143</t>
  </si>
  <si>
    <t>HOSP-144</t>
  </si>
  <si>
    <t>HOSP-145</t>
  </si>
  <si>
    <t>HOSP-146</t>
  </si>
  <si>
    <t>HOSP-147</t>
  </si>
  <si>
    <t>HOSP-148</t>
  </si>
  <si>
    <t>HOSP-149</t>
  </si>
  <si>
    <t>HOSP-150</t>
  </si>
  <si>
    <t>HOSP-151</t>
  </si>
  <si>
    <t>HOSP-152</t>
  </si>
  <si>
    <t>HOSP-153</t>
  </si>
  <si>
    <t>HOSP-154</t>
  </si>
  <si>
    <t>HOSP-155</t>
  </si>
  <si>
    <t>HOSP-156</t>
  </si>
  <si>
    <t>HOSP-157</t>
  </si>
  <si>
    <t>HOSP-158</t>
  </si>
  <si>
    <t>HOSP-159</t>
  </si>
  <si>
    <t>HOSP-160</t>
  </si>
  <si>
    <t>HOSP-161</t>
  </si>
  <si>
    <t>HOSP-162</t>
  </si>
  <si>
    <t>HOSP-163</t>
  </si>
  <si>
    <t>HOSP-164</t>
  </si>
  <si>
    <t>HOSP-165</t>
  </si>
  <si>
    <t>HOSP-166</t>
  </si>
  <si>
    <t>HOSP-167</t>
  </si>
  <si>
    <t>HOSP-168</t>
  </si>
  <si>
    <t>HOSP-169</t>
  </si>
  <si>
    <t>HOSP-170</t>
  </si>
  <si>
    <t>HOSP-171</t>
  </si>
  <si>
    <t>HOSP-172</t>
  </si>
  <si>
    <t>HOSP-173</t>
  </si>
  <si>
    <t>HOSP-174</t>
  </si>
  <si>
    <t>HOSP-175</t>
  </si>
  <si>
    <t>HOSP-176</t>
  </si>
  <si>
    <t>HOSP-177</t>
  </si>
  <si>
    <t>HOSP-178</t>
  </si>
  <si>
    <t>HOSP-179</t>
  </si>
  <si>
    <t>HOSP-180</t>
  </si>
  <si>
    <t>HOSP-181</t>
  </si>
  <si>
    <t>HOSP-182</t>
  </si>
  <si>
    <t>HOSP-183</t>
  </si>
  <si>
    <t>HOSP-184</t>
  </si>
  <si>
    <t>HOSP-185</t>
  </si>
  <si>
    <t>HOSP-186</t>
  </si>
  <si>
    <t>HOSP-187</t>
  </si>
  <si>
    <t>HOSP-188</t>
  </si>
  <si>
    <t>HOSP-189</t>
  </si>
  <si>
    <t>HOSP-190</t>
  </si>
  <si>
    <t>HOSP-191</t>
  </si>
  <si>
    <t>HOSP-192</t>
  </si>
  <si>
    <t>HOSP-193</t>
  </si>
  <si>
    <t>HOSP-194</t>
  </si>
  <si>
    <t>HOSP-195</t>
  </si>
  <si>
    <t>HOSP-196</t>
  </si>
  <si>
    <t>HOSP-197</t>
  </si>
  <si>
    <t>HOSP-198</t>
  </si>
  <si>
    <t>HOSP-199</t>
  </si>
  <si>
    <t>HOSP-200</t>
  </si>
  <si>
    <t>HOSP-201</t>
  </si>
  <si>
    <t>HOSP-202</t>
  </si>
  <si>
    <t>HOSP-203</t>
  </si>
  <si>
    <t>HOSP-204</t>
  </si>
  <si>
    <t>HOSP-205</t>
  </si>
  <si>
    <t>HOSP-206</t>
  </si>
  <si>
    <t>HOSP-207</t>
  </si>
  <si>
    <t>HOSP-208</t>
  </si>
  <si>
    <t>HOSP-209</t>
  </si>
  <si>
    <t>HOSP-211</t>
  </si>
  <si>
    <t>HOSP-212</t>
  </si>
  <si>
    <t>HOSP-213</t>
  </si>
  <si>
    <t>HOSP-214</t>
  </si>
  <si>
    <t>HOSP-215</t>
  </si>
  <si>
    <t>HOSP-216</t>
  </si>
  <si>
    <t>HOSP-217</t>
  </si>
  <si>
    <t>HOSP-218</t>
  </si>
  <si>
    <t>HOSP-219</t>
  </si>
  <si>
    <t>HOSP-220</t>
  </si>
  <si>
    <t>HOSP-221</t>
  </si>
  <si>
    <t>HOSP-222</t>
  </si>
  <si>
    <t>HOSP-223</t>
  </si>
  <si>
    <t>HOSP-224</t>
  </si>
  <si>
    <t>HOSP-225</t>
  </si>
  <si>
    <t>HOSP-226</t>
  </si>
  <si>
    <t>HOSP-227</t>
  </si>
  <si>
    <t>HOSP-228</t>
  </si>
  <si>
    <t>HOSP-229</t>
  </si>
  <si>
    <t>HOSP-230</t>
  </si>
  <si>
    <t>HOSP-231</t>
  </si>
  <si>
    <t>HOSP-232</t>
  </si>
  <si>
    <t>HOSP-233</t>
  </si>
  <si>
    <t>HOSP-234</t>
  </si>
  <si>
    <t>HOSP-235</t>
  </si>
  <si>
    <t>HOSP-236</t>
  </si>
  <si>
    <t>HOSP-237</t>
  </si>
  <si>
    <t>HOSP-238</t>
  </si>
  <si>
    <t>HOSP-239</t>
  </si>
  <si>
    <t>HOSP-240</t>
  </si>
  <si>
    <t>HOSP-241</t>
  </si>
  <si>
    <t>HOSP-242</t>
  </si>
  <si>
    <t>HOSP-243</t>
  </si>
  <si>
    <t>HOSP-244</t>
  </si>
  <si>
    <t>HOSP-245</t>
  </si>
  <si>
    <t>HOSP-246</t>
  </si>
  <si>
    <t>HOSP-247</t>
  </si>
  <si>
    <t>HOSP-248</t>
  </si>
  <si>
    <t>HOSP-249</t>
  </si>
  <si>
    <t>HOSP-250</t>
  </si>
  <si>
    <t>HOSP-251</t>
  </si>
  <si>
    <t>HOSP-252</t>
  </si>
  <si>
    <t>HOSP-253</t>
  </si>
  <si>
    <t>HOSP-254</t>
  </si>
  <si>
    <t>HOSP-255</t>
  </si>
  <si>
    <t>HOSP-256</t>
  </si>
  <si>
    <t>HOSP-257</t>
  </si>
  <si>
    <t>HOSP-258</t>
  </si>
  <si>
    <t>HOSP-260</t>
  </si>
  <si>
    <t>HOSP-261</t>
  </si>
  <si>
    <t>HOSP-262</t>
  </si>
  <si>
    <t>HOSP-263</t>
  </si>
  <si>
    <t>HOSP-264</t>
  </si>
  <si>
    <t>HOSP-265</t>
  </si>
  <si>
    <t>HOSP-266</t>
  </si>
  <si>
    <t>HOSP-267</t>
  </si>
  <si>
    <t>HOSP-268</t>
  </si>
  <si>
    <t>HOSP-269</t>
  </si>
  <si>
    <t>HOSP-270</t>
  </si>
  <si>
    <t>HOSP-271</t>
  </si>
  <si>
    <t>HOSP-272</t>
  </si>
  <si>
    <t>HOSP-273</t>
  </si>
  <si>
    <t>HOSP-274</t>
  </si>
  <si>
    <t>HOSP-275</t>
  </si>
  <si>
    <t>HOSP-276</t>
  </si>
  <si>
    <t>HOSP-277</t>
  </si>
  <si>
    <t>HOSP-278</t>
  </si>
  <si>
    <t>HOSP-279</t>
  </si>
  <si>
    <t>HOSP-280</t>
  </si>
  <si>
    <t>HOSP-281</t>
  </si>
  <si>
    <t>HOSP-282</t>
  </si>
  <si>
    <t>HOSP-283</t>
  </si>
  <si>
    <t>HOSP-284</t>
  </si>
  <si>
    <t>HOSP-285</t>
  </si>
  <si>
    <t>HOSP-286</t>
  </si>
  <si>
    <t>HOSP-287</t>
  </si>
  <si>
    <t>HOSP-288</t>
  </si>
  <si>
    <t>HOSP-289</t>
  </si>
  <si>
    <t>HOSP-290</t>
  </si>
  <si>
    <t>HOSP-291</t>
  </si>
  <si>
    <t>HOSP-292</t>
  </si>
  <si>
    <t>HOSP-293</t>
  </si>
  <si>
    <t>HOSP-294</t>
  </si>
  <si>
    <t>HOSP-295</t>
  </si>
  <si>
    <t>HOSP-296</t>
  </si>
  <si>
    <t>HOSP-297</t>
  </si>
  <si>
    <t>HOSP-298</t>
  </si>
  <si>
    <t>HOSP-299</t>
  </si>
  <si>
    <t>HOSP-300</t>
  </si>
  <si>
    <t>HOSP-312</t>
  </si>
  <si>
    <t>HOSP-313</t>
  </si>
  <si>
    <t>HOSP-314</t>
  </si>
  <si>
    <t>HOSP-315</t>
  </si>
  <si>
    <t>HOSP-316</t>
  </si>
  <si>
    <t>HOSP-317</t>
  </si>
  <si>
    <t>HOSP-318</t>
  </si>
  <si>
    <t>HOSP-319</t>
  </si>
  <si>
    <t>HOSP-320</t>
  </si>
  <si>
    <t>HOSP-321</t>
  </si>
  <si>
    <t>HOSP-322</t>
  </si>
  <si>
    <t>HOSP-323</t>
  </si>
  <si>
    <t>HOSP-324</t>
  </si>
  <si>
    <t>HOSP-325</t>
  </si>
  <si>
    <t>HOSP-326</t>
  </si>
  <si>
    <t>HOSP-327</t>
  </si>
  <si>
    <t>HOSP-328</t>
  </si>
  <si>
    <t>HOSP-329</t>
  </si>
  <si>
    <t>HOSP-330</t>
  </si>
  <si>
    <t>HOSP-331</t>
  </si>
  <si>
    <t>HOSP-332</t>
  </si>
  <si>
    <t>HOSP-333</t>
  </si>
  <si>
    <t>HOSP-335</t>
  </si>
  <si>
    <t>HOSP-336</t>
  </si>
  <si>
    <t>HOSP-337</t>
  </si>
  <si>
    <t>HOSP-338</t>
  </si>
  <si>
    <t>HOSP-339</t>
  </si>
  <si>
    <t>HOSP-340</t>
  </si>
  <si>
    <t>HOSP-341</t>
  </si>
  <si>
    <t>HOSP-342</t>
  </si>
  <si>
    <t>HOSP-343</t>
  </si>
  <si>
    <t>HOSP-344</t>
  </si>
  <si>
    <t>HOSP-345</t>
  </si>
  <si>
    <t>HOSP-346</t>
  </si>
  <si>
    <t>HOSP-347</t>
  </si>
  <si>
    <t>HOSP-348</t>
  </si>
  <si>
    <t>HOSP-349</t>
  </si>
  <si>
    <t>HOSP-350</t>
  </si>
  <si>
    <t>HOSP-351</t>
  </si>
  <si>
    <t>HOSP-352</t>
  </si>
  <si>
    <t>HOSP-353</t>
  </si>
  <si>
    <t>HOSP-354</t>
  </si>
  <si>
    <t>HOSP-355</t>
  </si>
  <si>
    <t>HOSP-356</t>
  </si>
  <si>
    <t>HOSP-357</t>
  </si>
  <si>
    <t>HOSP-358</t>
  </si>
  <si>
    <t>HOSP-359</t>
  </si>
  <si>
    <t>HOSP-360</t>
  </si>
  <si>
    <t>HOSP-361</t>
  </si>
  <si>
    <t>HOSP-362</t>
  </si>
  <si>
    <t>HOSP-363</t>
  </si>
  <si>
    <t>HOSP-364</t>
  </si>
  <si>
    <t>HOSP-365</t>
  </si>
  <si>
    <t>HOSP-366</t>
  </si>
  <si>
    <t>HOSP-367</t>
  </si>
  <si>
    <t>HOSP-368</t>
  </si>
  <si>
    <t>HOSP-369</t>
  </si>
  <si>
    <t>HOSP-370</t>
  </si>
  <si>
    <t>HOSP-371</t>
  </si>
  <si>
    <t>HOSP-372</t>
  </si>
  <si>
    <t>HOSP-373</t>
  </si>
  <si>
    <t>HOSP-374</t>
  </si>
  <si>
    <t>HOSP-376</t>
  </si>
  <si>
    <t>HOSP-377</t>
  </si>
  <si>
    <t>HOSP-378</t>
  </si>
  <si>
    <t>HOSP-379</t>
  </si>
  <si>
    <t>HOSP-380</t>
  </si>
  <si>
    <t>HOSP-381</t>
  </si>
  <si>
    <t>HOSP-382</t>
  </si>
  <si>
    <t>HOSP-383</t>
  </si>
  <si>
    <t>HOSP-384</t>
  </si>
  <si>
    <t>HOSP-385</t>
  </si>
  <si>
    <t>HOSP-386</t>
  </si>
  <si>
    <t>HOSP-387</t>
  </si>
  <si>
    <t>HOSP-388</t>
  </si>
  <si>
    <t>HOSP-389</t>
  </si>
  <si>
    <t>HOSP-390</t>
  </si>
  <si>
    <t>HOSP-391</t>
  </si>
  <si>
    <t>HOSP-392</t>
  </si>
  <si>
    <t>HOSP-393</t>
  </si>
  <si>
    <t>HOSP-394</t>
  </si>
  <si>
    <t>HOSP-395</t>
  </si>
  <si>
    <t>HOSP-396</t>
  </si>
  <si>
    <t>HOSP-397</t>
  </si>
  <si>
    <t>HOSP-398</t>
  </si>
  <si>
    <t>HOSP-399</t>
  </si>
  <si>
    <t>HOSP-400</t>
  </si>
  <si>
    <t>HOSP-401</t>
  </si>
  <si>
    <t>HOSP-402</t>
  </si>
  <si>
    <t>HOSP-403</t>
  </si>
  <si>
    <t>HOSP-404</t>
  </si>
  <si>
    <t>HOSP-405</t>
  </si>
  <si>
    <t>HOSP-406</t>
  </si>
  <si>
    <t>HOSP-407</t>
  </si>
  <si>
    <t>HOSP-408</t>
  </si>
  <si>
    <t>HOSP-409</t>
  </si>
  <si>
    <t>HOSP-410</t>
  </si>
  <si>
    <t>HOSP-411</t>
  </si>
  <si>
    <t>HOSP-412</t>
  </si>
  <si>
    <t>HOSP-413</t>
  </si>
  <si>
    <t>HOSP-414</t>
  </si>
  <si>
    <t>HOSP-415</t>
  </si>
  <si>
    <t>HOSP-416</t>
  </si>
  <si>
    <t>HOSP-417</t>
  </si>
  <si>
    <t>HOSP-418</t>
  </si>
  <si>
    <t>HOSP-419</t>
  </si>
  <si>
    <t>HOSP-420</t>
  </si>
  <si>
    <t>HOSP-421</t>
  </si>
  <si>
    <t>HOSP-422</t>
  </si>
  <si>
    <t>HOSP-423</t>
  </si>
  <si>
    <t>HOSP-424</t>
  </si>
  <si>
    <t>HOSP-425</t>
  </si>
  <si>
    <t>HOSP-426</t>
  </si>
  <si>
    <t>HOSP-427</t>
  </si>
  <si>
    <t>HOSP-428</t>
  </si>
  <si>
    <t>HOSP-429</t>
  </si>
  <si>
    <t>HOSP-430</t>
  </si>
  <si>
    <t>HOSP-431</t>
  </si>
  <si>
    <t>HOSP-432</t>
  </si>
  <si>
    <t>HOSP-433</t>
  </si>
  <si>
    <t>HOSP-434</t>
  </si>
  <si>
    <t>HOSP-435</t>
  </si>
  <si>
    <t>HOSP-436</t>
  </si>
  <si>
    <t>HOSP-437</t>
  </si>
  <si>
    <t>HOSP-438</t>
  </si>
  <si>
    <t>HOSP-439</t>
  </si>
  <si>
    <t>HOSP-440</t>
  </si>
  <si>
    <t>HOSP-441</t>
  </si>
  <si>
    <t>HOSP-442</t>
  </si>
  <si>
    <t>HOSP-443</t>
  </si>
  <si>
    <t>HOSP-444</t>
  </si>
  <si>
    <t>HOSP-445</t>
  </si>
  <si>
    <t>HOSP-447</t>
  </si>
  <si>
    <t>HOSP-448</t>
  </si>
  <si>
    <t>HOSP-449</t>
  </si>
  <si>
    <t>HOSP-450</t>
  </si>
  <si>
    <t>HOSP-451</t>
  </si>
  <si>
    <t>HOSP-452</t>
  </si>
  <si>
    <t>HOSP-453</t>
  </si>
  <si>
    <t>HOSP-454</t>
  </si>
  <si>
    <t>HOSP-455</t>
  </si>
  <si>
    <t>HOSP-456</t>
  </si>
  <si>
    <t>HOSP-457</t>
  </si>
  <si>
    <t>HOSP-458</t>
  </si>
  <si>
    <t>HOSP-459</t>
  </si>
  <si>
    <t>HOSP-460</t>
  </si>
  <si>
    <t>HOSP-461</t>
  </si>
  <si>
    <t>HOSP-462</t>
  </si>
  <si>
    <t>HOSP-463</t>
  </si>
  <si>
    <t>HOSP-464</t>
  </si>
  <si>
    <t>HOSP-465</t>
  </si>
  <si>
    <t>HOSP-466</t>
  </si>
  <si>
    <t>HOSP-467</t>
  </si>
  <si>
    <t>HOSP-468</t>
  </si>
  <si>
    <t>HOSP-469</t>
  </si>
  <si>
    <t>HOSP-470</t>
  </si>
  <si>
    <t>HOSP-471</t>
  </si>
  <si>
    <t>HOSP-472</t>
  </si>
  <si>
    <t>HOSP-473</t>
  </si>
  <si>
    <t>HOSP-474</t>
  </si>
  <si>
    <t>HOSP-475</t>
  </si>
  <si>
    <t>HOSP-476</t>
  </si>
  <si>
    <t>HOSP-477</t>
  </si>
  <si>
    <t>HOSP-478</t>
  </si>
  <si>
    <t>HOSP-479</t>
  </si>
  <si>
    <t>HOSP-480</t>
  </si>
  <si>
    <t>HOSP-481</t>
  </si>
  <si>
    <t>HOSP-482</t>
  </si>
  <si>
    <t>HOSP-483</t>
  </si>
  <si>
    <t>HOSP-484</t>
  </si>
  <si>
    <t>HOSP-485</t>
  </si>
  <si>
    <t>HOSP-486</t>
  </si>
  <si>
    <t>HOSP-487</t>
  </si>
  <si>
    <t>HOSP-488</t>
  </si>
  <si>
    <t>HOSP-489</t>
  </si>
  <si>
    <t>HOSP-490</t>
  </si>
  <si>
    <t>HOSP-491</t>
  </si>
  <si>
    <t>HOSP-492</t>
  </si>
  <si>
    <t>HOSP-493</t>
  </si>
  <si>
    <t>HOSP-494</t>
  </si>
  <si>
    <t>HOSP-495</t>
  </si>
  <si>
    <t>HOSP-496</t>
  </si>
  <si>
    <t>HOSP-497</t>
  </si>
  <si>
    <t>HOSP-498</t>
  </si>
  <si>
    <t>HOSP-499</t>
  </si>
  <si>
    <t>HOSP-500</t>
  </si>
  <si>
    <t>Discharge_Date</t>
  </si>
  <si>
    <t>Gender</t>
  </si>
  <si>
    <t>Treatment_Cost</t>
  </si>
  <si>
    <t>M</t>
  </si>
  <si>
    <t>F</t>
  </si>
  <si>
    <t>Pending</t>
  </si>
  <si>
    <t>Emergency</t>
  </si>
  <si>
    <t>HOSP-501</t>
  </si>
  <si>
    <t>HOSP-502</t>
  </si>
  <si>
    <t>HOSP-503</t>
  </si>
  <si>
    <t>HOSP-504</t>
  </si>
  <si>
    <t>HOSP-505</t>
  </si>
  <si>
    <t>HOSP-506</t>
  </si>
  <si>
    <t>HOSP-507</t>
  </si>
  <si>
    <t>HOSP-508</t>
  </si>
  <si>
    <t>HOSP-509</t>
  </si>
  <si>
    <t>HOSP-510</t>
  </si>
  <si>
    <t>HOSP-511</t>
  </si>
  <si>
    <t>HOSP-512</t>
  </si>
  <si>
    <t>HOSP-513</t>
  </si>
  <si>
    <t>HOSP-514</t>
  </si>
  <si>
    <t>HOSP-515</t>
  </si>
  <si>
    <t>HOSP-516</t>
  </si>
  <si>
    <t>HOSP-517</t>
  </si>
  <si>
    <t>HOSP-518</t>
  </si>
  <si>
    <t>HOSP-519</t>
  </si>
  <si>
    <t>HOSP-520</t>
  </si>
  <si>
    <t>HOSP-521</t>
  </si>
  <si>
    <t>HOSP-522</t>
  </si>
  <si>
    <t>HOSP-523</t>
  </si>
  <si>
    <t>HOSP-524</t>
  </si>
  <si>
    <t>HOSP-525</t>
  </si>
  <si>
    <t>HOSP-526</t>
  </si>
  <si>
    <t>HOSP-527</t>
  </si>
  <si>
    <t>HOSP-528</t>
  </si>
  <si>
    <t>HOSP-529</t>
  </si>
  <si>
    <t>HOSP-530</t>
  </si>
  <si>
    <t>HOSP-531</t>
  </si>
  <si>
    <t>HOSP-532</t>
  </si>
  <si>
    <t>HOSP-533</t>
  </si>
  <si>
    <t>HOSP-534</t>
  </si>
  <si>
    <t>HOSP-535</t>
  </si>
  <si>
    <t>HOSP-536</t>
  </si>
  <si>
    <t>HOSP-537</t>
  </si>
  <si>
    <t>HOSP-538</t>
  </si>
  <si>
    <t>HOSP-539</t>
  </si>
  <si>
    <t>HOSP-540</t>
  </si>
  <si>
    <t>HOSP-541</t>
  </si>
  <si>
    <t>HOSP-542</t>
  </si>
  <si>
    <t>HOSP-543</t>
  </si>
  <si>
    <t>HOSP-544</t>
  </si>
  <si>
    <t>HOSP-545</t>
  </si>
  <si>
    <t>HOSP-546</t>
  </si>
  <si>
    <t>HOSP-547</t>
  </si>
  <si>
    <t>HOSP-548</t>
  </si>
  <si>
    <t>HOSP-549</t>
  </si>
  <si>
    <t>HOSP-550</t>
  </si>
  <si>
    <t>HOSP-551</t>
  </si>
  <si>
    <t>HOSP-552</t>
  </si>
  <si>
    <t>HOSP-553</t>
  </si>
  <si>
    <t>HOSP-554</t>
  </si>
  <si>
    <t>HOSP-555</t>
  </si>
  <si>
    <t>HOSP-556</t>
  </si>
  <si>
    <t>HOSP-557</t>
  </si>
  <si>
    <t>HOSP-558</t>
  </si>
  <si>
    <t>HOSP-559</t>
  </si>
  <si>
    <t>HOSP-560</t>
  </si>
  <si>
    <t>HOSP-561</t>
  </si>
  <si>
    <t>HOSP-562</t>
  </si>
  <si>
    <t>HOSP-563</t>
  </si>
  <si>
    <t>HOSP-564</t>
  </si>
  <si>
    <t>HOSP-565</t>
  </si>
  <si>
    <t>HOSP-566</t>
  </si>
  <si>
    <t>HOSP-567</t>
  </si>
  <si>
    <t>HOSP-568</t>
  </si>
  <si>
    <t>HOSP-569</t>
  </si>
  <si>
    <t>HOSP-570</t>
  </si>
  <si>
    <t>HOSP-571</t>
  </si>
  <si>
    <t>HOSP-572</t>
  </si>
  <si>
    <t>HOSP-573</t>
  </si>
  <si>
    <t>HOSP-574</t>
  </si>
  <si>
    <t>HOSP-575</t>
  </si>
  <si>
    <t>HOSP-576</t>
  </si>
  <si>
    <t>HOSP-577</t>
  </si>
  <si>
    <t>HOSP-578</t>
  </si>
  <si>
    <t>HOSP-579</t>
  </si>
  <si>
    <t>HOSP-581</t>
  </si>
  <si>
    <t>HOSP-582</t>
  </si>
  <si>
    <t>HOSP-583</t>
  </si>
  <si>
    <t>HOSP-584</t>
  </si>
  <si>
    <t>HOSP-585</t>
  </si>
  <si>
    <t>HOSP-586</t>
  </si>
  <si>
    <t>HOSP-587</t>
  </si>
  <si>
    <t>HOSP-588</t>
  </si>
  <si>
    <t>HOSP-589</t>
  </si>
  <si>
    <t>HOSP-590</t>
  </si>
  <si>
    <t>HOSP-591</t>
  </si>
  <si>
    <t>HOSP-592</t>
  </si>
  <si>
    <t>HOSP-593</t>
  </si>
  <si>
    <t>HOSP-594</t>
  </si>
  <si>
    <t>HOSP-595</t>
  </si>
  <si>
    <t>HOSP-596</t>
  </si>
  <si>
    <t>HOSP-597</t>
  </si>
  <si>
    <t>HOSP-598</t>
  </si>
  <si>
    <t>HOSP-599</t>
  </si>
  <si>
    <t>HOSP-600</t>
  </si>
  <si>
    <t>cardiology</t>
  </si>
  <si>
    <t>emergency room</t>
  </si>
  <si>
    <t xml:space="preserve">  Cardiology</t>
  </si>
  <si>
    <t xml:space="preserve">   Oncology</t>
  </si>
  <si>
    <t xml:space="preserve">   pediatrics</t>
  </si>
  <si>
    <t>Neurologyy</t>
  </si>
  <si>
    <t xml:space="preserve">   neurology</t>
  </si>
  <si>
    <t xml:space="preserve">  Cardiolog</t>
  </si>
  <si>
    <t>15/02/20244</t>
  </si>
  <si>
    <t>01/31/2024</t>
  </si>
  <si>
    <t>Doctor</t>
  </si>
  <si>
    <t>Room_Number</t>
  </si>
  <si>
    <t>Salary_Grade</t>
  </si>
  <si>
    <t>Grade A</t>
  </si>
  <si>
    <t>Grade B</t>
  </si>
  <si>
    <t>Grade C</t>
  </si>
  <si>
    <t>01/30/2024</t>
  </si>
  <si>
    <t>Department</t>
  </si>
  <si>
    <t>Dr. Ada</t>
  </si>
  <si>
    <t>Dr. Kofi</t>
  </si>
  <si>
    <t>Dr. George</t>
  </si>
  <si>
    <t>Dr. Segun</t>
  </si>
  <si>
    <t>Dr. Temi</t>
  </si>
  <si>
    <t>Room Number</t>
  </si>
  <si>
    <t>Emergency Ward</t>
  </si>
  <si>
    <t>Patient ID</t>
  </si>
  <si>
    <t>Admission Date</t>
  </si>
  <si>
    <t>Discharge Date</t>
  </si>
  <si>
    <t>Treatment Cost</t>
  </si>
  <si>
    <t>MALE</t>
  </si>
  <si>
    <t>FEMALE</t>
  </si>
  <si>
    <t>Length of Stay</t>
  </si>
  <si>
    <t>Admission Status</t>
  </si>
  <si>
    <t>Age Group</t>
  </si>
  <si>
    <t>Admission Category</t>
  </si>
  <si>
    <t>Billing Category</t>
  </si>
  <si>
    <t>Readmission Risk</t>
  </si>
  <si>
    <t>Patient Type</t>
  </si>
  <si>
    <t>Months</t>
  </si>
  <si>
    <t>Day</t>
  </si>
  <si>
    <t>Year</t>
  </si>
  <si>
    <t>Month and Year</t>
  </si>
  <si>
    <t>Male</t>
  </si>
  <si>
    <t>Female</t>
  </si>
  <si>
    <t>Count of Patient ID</t>
  </si>
  <si>
    <t>Row Labels</t>
  </si>
  <si>
    <t>Grand Total</t>
  </si>
  <si>
    <t>Calculated Median</t>
  </si>
  <si>
    <t>KPI Cards</t>
  </si>
  <si>
    <t>Median Length of Stay</t>
  </si>
  <si>
    <t>Sum of Treatment Cost</t>
  </si>
  <si>
    <t>High Risk Patient</t>
  </si>
  <si>
    <t>Low Risk Patient</t>
  </si>
  <si>
    <t>Count of Readmission Risk</t>
  </si>
  <si>
    <t>Number of High Risk Patient</t>
  </si>
  <si>
    <t>Number of Department</t>
  </si>
  <si>
    <t>Total Unique Patient</t>
  </si>
  <si>
    <t>Patient Discharged</t>
  </si>
  <si>
    <t>Still Admitted</t>
  </si>
  <si>
    <t>Number of Patient still Admitted</t>
  </si>
  <si>
    <t>Revenue by Department</t>
  </si>
  <si>
    <t>Sun</t>
  </si>
  <si>
    <t>Mon</t>
  </si>
  <si>
    <t>Tue</t>
  </si>
  <si>
    <t>Wed</t>
  </si>
  <si>
    <t>Thu</t>
  </si>
  <si>
    <t>Fri</t>
  </si>
  <si>
    <t>Sat</t>
  </si>
  <si>
    <t>Admission Trend by Weekday</t>
  </si>
  <si>
    <t>Slicers</t>
  </si>
  <si>
    <t>Charts Pivot Tables</t>
  </si>
  <si>
    <t>Charts for KPI Cards</t>
  </si>
  <si>
    <t>Number of Patient Discharged</t>
  </si>
  <si>
    <t>CHARTS</t>
  </si>
  <si>
    <t>Analysis</t>
  </si>
  <si>
    <t>From our data it is shown that Apex General Hospital has about 19% of the total population admitted into the hospital still in the hospital and yet to be discharged</t>
  </si>
  <si>
    <t>It can also be said from our data that about 39% of the Patients admitted are High Risk patient, that is to say they are discharged but still being followed up,</t>
  </si>
  <si>
    <t>and about 98% of the patients are in Oncology department, and these patients have been in the hospital on an average of 725days since the day of admission.</t>
  </si>
  <si>
    <t>ANSWERS</t>
  </si>
  <si>
    <t xml:space="preserve">1. The department with the highest revenue is the Emergency Ward, the Emergency Ward made about 40% of the Total Revenue </t>
  </si>
  <si>
    <t xml:space="preserve">     Another concern is that out of 86 Patients that are admitted into the Oncology department, only two patients are discharged, one on follow-up while one has fully recovered. The success rate is low</t>
  </si>
  <si>
    <t xml:space="preserve">3. The management should meet with the Doctor in the Oncology department and ask for the reason why patients stay longer than required time in the ward, could it be that an assistant is needed to help speed </t>
  </si>
  <si>
    <t xml:space="preserve">     up the activities in the ward or the ward is in need of some tools/equipment.</t>
  </si>
  <si>
    <t>one  patient each has been discharged and recovered from the remaining three department.</t>
  </si>
  <si>
    <t xml:space="preserve">and this patient are are from Neurology and Cardiology department, 98% of the patients discharged and are recovered are from emergency ward department, </t>
  </si>
  <si>
    <t>2. The most busiest day in the hospital is on Saturday, for 190 patients out of 483 patients in total got admitted into the Hospital on Saturdays, compared to other days with a count of 2, 1, 93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</si>
</sst>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NGN]\ * #,##0.00_);_([$NGN]\ * \(#,##0.00\);_([$NGN]\ * &quot;-&quot;??_);_(@_)"/>
    <numFmt numFmtId="165" formatCode="dd/mm/yyyy"/>
    <numFmt numFmtId="166" formatCode="_([$NGN]\ * #,##0_);_([$NGN]\ * \(#,##0\);_([$NGN]\ * &quot;-&quot;??_);_(@_)"/>
  </numFmts>
  <fonts count="7" x14ac:knownFonts="1">
    <font>
      <sz val="11"/>
      <color theme="1"/>
      <name val="Calibri"/>
      <family val="2"/>
      <scheme val="minor"/>
    </font>
    <font>
      <sz val="8"/>
      <name val="Calibri"/>
      <family val="2"/>
      <scheme val="minor"/>
    </font>
    <font>
      <sz val="11"/>
      <color theme="1"/>
      <name val="Calibri"/>
      <family val="2"/>
      <scheme val="minor"/>
    </font>
    <font>
      <sz val="11"/>
      <color theme="0" tint="-0.249977111117893"/>
      <name val="Calibri"/>
      <family val="2"/>
      <scheme val="minor"/>
    </font>
    <font>
      <sz val="14"/>
      <color theme="1"/>
      <name val="Calibri"/>
      <family val="2"/>
      <scheme val="minor"/>
    </font>
    <font>
      <b/>
      <sz val="16"/>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7" tint="0.59999389629810485"/>
        <bgColor indexed="64"/>
      </patternFill>
    </fill>
    <fill>
      <patternFill patternType="solid">
        <fgColor theme="7" tint="0.39997558519241921"/>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4" tint="0.39997558519241921"/>
        <bgColor indexed="64"/>
      </patternFill>
    </fill>
    <fill>
      <patternFill patternType="solid">
        <fgColor theme="0"/>
        <bgColor indexed="64"/>
      </patternFill>
    </fill>
    <fill>
      <patternFill patternType="solid">
        <fgColor theme="0" tint="-0.34998626667073579"/>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22">
    <xf numFmtId="0" fontId="0" fillId="0" borderId="0" xfId="0"/>
    <xf numFmtId="14" fontId="0" fillId="0" borderId="0" xfId="0" applyNumberFormat="1"/>
    <xf numFmtId="164" fontId="0" fillId="0" borderId="0" xfId="0" applyNumberFormat="1"/>
    <xf numFmtId="165" fontId="0" fillId="0" borderId="0" xfId="0" applyNumberFormat="1"/>
    <xf numFmtId="165" fontId="0" fillId="0" borderId="0" xfId="0" applyNumberFormat="1" applyAlignment="1">
      <alignment horizontal="right"/>
    </xf>
    <xf numFmtId="0" fontId="0" fillId="0" borderId="0" xfId="0" applyAlignment="1">
      <alignment horizontal="right"/>
    </xf>
    <xf numFmtId="0" fontId="0" fillId="0" borderId="0" xfId="0" applyAlignment="1">
      <alignment horizontal="left"/>
    </xf>
    <xf numFmtId="166" fontId="0" fillId="0" borderId="0" xfId="0" applyNumberFormat="1"/>
    <xf numFmtId="0" fontId="0" fillId="0" borderId="0" xfId="0" pivotButton="1"/>
    <xf numFmtId="0" fontId="0" fillId="2" borderId="0" xfId="0" applyFill="1"/>
    <xf numFmtId="0" fontId="0" fillId="3" borderId="0" xfId="0" applyFill="1"/>
    <xf numFmtId="0" fontId="0" fillId="4" borderId="0" xfId="0" applyFill="1"/>
    <xf numFmtId="9" fontId="0" fillId="0" borderId="0" xfId="1" applyFont="1"/>
    <xf numFmtId="0" fontId="3" fillId="0" borderId="0" xfId="0" applyFont="1"/>
    <xf numFmtId="0" fontId="0" fillId="5" borderId="0" xfId="0" applyFill="1"/>
    <xf numFmtId="0" fontId="0" fillId="3" borderId="0" xfId="0" applyFill="1" applyAlignment="1">
      <alignment horizontal="left"/>
    </xf>
    <xf numFmtId="0" fontId="0" fillId="6" borderId="0" xfId="0" applyFill="1"/>
    <xf numFmtId="0" fontId="0" fillId="7" borderId="0" xfId="0" applyFill="1"/>
    <xf numFmtId="0" fontId="4" fillId="7" borderId="0" xfId="0" applyFont="1" applyFill="1"/>
    <xf numFmtId="0" fontId="5" fillId="8" borderId="0" xfId="0" applyFont="1" applyFill="1"/>
    <xf numFmtId="0" fontId="4" fillId="0" borderId="0" xfId="0" applyFont="1"/>
    <xf numFmtId="0" fontId="6" fillId="4" borderId="0" xfId="0" applyFont="1" applyFill="1"/>
  </cellXfs>
  <cellStyles count="2">
    <cellStyle name="Normal" xfId="0" builtinId="0"/>
    <cellStyle name="Percent" xfId="1" builtinId="5"/>
  </cellStyles>
  <dxfs count="2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164" formatCode="_([$NGN]\ * #,##0.00_);_([$NGN]\ * \(#,##0.00\);_([$NGN]\ * &quot;-&quot;??_);_(@_)"/>
    </dxf>
    <dxf>
      <numFmt numFmtId="0" formatCode="General"/>
    </dxf>
    <dxf>
      <numFmt numFmtId="165" formatCode="dd/mm/yyyy"/>
    </dxf>
    <dxf>
      <numFmt numFmtId="165"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_([$NGN]\ * #,##0.00_);_([$NGN]\ * \(#,##0.00\);_([$NGN]\ * &quot;-&quot;??_);_(@_)"/>
    </dxf>
    <dxf>
      <numFmt numFmtId="166" formatCode="_([$NGN]\ * #,##0_);_([$NGN]\ * \(#,##0\);_([$NGN]\ * &quot;-&quot;??_);_(@_)"/>
    </dxf>
    <dxf>
      <numFmt numFmtId="0" formatCode="General"/>
    </dxf>
    <dxf>
      <numFmt numFmtId="0" formatCode="General"/>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dxf>
    <dxf>
      <numFmt numFmtId="165" formatCode="dd/mm/yyyy"/>
    </dxf>
    <dxf>
      <numFmt numFmtId="165"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[Week4_Victor_Ajayi.xlsx]Pivot Table!No. of Admission</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solidFill>
              <a:schemeClr val="lt1"/>
            </a:solidFill>
          </a:ln>
          <a:effectLst/>
        </c:spPr>
      </c:pivotFmt>
      <c:pivotFmt>
        <c:idx val="2"/>
        <c:spPr>
          <a:solidFill>
            <a:schemeClr val="bg1">
              <a:lumMod val="95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95000"/>
            </a:schemeClr>
          </a:solidFill>
          <a:ln w="19050">
            <a:solidFill>
              <a:schemeClr val="lt1"/>
            </a:solidFill>
          </a:ln>
          <a:effectLst/>
        </c:spPr>
      </c:pivotFmt>
      <c:pivotFmt>
        <c:idx val="5"/>
        <c:spPr>
          <a:solidFill>
            <a:schemeClr val="accent1">
              <a:lumMod val="75000"/>
            </a:schemeClr>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lumMod val="95000"/>
            </a:schemeClr>
          </a:solidFill>
          <a:ln w="19050">
            <a:noFill/>
          </a:ln>
          <a:effectLst/>
        </c:spPr>
      </c:pivotFmt>
      <c:pivotFmt>
        <c:idx val="8"/>
        <c:spPr>
          <a:solidFill>
            <a:schemeClr val="accent1">
              <a:lumMod val="75000"/>
            </a:schemeClr>
          </a:solidFill>
          <a:ln w="19050">
            <a:noFill/>
          </a:ln>
          <a:effectLst/>
        </c:spPr>
      </c:pivotFmt>
    </c:pivotFmts>
    <c:plotArea>
      <c:layout/>
      <c:pieChart>
        <c:varyColors val="1"/>
        <c:ser>
          <c:idx val="0"/>
          <c:order val="0"/>
          <c:tx>
            <c:strRef>
              <c:f>'Pivot Table'!$G$5</c:f>
              <c:strCache>
                <c:ptCount val="1"/>
                <c:pt idx="0">
                  <c:v>Total</c:v>
                </c:pt>
              </c:strCache>
            </c:strRef>
          </c:tx>
          <c:spPr>
            <a:ln>
              <a:noFill/>
            </a:ln>
          </c:spPr>
          <c:dPt>
            <c:idx val="0"/>
            <c:bubble3D val="0"/>
            <c:spPr>
              <a:solidFill>
                <a:schemeClr val="bg1">
                  <a:lumMod val="95000"/>
                </a:schemeClr>
              </a:solidFill>
              <a:ln w="19050">
                <a:noFill/>
              </a:ln>
              <a:effectLst/>
            </c:spPr>
            <c:extLst>
              <c:ext xmlns:c16="http://schemas.microsoft.com/office/drawing/2014/chart" uri="{C3380CC4-5D6E-409C-BE32-E72D297353CC}">
                <c16:uniqueId val="{00000001-15E1-6648-AA0B-4A53253DC93A}"/>
              </c:ext>
            </c:extLst>
          </c:dPt>
          <c:dPt>
            <c:idx val="1"/>
            <c:bubble3D val="0"/>
            <c:spPr>
              <a:solidFill>
                <a:schemeClr val="accent1">
                  <a:lumMod val="75000"/>
                </a:schemeClr>
              </a:solidFill>
              <a:ln w="19050">
                <a:noFill/>
              </a:ln>
              <a:effectLst/>
            </c:spPr>
            <c:extLst>
              <c:ext xmlns:c16="http://schemas.microsoft.com/office/drawing/2014/chart" uri="{C3380CC4-5D6E-409C-BE32-E72D297353CC}">
                <c16:uniqueId val="{00000003-15E1-6648-AA0B-4A53253DC93A}"/>
              </c:ext>
            </c:extLst>
          </c:dPt>
          <c:cat>
            <c:strRef>
              <c:f>'Pivot Table'!$F$6:$F$8</c:f>
              <c:strCache>
                <c:ptCount val="2"/>
                <c:pt idx="0">
                  <c:v>Patient Discharged</c:v>
                </c:pt>
                <c:pt idx="1">
                  <c:v>Still Admitted</c:v>
                </c:pt>
              </c:strCache>
            </c:strRef>
          </c:cat>
          <c:val>
            <c:numRef>
              <c:f>'Pivot Table'!$G$6:$G$8</c:f>
              <c:numCache>
                <c:formatCode>General</c:formatCode>
                <c:ptCount val="2"/>
                <c:pt idx="0">
                  <c:v>389</c:v>
                </c:pt>
                <c:pt idx="1">
                  <c:v>94</c:v>
                </c:pt>
              </c:numCache>
            </c:numRef>
          </c:val>
          <c:extLst>
            <c:ext xmlns:c16="http://schemas.microsoft.com/office/drawing/2014/chart" uri="{C3380CC4-5D6E-409C-BE32-E72D297353CC}">
              <c16:uniqueId val="{00000004-15E1-6648-AA0B-4A53253DC93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[Week4_Victor_Ajayi.xlsx]Pivot Table!Numbe of Patient Discharged</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solidFill>
              <a:schemeClr val="lt1"/>
            </a:solidFill>
          </a:ln>
          <a:effectLst/>
        </c:spPr>
      </c:pivotFmt>
      <c:pivotFmt>
        <c:idx val="2"/>
        <c:spPr>
          <a:solidFill>
            <a:schemeClr val="bg1">
              <a:lumMod val="95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w="19050">
            <a:solidFill>
              <a:schemeClr val="lt1"/>
            </a:solidFill>
          </a:ln>
          <a:effectLst/>
        </c:spPr>
      </c:pivotFmt>
      <c:pivotFmt>
        <c:idx val="5"/>
        <c:spPr>
          <a:solidFill>
            <a:schemeClr val="bg1">
              <a:lumMod val="95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w="19050">
            <a:solidFill>
              <a:schemeClr val="lt1"/>
            </a:solidFill>
          </a:ln>
          <a:effectLst/>
        </c:spPr>
      </c:pivotFmt>
      <c:pivotFmt>
        <c:idx val="8"/>
        <c:spPr>
          <a:solidFill>
            <a:schemeClr val="bg1">
              <a:lumMod val="95000"/>
            </a:schemeClr>
          </a:solidFill>
          <a:ln w="19050">
            <a:solidFill>
              <a:schemeClr val="lt1"/>
            </a:solidFill>
          </a:ln>
          <a:effectLst/>
        </c:spPr>
      </c:pivotFmt>
    </c:pivotFmts>
    <c:plotArea>
      <c:layout/>
      <c:pieChart>
        <c:varyColors val="1"/>
        <c:ser>
          <c:idx val="0"/>
          <c:order val="0"/>
          <c:tx>
            <c:strRef>
              <c:f>'Pivot Table'!$G$14</c:f>
              <c:strCache>
                <c:ptCount val="1"/>
                <c:pt idx="0">
                  <c:v>Total</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1F01-164E-A110-2FDCE9415F0B}"/>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1F01-164E-A110-2FDCE9415F0B}"/>
              </c:ext>
            </c:extLst>
          </c:dPt>
          <c:cat>
            <c:strRef>
              <c:f>'Pivot Table'!$F$15:$F$17</c:f>
              <c:strCache>
                <c:ptCount val="2"/>
                <c:pt idx="0">
                  <c:v>Patient Discharged</c:v>
                </c:pt>
                <c:pt idx="1">
                  <c:v>Still Admitted</c:v>
                </c:pt>
              </c:strCache>
            </c:strRef>
          </c:cat>
          <c:val>
            <c:numRef>
              <c:f>'Pivot Table'!$G$15:$G$17</c:f>
              <c:numCache>
                <c:formatCode>General</c:formatCode>
                <c:ptCount val="2"/>
                <c:pt idx="0">
                  <c:v>389</c:v>
                </c:pt>
                <c:pt idx="1">
                  <c:v>94</c:v>
                </c:pt>
              </c:numCache>
            </c:numRef>
          </c:val>
          <c:extLst>
            <c:ext xmlns:c16="http://schemas.microsoft.com/office/drawing/2014/chart" uri="{C3380CC4-5D6E-409C-BE32-E72D297353CC}">
              <c16:uniqueId val="{00000004-1F01-164E-A110-2FDCE9415F0B}"/>
            </c:ext>
          </c:extLst>
        </c:ser>
        <c:dLbls>
          <c:showLegendKey val="0"/>
          <c:showVal val="0"/>
          <c:showCatName val="0"/>
          <c:showSerName val="0"/>
          <c:showPercent val="0"/>
          <c:showBubbleSize val="0"/>
          <c:showLeaderLines val="1"/>
        </c:dLbls>
        <c:firstSliceAng val="82"/>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[Week4_Victor_Ajayi.xlsx]Pivot Table!Revenue by Department</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pivotFmt>
      <c:pivotFmt>
        <c:idx val="2"/>
        <c:spPr>
          <a:solidFill>
            <a:schemeClr val="accent1">
              <a:lumMod val="60000"/>
              <a:lumOff val="40000"/>
            </a:schemeClr>
          </a:solidFill>
          <a:ln>
            <a:noFill/>
          </a:ln>
          <a:effectLst/>
        </c:spPr>
      </c:pivotFmt>
      <c:pivotFmt>
        <c:idx val="3"/>
        <c:spPr>
          <a:solidFill>
            <a:schemeClr val="accent1">
              <a:lumMod val="50000"/>
            </a:schemeClr>
          </a:solidFill>
          <a:ln>
            <a:noFill/>
          </a:ln>
          <a:effectLst/>
        </c:spPr>
      </c:pivotFmt>
      <c:pivotFmt>
        <c:idx val="4"/>
        <c:spPr>
          <a:solidFill>
            <a:schemeClr val="accent1">
              <a:lumMod val="40000"/>
              <a:lumOff val="60000"/>
            </a:schemeClr>
          </a:solidFill>
          <a:ln>
            <a:noFill/>
          </a:ln>
          <a:effectLst/>
        </c:spPr>
      </c:pivotFmt>
      <c:pivotFmt>
        <c:idx val="5"/>
        <c:spPr>
          <a:solidFill>
            <a:schemeClr val="accent1">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a:noFill/>
          </a:ln>
          <a:effectLst/>
        </c:spPr>
      </c:pivotFmt>
      <c:pivotFmt>
        <c:idx val="8"/>
        <c:spPr>
          <a:solidFill>
            <a:schemeClr val="accent1">
              <a:lumMod val="75000"/>
            </a:schemeClr>
          </a:solidFill>
          <a:ln>
            <a:noFill/>
          </a:ln>
          <a:effectLst/>
        </c:spPr>
      </c:pivotFmt>
      <c:pivotFmt>
        <c:idx val="9"/>
        <c:spPr>
          <a:solidFill>
            <a:schemeClr val="accent1">
              <a:lumMod val="60000"/>
              <a:lumOff val="40000"/>
            </a:schemeClr>
          </a:solidFill>
          <a:ln>
            <a:noFill/>
          </a:ln>
          <a:effectLst/>
        </c:spPr>
      </c:pivotFmt>
      <c:pivotFmt>
        <c:idx val="10"/>
        <c:spPr>
          <a:solidFill>
            <a:schemeClr val="accent1">
              <a:lumMod val="40000"/>
              <a:lumOff val="60000"/>
            </a:schemeClr>
          </a:solidFill>
          <a:ln>
            <a:noFill/>
          </a:ln>
          <a:effectLst/>
        </c:spPr>
      </c:pivotFmt>
      <c:pivotFmt>
        <c:idx val="11"/>
        <c:spPr>
          <a:solidFill>
            <a:schemeClr val="accent1">
              <a:lumMod val="20000"/>
              <a:lumOff val="8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lumMod val="50000"/>
            </a:schemeClr>
          </a:solidFill>
          <a:ln>
            <a:noFill/>
          </a:ln>
          <a:effectLst/>
        </c:spPr>
      </c:pivotFmt>
      <c:pivotFmt>
        <c:idx val="14"/>
        <c:spPr>
          <a:solidFill>
            <a:schemeClr val="accent1">
              <a:lumMod val="75000"/>
            </a:schemeClr>
          </a:solidFill>
          <a:ln>
            <a:noFill/>
          </a:ln>
          <a:effectLst/>
        </c:spPr>
      </c:pivotFmt>
      <c:pivotFmt>
        <c:idx val="15"/>
        <c:spPr>
          <a:solidFill>
            <a:schemeClr val="accent1">
              <a:lumMod val="60000"/>
              <a:lumOff val="40000"/>
            </a:schemeClr>
          </a:solidFill>
          <a:ln>
            <a:noFill/>
          </a:ln>
          <a:effectLst/>
        </c:spPr>
      </c:pivotFmt>
      <c:pivotFmt>
        <c:idx val="16"/>
        <c:spPr>
          <a:solidFill>
            <a:schemeClr val="accent1">
              <a:lumMod val="40000"/>
              <a:lumOff val="60000"/>
            </a:schemeClr>
          </a:solidFill>
          <a:ln>
            <a:noFill/>
          </a:ln>
          <a:effectLst/>
        </c:spPr>
      </c:pivotFmt>
      <c:pivotFmt>
        <c:idx val="17"/>
        <c:spPr>
          <a:solidFill>
            <a:schemeClr val="accent1">
              <a:lumMod val="20000"/>
              <a:lumOff val="80000"/>
            </a:schemeClr>
          </a:solidFill>
          <a:ln>
            <a:noFill/>
          </a:ln>
          <a:effectLst/>
        </c:spPr>
      </c:pivotFmt>
    </c:pivotFmts>
    <c:plotArea>
      <c:layout/>
      <c:barChart>
        <c:barDir val="col"/>
        <c:grouping val="clustered"/>
        <c:varyColors val="0"/>
        <c:ser>
          <c:idx val="0"/>
          <c:order val="0"/>
          <c:tx>
            <c:strRef>
              <c:f>'Pivot Table'!$G$22</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6D3C-D04B-9E67-BF3879D85503}"/>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6D3C-D04B-9E67-BF3879D85503}"/>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6D3C-D04B-9E67-BF3879D85503}"/>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7-6D3C-D04B-9E67-BF3879D85503}"/>
              </c:ext>
            </c:extLst>
          </c:dPt>
          <c:dPt>
            <c:idx val="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9-6D3C-D04B-9E67-BF3879D85503}"/>
              </c:ext>
            </c:extLst>
          </c:dPt>
          <c:cat>
            <c:strRef>
              <c:f>'Pivot Table'!$F$23:$F$28</c:f>
              <c:strCache>
                <c:ptCount val="5"/>
                <c:pt idx="0">
                  <c:v>Emergency Ward</c:v>
                </c:pt>
                <c:pt idx="1">
                  <c:v>Neurology</c:v>
                </c:pt>
                <c:pt idx="2">
                  <c:v>Oncology</c:v>
                </c:pt>
                <c:pt idx="3">
                  <c:v>Cardiology</c:v>
                </c:pt>
                <c:pt idx="4">
                  <c:v>Pediatrics</c:v>
                </c:pt>
              </c:strCache>
            </c:strRef>
          </c:cat>
          <c:val>
            <c:numRef>
              <c:f>'Pivot Table'!$G$23:$G$28</c:f>
              <c:numCache>
                <c:formatCode>_([$NGN]\ * #,##0_);_([$NGN]\ * \(#,##0\);_([$NGN]\ * "-"??_);_(@_)</c:formatCode>
                <c:ptCount val="5"/>
                <c:pt idx="0">
                  <c:v>46398860</c:v>
                </c:pt>
                <c:pt idx="1">
                  <c:v>23323000</c:v>
                </c:pt>
                <c:pt idx="2">
                  <c:v>22712220</c:v>
                </c:pt>
                <c:pt idx="3">
                  <c:v>22518510</c:v>
                </c:pt>
                <c:pt idx="4">
                  <c:v>430000</c:v>
                </c:pt>
              </c:numCache>
            </c:numRef>
          </c:val>
          <c:extLst>
            <c:ext xmlns:c16="http://schemas.microsoft.com/office/drawing/2014/chart" uri="{C3380CC4-5D6E-409C-BE32-E72D297353CC}">
              <c16:uniqueId val="{0000000A-6D3C-D04B-9E67-BF3879D85503}"/>
            </c:ext>
          </c:extLst>
        </c:ser>
        <c:dLbls>
          <c:showLegendKey val="0"/>
          <c:showVal val="0"/>
          <c:showCatName val="0"/>
          <c:showSerName val="0"/>
          <c:showPercent val="0"/>
          <c:showBubbleSize val="0"/>
        </c:dLbls>
        <c:gapWidth val="219"/>
        <c:overlap val="-27"/>
        <c:axId val="900584704"/>
        <c:axId val="900595008"/>
      </c:barChart>
      <c:catAx>
        <c:axId val="90058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595008"/>
        <c:crosses val="autoZero"/>
        <c:auto val="1"/>
        <c:lblAlgn val="ctr"/>
        <c:lblOffset val="100"/>
        <c:noMultiLvlLbl val="0"/>
      </c:catAx>
      <c:valAx>
        <c:axId val="900595008"/>
        <c:scaling>
          <c:orientation val="minMax"/>
        </c:scaling>
        <c:delete val="0"/>
        <c:axPos val="l"/>
        <c:numFmt formatCode="_([$NGN]\ * #,##0_);_([$NGN]\ * \(#,##0\);_([$NGN]\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58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[Week4_Victor_Ajayi.xlsx]Pivot Table!Admission Trend by Weekday</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Table'!$G$33</c:f>
              <c:strCache>
                <c:ptCount val="1"/>
                <c:pt idx="0">
                  <c:v>Total</c:v>
                </c:pt>
              </c:strCache>
            </c:strRef>
          </c:tx>
          <c:spPr>
            <a:ln w="28575" cap="rnd">
              <a:solidFill>
                <a:schemeClr val="accent1"/>
              </a:solidFill>
              <a:round/>
            </a:ln>
            <a:effectLst/>
          </c:spPr>
          <c:marker>
            <c:symbol val="none"/>
          </c:marker>
          <c:cat>
            <c:strRef>
              <c:f>'Pivot Table'!$F$34:$F$41</c:f>
              <c:strCache>
                <c:ptCount val="7"/>
                <c:pt idx="0">
                  <c:v>Mon</c:v>
                </c:pt>
                <c:pt idx="1">
                  <c:v>Tue</c:v>
                </c:pt>
                <c:pt idx="2">
                  <c:v>Wed</c:v>
                </c:pt>
                <c:pt idx="3">
                  <c:v>Thu</c:v>
                </c:pt>
                <c:pt idx="4">
                  <c:v>Fri</c:v>
                </c:pt>
                <c:pt idx="5">
                  <c:v>Sat</c:v>
                </c:pt>
                <c:pt idx="6">
                  <c:v>Sun</c:v>
                </c:pt>
              </c:strCache>
            </c:strRef>
          </c:cat>
          <c:val>
            <c:numRef>
              <c:f>'Pivot Table'!$G$34:$G$41</c:f>
              <c:numCache>
                <c:formatCode>General</c:formatCode>
                <c:ptCount val="7"/>
                <c:pt idx="0">
                  <c:v>97</c:v>
                </c:pt>
                <c:pt idx="1">
                  <c:v>2</c:v>
                </c:pt>
                <c:pt idx="2">
                  <c:v>2</c:v>
                </c:pt>
                <c:pt idx="3">
                  <c:v>98</c:v>
                </c:pt>
                <c:pt idx="4">
                  <c:v>1</c:v>
                </c:pt>
                <c:pt idx="5">
                  <c:v>190</c:v>
                </c:pt>
                <c:pt idx="6">
                  <c:v>93</c:v>
                </c:pt>
              </c:numCache>
            </c:numRef>
          </c:val>
          <c:smooth val="1"/>
          <c:extLst>
            <c:ext xmlns:c16="http://schemas.microsoft.com/office/drawing/2014/chart" uri="{C3380CC4-5D6E-409C-BE32-E72D297353CC}">
              <c16:uniqueId val="{00000000-49E2-6442-9CF5-3BA1D7850E32}"/>
            </c:ext>
          </c:extLst>
        </c:ser>
        <c:dLbls>
          <c:showLegendKey val="0"/>
          <c:showVal val="0"/>
          <c:showCatName val="0"/>
          <c:showSerName val="0"/>
          <c:showPercent val="0"/>
          <c:showBubbleSize val="0"/>
        </c:dLbls>
        <c:smooth val="0"/>
        <c:axId val="913433792"/>
        <c:axId val="913434688"/>
      </c:lineChart>
      <c:catAx>
        <c:axId val="91343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434688"/>
        <c:crosses val="autoZero"/>
        <c:auto val="1"/>
        <c:lblAlgn val="ctr"/>
        <c:lblOffset val="100"/>
        <c:noMultiLvlLbl val="0"/>
      </c:catAx>
      <c:valAx>
        <c:axId val="913434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43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[Week4_Victor_Ajayi.xlsx]Pivot Table!No. of Admission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solidFill>
              <a:schemeClr val="lt1"/>
            </a:solidFill>
          </a:ln>
          <a:effectLst/>
        </c:spPr>
      </c:pivotFmt>
      <c:pivotFmt>
        <c:idx val="2"/>
        <c:spPr>
          <a:solidFill>
            <a:schemeClr val="bg1">
              <a:lumMod val="95000"/>
            </a:schemeClr>
          </a:solidFill>
          <a:ln w="19050">
            <a:solidFill>
              <a:schemeClr val="lt1"/>
            </a:solidFill>
          </a:ln>
          <a:effectLst/>
        </c:spPr>
      </c:pivotFmt>
    </c:pivotFmts>
    <c:plotArea>
      <c:layout/>
      <c:pieChart>
        <c:varyColors val="1"/>
        <c:ser>
          <c:idx val="0"/>
          <c:order val="0"/>
          <c:tx>
            <c:strRef>
              <c:f>'Pivot Table'!$G$5</c:f>
              <c:strCache>
                <c:ptCount val="1"/>
                <c:pt idx="0">
                  <c:v>Total</c:v>
                </c:pt>
              </c:strCache>
            </c:strRef>
          </c:tx>
          <c:dPt>
            <c:idx val="0"/>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16FD-4A4F-8CEB-B1C7D3691B7B}"/>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2-16FD-4A4F-8CEB-B1C7D3691B7B}"/>
              </c:ext>
            </c:extLst>
          </c:dPt>
          <c:cat>
            <c:strRef>
              <c:f>'Pivot Table'!$F$6:$F$8</c:f>
              <c:strCache>
                <c:ptCount val="2"/>
                <c:pt idx="0">
                  <c:v>Patient Discharged</c:v>
                </c:pt>
                <c:pt idx="1">
                  <c:v>Still Admitted</c:v>
                </c:pt>
              </c:strCache>
            </c:strRef>
          </c:cat>
          <c:val>
            <c:numRef>
              <c:f>'Pivot Table'!$G$6:$G$8</c:f>
              <c:numCache>
                <c:formatCode>General</c:formatCode>
                <c:ptCount val="2"/>
                <c:pt idx="0">
                  <c:v>389</c:v>
                </c:pt>
                <c:pt idx="1">
                  <c:v>94</c:v>
                </c:pt>
              </c:numCache>
            </c:numRef>
          </c:val>
          <c:extLst>
            <c:ext xmlns:c16="http://schemas.microsoft.com/office/drawing/2014/chart" uri="{C3380CC4-5D6E-409C-BE32-E72D297353CC}">
              <c16:uniqueId val="{00000000-16FD-4A4F-8CEB-B1C7D3691B7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[Week4_Victor_Ajayi.xlsx]Pivot Table!Numbe of Patient Discharged</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solidFill>
              <a:schemeClr val="lt1"/>
            </a:solidFill>
          </a:ln>
          <a:effectLst/>
        </c:spPr>
      </c:pivotFmt>
      <c:pivotFmt>
        <c:idx val="2"/>
        <c:spPr>
          <a:solidFill>
            <a:schemeClr val="bg1">
              <a:lumMod val="95000"/>
            </a:schemeClr>
          </a:solidFill>
          <a:ln w="19050">
            <a:solidFill>
              <a:schemeClr val="lt1"/>
            </a:solidFill>
          </a:ln>
          <a:effectLst/>
        </c:spPr>
      </c:pivotFmt>
    </c:pivotFmts>
    <c:plotArea>
      <c:layout/>
      <c:pieChart>
        <c:varyColors val="1"/>
        <c:ser>
          <c:idx val="0"/>
          <c:order val="0"/>
          <c:tx>
            <c:strRef>
              <c:f>'Pivot Table'!$G$14</c:f>
              <c:strCache>
                <c:ptCount val="1"/>
                <c:pt idx="0">
                  <c:v>Total</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2-3F6F-7E46-8B90-D7F600CE1824}"/>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3F6F-7E46-8B90-D7F600CE1824}"/>
              </c:ext>
            </c:extLst>
          </c:dPt>
          <c:cat>
            <c:strRef>
              <c:f>'Pivot Table'!$F$15:$F$17</c:f>
              <c:strCache>
                <c:ptCount val="2"/>
                <c:pt idx="0">
                  <c:v>Patient Discharged</c:v>
                </c:pt>
                <c:pt idx="1">
                  <c:v>Still Admitted</c:v>
                </c:pt>
              </c:strCache>
            </c:strRef>
          </c:cat>
          <c:val>
            <c:numRef>
              <c:f>'Pivot Table'!$G$15:$G$17</c:f>
              <c:numCache>
                <c:formatCode>General</c:formatCode>
                <c:ptCount val="2"/>
                <c:pt idx="0">
                  <c:v>389</c:v>
                </c:pt>
                <c:pt idx="1">
                  <c:v>94</c:v>
                </c:pt>
              </c:numCache>
            </c:numRef>
          </c:val>
          <c:extLst>
            <c:ext xmlns:c16="http://schemas.microsoft.com/office/drawing/2014/chart" uri="{C3380CC4-5D6E-409C-BE32-E72D297353CC}">
              <c16:uniqueId val="{00000000-3F6F-7E46-8B90-D7F600CE1824}"/>
            </c:ext>
          </c:extLst>
        </c:ser>
        <c:dLbls>
          <c:showLegendKey val="0"/>
          <c:showVal val="0"/>
          <c:showCatName val="0"/>
          <c:showSerName val="0"/>
          <c:showPercent val="0"/>
          <c:showBubbleSize val="0"/>
          <c:showLeaderLines val="1"/>
        </c:dLbls>
        <c:firstSliceAng val="82"/>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[Week4_Victor_Ajayi.xlsx]Pivot Table!Revenue by Department</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pivotFmt>
      <c:pivotFmt>
        <c:idx val="2"/>
        <c:spPr>
          <a:solidFill>
            <a:schemeClr val="accent1">
              <a:lumMod val="60000"/>
              <a:lumOff val="40000"/>
            </a:schemeClr>
          </a:solidFill>
          <a:ln>
            <a:noFill/>
          </a:ln>
          <a:effectLst/>
        </c:spPr>
      </c:pivotFmt>
      <c:pivotFmt>
        <c:idx val="3"/>
        <c:spPr>
          <a:solidFill>
            <a:schemeClr val="accent1">
              <a:lumMod val="50000"/>
            </a:schemeClr>
          </a:solidFill>
          <a:ln>
            <a:noFill/>
          </a:ln>
          <a:effectLst/>
        </c:spPr>
      </c:pivotFmt>
      <c:pivotFmt>
        <c:idx val="4"/>
        <c:spPr>
          <a:solidFill>
            <a:schemeClr val="accent1">
              <a:lumMod val="40000"/>
              <a:lumOff val="60000"/>
            </a:schemeClr>
          </a:solidFill>
          <a:ln>
            <a:noFill/>
          </a:ln>
          <a:effectLst/>
        </c:spPr>
      </c:pivotFmt>
      <c:pivotFmt>
        <c:idx val="5"/>
        <c:spPr>
          <a:solidFill>
            <a:schemeClr val="accent1">
              <a:lumMod val="20000"/>
              <a:lumOff val="80000"/>
            </a:schemeClr>
          </a:solidFill>
          <a:ln>
            <a:noFill/>
          </a:ln>
          <a:effectLst/>
        </c:spPr>
      </c:pivotFmt>
    </c:pivotFmts>
    <c:plotArea>
      <c:layout/>
      <c:barChart>
        <c:barDir val="col"/>
        <c:grouping val="clustered"/>
        <c:varyColors val="0"/>
        <c:ser>
          <c:idx val="0"/>
          <c:order val="0"/>
          <c:tx>
            <c:strRef>
              <c:f>'Pivot Table'!$G$22</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4-83B7-F24E-8E8A-9A1200C2D5F7}"/>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2-83B7-F24E-8E8A-9A1200C2D5F7}"/>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83B7-F24E-8E8A-9A1200C2D5F7}"/>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83B7-F24E-8E8A-9A1200C2D5F7}"/>
              </c:ext>
            </c:extLst>
          </c:dPt>
          <c:dPt>
            <c:idx val="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6-83B7-F24E-8E8A-9A1200C2D5F7}"/>
              </c:ext>
            </c:extLst>
          </c:dPt>
          <c:cat>
            <c:strRef>
              <c:f>'Pivot Table'!$F$23:$F$28</c:f>
              <c:strCache>
                <c:ptCount val="5"/>
                <c:pt idx="0">
                  <c:v>Emergency Ward</c:v>
                </c:pt>
                <c:pt idx="1">
                  <c:v>Neurology</c:v>
                </c:pt>
                <c:pt idx="2">
                  <c:v>Oncology</c:v>
                </c:pt>
                <c:pt idx="3">
                  <c:v>Cardiology</c:v>
                </c:pt>
                <c:pt idx="4">
                  <c:v>Pediatrics</c:v>
                </c:pt>
              </c:strCache>
            </c:strRef>
          </c:cat>
          <c:val>
            <c:numRef>
              <c:f>'Pivot Table'!$G$23:$G$28</c:f>
              <c:numCache>
                <c:formatCode>_([$NGN]\ * #,##0_);_([$NGN]\ * \(#,##0\);_([$NGN]\ * "-"??_);_(@_)</c:formatCode>
                <c:ptCount val="5"/>
                <c:pt idx="0">
                  <c:v>46398860</c:v>
                </c:pt>
                <c:pt idx="1">
                  <c:v>23323000</c:v>
                </c:pt>
                <c:pt idx="2">
                  <c:v>22712220</c:v>
                </c:pt>
                <c:pt idx="3">
                  <c:v>22518510</c:v>
                </c:pt>
                <c:pt idx="4">
                  <c:v>430000</c:v>
                </c:pt>
              </c:numCache>
            </c:numRef>
          </c:val>
          <c:extLst>
            <c:ext xmlns:c16="http://schemas.microsoft.com/office/drawing/2014/chart" uri="{C3380CC4-5D6E-409C-BE32-E72D297353CC}">
              <c16:uniqueId val="{00000000-83B7-F24E-8E8A-9A1200C2D5F7}"/>
            </c:ext>
          </c:extLst>
        </c:ser>
        <c:dLbls>
          <c:showLegendKey val="0"/>
          <c:showVal val="0"/>
          <c:showCatName val="0"/>
          <c:showSerName val="0"/>
          <c:showPercent val="0"/>
          <c:showBubbleSize val="0"/>
        </c:dLbls>
        <c:gapWidth val="219"/>
        <c:overlap val="-27"/>
        <c:axId val="900584704"/>
        <c:axId val="900595008"/>
      </c:barChart>
      <c:catAx>
        <c:axId val="90058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595008"/>
        <c:crosses val="autoZero"/>
        <c:auto val="1"/>
        <c:lblAlgn val="ctr"/>
        <c:lblOffset val="100"/>
        <c:noMultiLvlLbl val="0"/>
      </c:catAx>
      <c:valAx>
        <c:axId val="900595008"/>
        <c:scaling>
          <c:orientation val="minMax"/>
        </c:scaling>
        <c:delete val="0"/>
        <c:axPos val="l"/>
        <c:majorGridlines>
          <c:spPr>
            <a:ln w="9525" cap="flat" cmpd="sng" algn="ctr">
              <a:solidFill>
                <a:schemeClr val="tx1">
                  <a:lumMod val="15000"/>
                  <a:lumOff val="85000"/>
                </a:schemeClr>
              </a:solidFill>
              <a:round/>
            </a:ln>
            <a:effectLst/>
          </c:spPr>
        </c:majorGridlines>
        <c:numFmt formatCode="_([$NGN]\ * #,##0_);_([$NGN]\ * \(#,##0\);_([$NGN]\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58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[Week4_Victor_Ajayi.xlsx]Pivot Table!Admission Trend by Weekday</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Table'!$G$33</c:f>
              <c:strCache>
                <c:ptCount val="1"/>
                <c:pt idx="0">
                  <c:v>Total</c:v>
                </c:pt>
              </c:strCache>
            </c:strRef>
          </c:tx>
          <c:spPr>
            <a:ln w="28575" cap="rnd">
              <a:solidFill>
                <a:schemeClr val="accent1"/>
              </a:solidFill>
              <a:round/>
            </a:ln>
            <a:effectLst/>
          </c:spPr>
          <c:marker>
            <c:symbol val="none"/>
          </c:marker>
          <c:cat>
            <c:strRef>
              <c:f>'Pivot Table'!$F$34:$F$41</c:f>
              <c:strCache>
                <c:ptCount val="7"/>
                <c:pt idx="0">
                  <c:v>Mon</c:v>
                </c:pt>
                <c:pt idx="1">
                  <c:v>Tue</c:v>
                </c:pt>
                <c:pt idx="2">
                  <c:v>Wed</c:v>
                </c:pt>
                <c:pt idx="3">
                  <c:v>Thu</c:v>
                </c:pt>
                <c:pt idx="4">
                  <c:v>Fri</c:v>
                </c:pt>
                <c:pt idx="5">
                  <c:v>Sat</c:v>
                </c:pt>
                <c:pt idx="6">
                  <c:v>Sun</c:v>
                </c:pt>
              </c:strCache>
            </c:strRef>
          </c:cat>
          <c:val>
            <c:numRef>
              <c:f>'Pivot Table'!$G$34:$G$41</c:f>
              <c:numCache>
                <c:formatCode>General</c:formatCode>
                <c:ptCount val="7"/>
                <c:pt idx="0">
                  <c:v>97</c:v>
                </c:pt>
                <c:pt idx="1">
                  <c:v>2</c:v>
                </c:pt>
                <c:pt idx="2">
                  <c:v>2</c:v>
                </c:pt>
                <c:pt idx="3">
                  <c:v>98</c:v>
                </c:pt>
                <c:pt idx="4">
                  <c:v>1</c:v>
                </c:pt>
                <c:pt idx="5">
                  <c:v>190</c:v>
                </c:pt>
                <c:pt idx="6">
                  <c:v>93</c:v>
                </c:pt>
              </c:numCache>
            </c:numRef>
          </c:val>
          <c:smooth val="1"/>
          <c:extLst>
            <c:ext xmlns:c16="http://schemas.microsoft.com/office/drawing/2014/chart" uri="{C3380CC4-5D6E-409C-BE32-E72D297353CC}">
              <c16:uniqueId val="{00000000-15CA-7F4E-AEAA-ED10EEDAD7D8}"/>
            </c:ext>
          </c:extLst>
        </c:ser>
        <c:dLbls>
          <c:showLegendKey val="0"/>
          <c:showVal val="0"/>
          <c:showCatName val="0"/>
          <c:showSerName val="0"/>
          <c:showPercent val="0"/>
          <c:showBubbleSize val="0"/>
        </c:dLbls>
        <c:smooth val="0"/>
        <c:axId val="913433792"/>
        <c:axId val="913434688"/>
      </c:lineChart>
      <c:catAx>
        <c:axId val="91343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434688"/>
        <c:crosses val="autoZero"/>
        <c:auto val="1"/>
        <c:lblAlgn val="ctr"/>
        <c:lblOffset val="100"/>
        <c:noMultiLvlLbl val="0"/>
      </c:catAx>
      <c:valAx>
        <c:axId val="913434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43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Raw Data'!A1"/><Relationship Id="rId3" Type="http://schemas.openxmlformats.org/officeDocument/2006/relationships/chart" Target="../charts/chart2.xml"/><Relationship Id="rId7" Type="http://schemas.openxmlformats.org/officeDocument/2006/relationships/hyperlink" Target="#'Pivot Table'!A1"/><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hyperlink" Target="#'Calculated Metrics'!A1"/><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hyperlink" Target="#Dashboard!A1"/><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2</xdr:col>
      <xdr:colOff>297673</xdr:colOff>
      <xdr:row>4</xdr:row>
      <xdr:rowOff>124246</xdr:rowOff>
    </xdr:from>
    <xdr:to>
      <xdr:col>4</xdr:col>
      <xdr:colOff>780815</xdr:colOff>
      <xdr:row>9</xdr:row>
      <xdr:rowOff>6140</xdr:rowOff>
    </xdr:to>
    <xdr:sp macro="" textlink="">
      <xdr:nvSpPr>
        <xdr:cNvPr id="2" name="Rectangle 1">
          <a:extLst>
            <a:ext uri="{FF2B5EF4-FFF2-40B4-BE49-F238E27FC236}">
              <a16:creationId xmlns:a16="http://schemas.microsoft.com/office/drawing/2014/main" id="{5D851825-9D2D-724F-922A-4AABAA6EC259}"/>
            </a:ext>
          </a:extLst>
        </xdr:cNvPr>
        <xdr:cNvSpPr/>
      </xdr:nvSpPr>
      <xdr:spPr>
        <a:xfrm>
          <a:off x="1948673" y="886246"/>
          <a:ext cx="2134142" cy="834394"/>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245686</xdr:colOff>
      <xdr:row>10</xdr:row>
      <xdr:rowOff>46854</xdr:rowOff>
    </xdr:from>
    <xdr:to>
      <xdr:col>4</xdr:col>
      <xdr:colOff>729679</xdr:colOff>
      <xdr:row>16</xdr:row>
      <xdr:rowOff>107681</xdr:rowOff>
    </xdr:to>
    <xdr:sp macro="" textlink="">
      <xdr:nvSpPr>
        <xdr:cNvPr id="3" name="Rectangle 2">
          <a:extLst>
            <a:ext uri="{FF2B5EF4-FFF2-40B4-BE49-F238E27FC236}">
              <a16:creationId xmlns:a16="http://schemas.microsoft.com/office/drawing/2014/main" id="{48739571-A3B7-EC45-AF05-3673872FC052}"/>
            </a:ext>
          </a:extLst>
        </xdr:cNvPr>
        <xdr:cNvSpPr/>
      </xdr:nvSpPr>
      <xdr:spPr>
        <a:xfrm>
          <a:off x="1896686" y="1951854"/>
          <a:ext cx="2134993" cy="120382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83184</xdr:colOff>
      <xdr:row>4</xdr:row>
      <xdr:rowOff>124246</xdr:rowOff>
    </xdr:from>
    <xdr:to>
      <xdr:col>7</xdr:col>
      <xdr:colOff>566325</xdr:colOff>
      <xdr:row>9</xdr:row>
      <xdr:rowOff>6140</xdr:rowOff>
    </xdr:to>
    <xdr:sp macro="" textlink="">
      <xdr:nvSpPr>
        <xdr:cNvPr id="4" name="Rectangle 3">
          <a:extLst>
            <a:ext uri="{FF2B5EF4-FFF2-40B4-BE49-F238E27FC236}">
              <a16:creationId xmlns:a16="http://schemas.microsoft.com/office/drawing/2014/main" id="{F95DD715-851C-054D-9396-527A25BA38B0}"/>
            </a:ext>
          </a:extLst>
        </xdr:cNvPr>
        <xdr:cNvSpPr/>
      </xdr:nvSpPr>
      <xdr:spPr>
        <a:xfrm>
          <a:off x="4210684" y="886246"/>
          <a:ext cx="2134141" cy="834394"/>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696546</xdr:colOff>
      <xdr:row>4</xdr:row>
      <xdr:rowOff>124246</xdr:rowOff>
    </xdr:from>
    <xdr:to>
      <xdr:col>10</xdr:col>
      <xdr:colOff>351835</xdr:colOff>
      <xdr:row>9</xdr:row>
      <xdr:rowOff>6140</xdr:rowOff>
    </xdr:to>
    <xdr:sp macro="" textlink="">
      <xdr:nvSpPr>
        <xdr:cNvPr id="5" name="Rectangle 4">
          <a:extLst>
            <a:ext uri="{FF2B5EF4-FFF2-40B4-BE49-F238E27FC236}">
              <a16:creationId xmlns:a16="http://schemas.microsoft.com/office/drawing/2014/main" id="{776AFE85-2F8E-9349-9B5F-9AE83A2484D2}"/>
            </a:ext>
          </a:extLst>
        </xdr:cNvPr>
        <xdr:cNvSpPr/>
      </xdr:nvSpPr>
      <xdr:spPr>
        <a:xfrm>
          <a:off x="6475046" y="886246"/>
          <a:ext cx="2131789" cy="834394"/>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482056</xdr:colOff>
      <xdr:row>4</xdr:row>
      <xdr:rowOff>124246</xdr:rowOff>
    </xdr:from>
    <xdr:to>
      <xdr:col>13</xdr:col>
      <xdr:colOff>137346</xdr:colOff>
      <xdr:row>9</xdr:row>
      <xdr:rowOff>6140</xdr:rowOff>
    </xdr:to>
    <xdr:sp macro="" textlink="">
      <xdr:nvSpPr>
        <xdr:cNvPr id="6" name="Rectangle 5">
          <a:extLst>
            <a:ext uri="{FF2B5EF4-FFF2-40B4-BE49-F238E27FC236}">
              <a16:creationId xmlns:a16="http://schemas.microsoft.com/office/drawing/2014/main" id="{2FDE478A-3A1E-354E-9A03-CA4E52FDE4BC}"/>
            </a:ext>
          </a:extLst>
        </xdr:cNvPr>
        <xdr:cNvSpPr/>
      </xdr:nvSpPr>
      <xdr:spPr>
        <a:xfrm>
          <a:off x="8737056" y="886246"/>
          <a:ext cx="2131790" cy="834394"/>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267569</xdr:colOff>
      <xdr:row>4</xdr:row>
      <xdr:rowOff>124246</xdr:rowOff>
    </xdr:from>
    <xdr:to>
      <xdr:col>15</xdr:col>
      <xdr:colOff>750710</xdr:colOff>
      <xdr:row>9</xdr:row>
      <xdr:rowOff>6140</xdr:rowOff>
    </xdr:to>
    <xdr:sp macro="" textlink="">
      <xdr:nvSpPr>
        <xdr:cNvPr id="7" name="Rectangle 6">
          <a:extLst>
            <a:ext uri="{FF2B5EF4-FFF2-40B4-BE49-F238E27FC236}">
              <a16:creationId xmlns:a16="http://schemas.microsoft.com/office/drawing/2014/main" id="{09A2F2FB-AA4E-1E47-859A-9DAC49273F40}"/>
            </a:ext>
          </a:extLst>
        </xdr:cNvPr>
        <xdr:cNvSpPr/>
      </xdr:nvSpPr>
      <xdr:spPr>
        <a:xfrm>
          <a:off x="10999069" y="886246"/>
          <a:ext cx="2134141" cy="834394"/>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78235</xdr:colOff>
      <xdr:row>10</xdr:row>
      <xdr:rowOff>14433</xdr:rowOff>
    </xdr:from>
    <xdr:to>
      <xdr:col>7</xdr:col>
      <xdr:colOff>562227</xdr:colOff>
      <xdr:row>16</xdr:row>
      <xdr:rowOff>75260</xdr:rowOff>
    </xdr:to>
    <xdr:sp macro="" textlink="">
      <xdr:nvSpPr>
        <xdr:cNvPr id="8" name="Rectangle 7">
          <a:extLst>
            <a:ext uri="{FF2B5EF4-FFF2-40B4-BE49-F238E27FC236}">
              <a16:creationId xmlns:a16="http://schemas.microsoft.com/office/drawing/2014/main" id="{A8EA1652-71B3-6247-BFC6-7826D99DB1D8}"/>
            </a:ext>
          </a:extLst>
        </xdr:cNvPr>
        <xdr:cNvSpPr/>
      </xdr:nvSpPr>
      <xdr:spPr>
        <a:xfrm>
          <a:off x="4205735" y="1919433"/>
          <a:ext cx="2134992" cy="120382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255094</xdr:colOff>
      <xdr:row>17</xdr:row>
      <xdr:rowOff>148394</xdr:rowOff>
    </xdr:from>
    <xdr:to>
      <xdr:col>7</xdr:col>
      <xdr:colOff>599440</xdr:colOff>
      <xdr:row>33</xdr:row>
      <xdr:rowOff>30480</xdr:rowOff>
    </xdr:to>
    <xdr:sp macro="" textlink="">
      <xdr:nvSpPr>
        <xdr:cNvPr id="9" name="Rectangle 8">
          <a:extLst>
            <a:ext uri="{FF2B5EF4-FFF2-40B4-BE49-F238E27FC236}">
              <a16:creationId xmlns:a16="http://schemas.microsoft.com/office/drawing/2014/main" id="{B77B4A37-60B2-3042-BAE9-82B15B02EB57}"/>
            </a:ext>
          </a:extLst>
        </xdr:cNvPr>
        <xdr:cNvSpPr/>
      </xdr:nvSpPr>
      <xdr:spPr>
        <a:xfrm>
          <a:off x="1906094" y="3386894"/>
          <a:ext cx="4471846" cy="293008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702134</xdr:colOff>
      <xdr:row>10</xdr:row>
      <xdr:rowOff>6154</xdr:rowOff>
    </xdr:from>
    <xdr:to>
      <xdr:col>15</xdr:col>
      <xdr:colOff>741680</xdr:colOff>
      <xdr:row>33</xdr:row>
      <xdr:rowOff>30480</xdr:rowOff>
    </xdr:to>
    <xdr:sp macro="" textlink="">
      <xdr:nvSpPr>
        <xdr:cNvPr id="10" name="Rectangle 9">
          <a:extLst>
            <a:ext uri="{FF2B5EF4-FFF2-40B4-BE49-F238E27FC236}">
              <a16:creationId xmlns:a16="http://schemas.microsoft.com/office/drawing/2014/main" id="{F0DCDF2A-D269-1548-B6D1-BBE186B14548}"/>
            </a:ext>
          </a:extLst>
        </xdr:cNvPr>
        <xdr:cNvSpPr/>
      </xdr:nvSpPr>
      <xdr:spPr>
        <a:xfrm>
          <a:off x="6480634" y="1911154"/>
          <a:ext cx="6643546" cy="440582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267365</xdr:colOff>
      <xdr:row>1</xdr:row>
      <xdr:rowOff>114300</xdr:rowOff>
    </xdr:from>
    <xdr:to>
      <xdr:col>15</xdr:col>
      <xdr:colOff>746438</xdr:colOff>
      <xdr:row>3</xdr:row>
      <xdr:rowOff>181356</xdr:rowOff>
    </xdr:to>
    <xdr:sp macro="" textlink="">
      <xdr:nvSpPr>
        <xdr:cNvPr id="11" name="Rectangle 10">
          <a:extLst>
            <a:ext uri="{FF2B5EF4-FFF2-40B4-BE49-F238E27FC236}">
              <a16:creationId xmlns:a16="http://schemas.microsoft.com/office/drawing/2014/main" id="{948E8EF1-2D8E-2C48-A03E-782ED4712E72}"/>
            </a:ext>
          </a:extLst>
        </xdr:cNvPr>
        <xdr:cNvSpPr/>
      </xdr:nvSpPr>
      <xdr:spPr>
        <a:xfrm>
          <a:off x="10998865" y="304800"/>
          <a:ext cx="2130073" cy="44805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489615</xdr:colOff>
      <xdr:row>1</xdr:row>
      <xdr:rowOff>114300</xdr:rowOff>
    </xdr:from>
    <xdr:to>
      <xdr:col>13</xdr:col>
      <xdr:colOff>143188</xdr:colOff>
      <xdr:row>3</xdr:row>
      <xdr:rowOff>181356</xdr:rowOff>
    </xdr:to>
    <xdr:sp macro="" textlink="">
      <xdr:nvSpPr>
        <xdr:cNvPr id="12" name="Rectangle 11">
          <a:extLst>
            <a:ext uri="{FF2B5EF4-FFF2-40B4-BE49-F238E27FC236}">
              <a16:creationId xmlns:a16="http://schemas.microsoft.com/office/drawing/2014/main" id="{85DDEB74-38B7-C847-889F-7C63BFF72A4C}"/>
            </a:ext>
          </a:extLst>
        </xdr:cNvPr>
        <xdr:cNvSpPr/>
      </xdr:nvSpPr>
      <xdr:spPr>
        <a:xfrm>
          <a:off x="8744615" y="304800"/>
          <a:ext cx="2130073" cy="44805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711865</xdr:colOff>
      <xdr:row>1</xdr:row>
      <xdr:rowOff>114300</xdr:rowOff>
    </xdr:from>
    <xdr:to>
      <xdr:col>10</xdr:col>
      <xdr:colOff>365438</xdr:colOff>
      <xdr:row>3</xdr:row>
      <xdr:rowOff>181356</xdr:rowOff>
    </xdr:to>
    <xdr:sp macro="" textlink="">
      <xdr:nvSpPr>
        <xdr:cNvPr id="13" name="Rectangle 12">
          <a:extLst>
            <a:ext uri="{FF2B5EF4-FFF2-40B4-BE49-F238E27FC236}">
              <a16:creationId xmlns:a16="http://schemas.microsoft.com/office/drawing/2014/main" id="{ADA5E510-4C80-F24C-B661-9E2B7B5FE863}"/>
            </a:ext>
          </a:extLst>
        </xdr:cNvPr>
        <xdr:cNvSpPr/>
      </xdr:nvSpPr>
      <xdr:spPr>
        <a:xfrm>
          <a:off x="6514320" y="304420"/>
          <a:ext cx="2140340" cy="44729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225511</xdr:colOff>
      <xdr:row>1</xdr:row>
      <xdr:rowOff>79977</xdr:rowOff>
    </xdr:from>
    <xdr:ext cx="3089661" cy="292093"/>
    <xdr:sp macro="" textlink="">
      <xdr:nvSpPr>
        <xdr:cNvPr id="14" name="TextBox 13">
          <a:extLst>
            <a:ext uri="{FF2B5EF4-FFF2-40B4-BE49-F238E27FC236}">
              <a16:creationId xmlns:a16="http://schemas.microsoft.com/office/drawing/2014/main" id="{56FA3D78-75DC-814F-952C-94262D8F706D}"/>
            </a:ext>
          </a:extLst>
        </xdr:cNvPr>
        <xdr:cNvSpPr txBox="1"/>
      </xdr:nvSpPr>
      <xdr:spPr>
        <a:xfrm>
          <a:off x="1873079" y="274482"/>
          <a:ext cx="3089661" cy="29209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a:solidFill>
                <a:schemeClr val="bg1"/>
              </a:solidFill>
              <a:latin typeface="+mn-lt"/>
            </a:rPr>
            <a:t>APEX GENERAL HOSPITAL DASHBOARD</a:t>
          </a:r>
        </a:p>
      </xdr:txBody>
    </xdr:sp>
    <xdr:clientData/>
  </xdr:oneCellAnchor>
  <xdr:twoCellAnchor>
    <xdr:from>
      <xdr:col>2</xdr:col>
      <xdr:colOff>305261</xdr:colOff>
      <xdr:row>5</xdr:row>
      <xdr:rowOff>9621</xdr:rowOff>
    </xdr:from>
    <xdr:to>
      <xdr:col>4</xdr:col>
      <xdr:colOff>119486</xdr:colOff>
      <xdr:row>9</xdr:row>
      <xdr:rowOff>102332</xdr:rowOff>
    </xdr:to>
    <xdr:sp macro="" textlink="">
      <xdr:nvSpPr>
        <xdr:cNvPr id="19" name="Rectangle 18">
          <a:extLst>
            <a:ext uri="{FF2B5EF4-FFF2-40B4-BE49-F238E27FC236}">
              <a16:creationId xmlns:a16="http://schemas.microsoft.com/office/drawing/2014/main" id="{F7F26735-6CB9-9BB7-9DCB-875C709BBD54}"/>
            </a:ext>
          </a:extLst>
        </xdr:cNvPr>
        <xdr:cNvSpPr/>
      </xdr:nvSpPr>
      <xdr:spPr>
        <a:xfrm>
          <a:off x="1962456" y="977609"/>
          <a:ext cx="1471420" cy="8671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299571</xdr:colOff>
      <xdr:row>5</xdr:row>
      <xdr:rowOff>152189</xdr:rowOff>
    </xdr:from>
    <xdr:to>
      <xdr:col>3</xdr:col>
      <xdr:colOff>337285</xdr:colOff>
      <xdr:row>6</xdr:row>
      <xdr:rowOff>190582</xdr:rowOff>
    </xdr:to>
    <xdr:sp macro="" textlink="">
      <xdr:nvSpPr>
        <xdr:cNvPr id="20" name="TextBox 19">
          <a:extLst>
            <a:ext uri="{FF2B5EF4-FFF2-40B4-BE49-F238E27FC236}">
              <a16:creationId xmlns:a16="http://schemas.microsoft.com/office/drawing/2014/main" id="{F0F5F489-105D-7EC4-4549-BF1274DDA49B}"/>
            </a:ext>
          </a:extLst>
        </xdr:cNvPr>
        <xdr:cNvSpPr txBox="1"/>
      </xdr:nvSpPr>
      <xdr:spPr>
        <a:xfrm>
          <a:off x="1951804" y="1107772"/>
          <a:ext cx="863831" cy="2295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a:solidFill>
                <a:schemeClr val="bg2">
                  <a:lumMod val="75000"/>
                </a:schemeClr>
              </a:solidFill>
            </a:rPr>
            <a:t>Total Revenue</a:t>
          </a:r>
        </a:p>
      </xdr:txBody>
    </xdr:sp>
    <xdr:clientData/>
  </xdr:twoCellAnchor>
  <xdr:twoCellAnchor>
    <xdr:from>
      <xdr:col>5</xdr:col>
      <xdr:colOff>125076</xdr:colOff>
      <xdr:row>5</xdr:row>
      <xdr:rowOff>9621</xdr:rowOff>
    </xdr:from>
    <xdr:to>
      <xdr:col>6</xdr:col>
      <xdr:colOff>752762</xdr:colOff>
      <xdr:row>9</xdr:row>
      <xdr:rowOff>108283</xdr:rowOff>
    </xdr:to>
    <xdr:grpSp>
      <xdr:nvGrpSpPr>
        <xdr:cNvPr id="26" name="Group 25">
          <a:extLst>
            <a:ext uri="{FF2B5EF4-FFF2-40B4-BE49-F238E27FC236}">
              <a16:creationId xmlns:a16="http://schemas.microsoft.com/office/drawing/2014/main" id="{A72E07EF-C17F-08D3-1928-0296EE06D66C}"/>
            </a:ext>
          </a:extLst>
        </xdr:cNvPr>
        <xdr:cNvGrpSpPr/>
      </xdr:nvGrpSpPr>
      <xdr:grpSpPr>
        <a:xfrm>
          <a:off x="4252576" y="962121"/>
          <a:ext cx="1453186" cy="860662"/>
          <a:chOff x="4262197" y="1011161"/>
          <a:chExt cx="1455110" cy="868359"/>
        </a:xfrm>
      </xdr:grpSpPr>
      <xdr:sp macro="" textlink="">
        <xdr:nvSpPr>
          <xdr:cNvPr id="23" name="Rectangle 22">
            <a:extLst>
              <a:ext uri="{FF2B5EF4-FFF2-40B4-BE49-F238E27FC236}">
                <a16:creationId xmlns:a16="http://schemas.microsoft.com/office/drawing/2014/main" id="{B32A7623-231D-4563-95DF-DC2194AC566B}"/>
              </a:ext>
            </a:extLst>
          </xdr:cNvPr>
          <xdr:cNvSpPr/>
        </xdr:nvSpPr>
        <xdr:spPr>
          <a:xfrm>
            <a:off x="4262197" y="1011161"/>
            <a:ext cx="1455110" cy="86835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a:extLst>
              <a:ext uri="{FF2B5EF4-FFF2-40B4-BE49-F238E27FC236}">
                <a16:creationId xmlns:a16="http://schemas.microsoft.com/office/drawing/2014/main" id="{127AC8F0-FCFA-081E-9D25-967CD31BB4AD}"/>
              </a:ext>
            </a:extLst>
          </xdr:cNvPr>
          <xdr:cNvSpPr txBox="1"/>
        </xdr:nvSpPr>
        <xdr:spPr>
          <a:xfrm>
            <a:off x="4281586" y="1156150"/>
            <a:ext cx="852413"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a:solidFill>
                  <a:schemeClr val="bg2">
                    <a:lumMod val="75000"/>
                  </a:schemeClr>
                </a:solidFill>
              </a:rPr>
              <a:t>Length of Stay</a:t>
            </a:r>
          </a:p>
        </xdr:txBody>
      </xdr:sp>
      <xdr:sp macro="" textlink="$B$7">
        <xdr:nvSpPr>
          <xdr:cNvPr id="25" name="TextBox 24">
            <a:extLst>
              <a:ext uri="{FF2B5EF4-FFF2-40B4-BE49-F238E27FC236}">
                <a16:creationId xmlns:a16="http://schemas.microsoft.com/office/drawing/2014/main" id="{BC8A1CE5-21CF-D1AE-1F72-3A98F8687B4D}"/>
              </a:ext>
            </a:extLst>
          </xdr:cNvPr>
          <xdr:cNvSpPr txBox="1"/>
        </xdr:nvSpPr>
        <xdr:spPr>
          <a:xfrm>
            <a:off x="4262198" y="1341841"/>
            <a:ext cx="2561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F6C661DE-407A-BA41-B408-DE048DAD0066}" type="TxLink">
              <a:rPr lang="en-US" sz="1100" b="1" i="0" u="none" strike="noStrike">
                <a:solidFill>
                  <a:srgbClr val="000000"/>
                </a:solidFill>
                <a:latin typeface="Calibri"/>
                <a:cs typeface="Calibri"/>
              </a:rPr>
              <a:pPr/>
              <a:t> </a:t>
            </a:fld>
            <a:endParaRPr lang="en-US" sz="1100" b="1"/>
          </a:p>
        </xdr:txBody>
      </xdr:sp>
    </xdr:grpSp>
    <xdr:clientData/>
  </xdr:twoCellAnchor>
  <xdr:twoCellAnchor>
    <xdr:from>
      <xdr:col>7</xdr:col>
      <xdr:colOff>769697</xdr:colOff>
      <xdr:row>5</xdr:row>
      <xdr:rowOff>9621</xdr:rowOff>
    </xdr:from>
    <xdr:to>
      <xdr:col>9</xdr:col>
      <xdr:colOff>569959</xdr:colOff>
      <xdr:row>9</xdr:row>
      <xdr:rowOff>99019</xdr:rowOff>
    </xdr:to>
    <xdr:grpSp>
      <xdr:nvGrpSpPr>
        <xdr:cNvPr id="27" name="Group 26">
          <a:extLst>
            <a:ext uri="{FF2B5EF4-FFF2-40B4-BE49-F238E27FC236}">
              <a16:creationId xmlns:a16="http://schemas.microsoft.com/office/drawing/2014/main" id="{A4C7773A-090B-484B-94F9-BAB2385AC80E}"/>
            </a:ext>
          </a:extLst>
        </xdr:cNvPr>
        <xdr:cNvGrpSpPr/>
      </xdr:nvGrpSpPr>
      <xdr:grpSpPr>
        <a:xfrm>
          <a:off x="6548197" y="962121"/>
          <a:ext cx="1451262" cy="851398"/>
          <a:chOff x="23803950" y="424791"/>
          <a:chExt cx="1455110" cy="859095"/>
        </a:xfrm>
        <a:noFill/>
      </xdr:grpSpPr>
      <xdr:sp macro="" textlink="">
        <xdr:nvSpPr>
          <xdr:cNvPr id="28" name="Rectangle 27">
            <a:extLst>
              <a:ext uri="{FF2B5EF4-FFF2-40B4-BE49-F238E27FC236}">
                <a16:creationId xmlns:a16="http://schemas.microsoft.com/office/drawing/2014/main" id="{DE547A56-B897-ED2A-09D9-3FA80F3E076C}"/>
              </a:ext>
            </a:extLst>
          </xdr:cNvPr>
          <xdr:cNvSpPr/>
        </xdr:nvSpPr>
        <xdr:spPr>
          <a:xfrm>
            <a:off x="23803950" y="424791"/>
            <a:ext cx="1455110" cy="859095"/>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TextBox 28">
            <a:extLst>
              <a:ext uri="{FF2B5EF4-FFF2-40B4-BE49-F238E27FC236}">
                <a16:creationId xmlns:a16="http://schemas.microsoft.com/office/drawing/2014/main" id="{12B5EE1E-9015-1F0E-687F-1A5E90B264AB}"/>
              </a:ext>
            </a:extLst>
          </xdr:cNvPr>
          <xdr:cNvSpPr txBox="1"/>
        </xdr:nvSpPr>
        <xdr:spPr>
          <a:xfrm>
            <a:off x="23823339" y="560515"/>
            <a:ext cx="1196290" cy="233205"/>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solidFill>
                  <a:schemeClr val="bg2">
                    <a:lumMod val="75000"/>
                  </a:schemeClr>
                </a:solidFill>
              </a:rPr>
              <a:t>Total Unique Patients</a:t>
            </a:r>
          </a:p>
        </xdr:txBody>
      </xdr:sp>
      <xdr:sp macro="" textlink="$C$34">
        <xdr:nvSpPr>
          <xdr:cNvPr id="30" name="TextBox 29">
            <a:extLst>
              <a:ext uri="{FF2B5EF4-FFF2-40B4-BE49-F238E27FC236}">
                <a16:creationId xmlns:a16="http://schemas.microsoft.com/office/drawing/2014/main" id="{E2DA0814-CAC4-7673-76AB-C50A76FE59EA}"/>
              </a:ext>
            </a:extLst>
          </xdr:cNvPr>
          <xdr:cNvSpPr txBox="1"/>
        </xdr:nvSpPr>
        <xdr:spPr>
          <a:xfrm>
            <a:off x="23803951" y="746207"/>
            <a:ext cx="217623" cy="262022"/>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613C579-C8DB-8848-91E0-0890A5DFC863}" type="TxLink">
              <a:rPr lang="en-US" sz="1100" b="1" i="0" u="none" strike="noStrike">
                <a:solidFill>
                  <a:srgbClr val="000000"/>
                </a:solidFill>
                <a:latin typeface="Calibri"/>
                <a:cs typeface="Calibri"/>
              </a:rPr>
              <a:pPr/>
              <a:t> </a:t>
            </a:fld>
            <a:endParaRPr lang="en-US" sz="1100" b="1"/>
          </a:p>
        </xdr:txBody>
      </xdr:sp>
    </xdr:grpSp>
    <xdr:clientData/>
  </xdr:twoCellAnchor>
  <xdr:twoCellAnchor>
    <xdr:from>
      <xdr:col>10</xdr:col>
      <xdr:colOff>519546</xdr:colOff>
      <xdr:row>5</xdr:row>
      <xdr:rowOff>9621</xdr:rowOff>
    </xdr:from>
    <xdr:to>
      <xdr:col>12</xdr:col>
      <xdr:colOff>323645</xdr:colOff>
      <xdr:row>9</xdr:row>
      <xdr:rowOff>108283</xdr:rowOff>
    </xdr:to>
    <xdr:grpSp>
      <xdr:nvGrpSpPr>
        <xdr:cNvPr id="31" name="Group 30">
          <a:extLst>
            <a:ext uri="{FF2B5EF4-FFF2-40B4-BE49-F238E27FC236}">
              <a16:creationId xmlns:a16="http://schemas.microsoft.com/office/drawing/2014/main" id="{5EA7AA37-E249-4346-84C3-BB5CBEB0325E}"/>
            </a:ext>
          </a:extLst>
        </xdr:cNvPr>
        <xdr:cNvGrpSpPr/>
      </xdr:nvGrpSpPr>
      <xdr:grpSpPr>
        <a:xfrm>
          <a:off x="8774546" y="962121"/>
          <a:ext cx="1455099" cy="860662"/>
          <a:chOff x="23849495" y="1708333"/>
          <a:chExt cx="1458948" cy="868359"/>
        </a:xfrm>
        <a:noFill/>
      </xdr:grpSpPr>
      <xdr:sp macro="" textlink="">
        <xdr:nvSpPr>
          <xdr:cNvPr id="32" name="Rectangle 31">
            <a:extLst>
              <a:ext uri="{FF2B5EF4-FFF2-40B4-BE49-F238E27FC236}">
                <a16:creationId xmlns:a16="http://schemas.microsoft.com/office/drawing/2014/main" id="{31F0EEC2-D56D-5784-1B9B-D21DD16968B0}"/>
              </a:ext>
            </a:extLst>
          </xdr:cNvPr>
          <xdr:cNvSpPr/>
        </xdr:nvSpPr>
        <xdr:spPr>
          <a:xfrm>
            <a:off x="23849495" y="1708333"/>
            <a:ext cx="1458948" cy="868359"/>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TextBox 32">
            <a:extLst>
              <a:ext uri="{FF2B5EF4-FFF2-40B4-BE49-F238E27FC236}">
                <a16:creationId xmlns:a16="http://schemas.microsoft.com/office/drawing/2014/main" id="{9C4C4A49-F239-2C34-4928-74693A26222C}"/>
              </a:ext>
            </a:extLst>
          </xdr:cNvPr>
          <xdr:cNvSpPr txBox="1"/>
        </xdr:nvSpPr>
        <xdr:spPr>
          <a:xfrm>
            <a:off x="23868884" y="1853322"/>
            <a:ext cx="982961" cy="233205"/>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solidFill>
                  <a:schemeClr val="bg2">
                    <a:lumMod val="75000"/>
                  </a:schemeClr>
                </a:solidFill>
              </a:rPr>
              <a:t>High-Risk</a:t>
            </a:r>
            <a:r>
              <a:rPr lang="en-US" sz="900" baseline="0">
                <a:solidFill>
                  <a:schemeClr val="bg2">
                    <a:lumMod val="75000"/>
                  </a:schemeClr>
                </a:solidFill>
              </a:rPr>
              <a:t> Patient</a:t>
            </a:r>
            <a:endParaRPr lang="en-US" sz="900">
              <a:solidFill>
                <a:schemeClr val="bg2">
                  <a:lumMod val="75000"/>
                </a:schemeClr>
              </a:solidFill>
            </a:endParaRPr>
          </a:p>
        </xdr:txBody>
      </xdr:sp>
      <xdr:sp macro="" textlink="$C$17">
        <xdr:nvSpPr>
          <xdr:cNvPr id="34" name="TextBox 33">
            <a:extLst>
              <a:ext uri="{FF2B5EF4-FFF2-40B4-BE49-F238E27FC236}">
                <a16:creationId xmlns:a16="http://schemas.microsoft.com/office/drawing/2014/main" id="{EC1A05F6-506A-98D4-E567-2F337FF87BE2}"/>
              </a:ext>
            </a:extLst>
          </xdr:cNvPr>
          <xdr:cNvSpPr txBox="1"/>
        </xdr:nvSpPr>
        <xdr:spPr>
          <a:xfrm>
            <a:off x="23849496" y="2039013"/>
            <a:ext cx="217620" cy="262049"/>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4881478-510E-4841-85F7-D1F316751236}" type="TxLink">
              <a:rPr lang="en-US" sz="1100" b="1" i="0" u="none" strike="noStrike">
                <a:solidFill>
                  <a:srgbClr val="000000"/>
                </a:solidFill>
                <a:latin typeface="Calibri"/>
                <a:cs typeface="Calibri"/>
              </a:rPr>
              <a:pPr/>
              <a:t> </a:t>
            </a:fld>
            <a:endParaRPr lang="en-US" sz="1100" b="1"/>
          </a:p>
        </xdr:txBody>
      </xdr:sp>
    </xdr:grpSp>
    <xdr:clientData/>
  </xdr:twoCellAnchor>
  <xdr:twoCellAnchor>
    <xdr:from>
      <xdr:col>13</xdr:col>
      <xdr:colOff>365606</xdr:colOff>
      <xdr:row>5</xdr:row>
      <xdr:rowOff>9621</xdr:rowOff>
    </xdr:from>
    <xdr:to>
      <xdr:col>15</xdr:col>
      <xdr:colOff>162593</xdr:colOff>
      <xdr:row>9</xdr:row>
      <xdr:rowOff>99018</xdr:rowOff>
    </xdr:to>
    <xdr:grpSp>
      <xdr:nvGrpSpPr>
        <xdr:cNvPr id="35" name="Group 34">
          <a:extLst>
            <a:ext uri="{FF2B5EF4-FFF2-40B4-BE49-F238E27FC236}">
              <a16:creationId xmlns:a16="http://schemas.microsoft.com/office/drawing/2014/main" id="{D059D615-742B-BE40-AD0D-14DF0BCD1FDF}"/>
            </a:ext>
          </a:extLst>
        </xdr:cNvPr>
        <xdr:cNvGrpSpPr/>
      </xdr:nvGrpSpPr>
      <xdr:grpSpPr>
        <a:xfrm>
          <a:off x="11097106" y="962121"/>
          <a:ext cx="1447987" cy="851397"/>
          <a:chOff x="22928402" y="3215793"/>
          <a:chExt cx="1451836" cy="859094"/>
        </a:xfrm>
        <a:noFill/>
      </xdr:grpSpPr>
      <xdr:sp macro="" textlink="">
        <xdr:nvSpPr>
          <xdr:cNvPr id="36" name="Rectangle 35">
            <a:extLst>
              <a:ext uri="{FF2B5EF4-FFF2-40B4-BE49-F238E27FC236}">
                <a16:creationId xmlns:a16="http://schemas.microsoft.com/office/drawing/2014/main" id="{87BB30CE-9437-5C78-52D1-8CC8D43FF61C}"/>
              </a:ext>
            </a:extLst>
          </xdr:cNvPr>
          <xdr:cNvSpPr/>
        </xdr:nvSpPr>
        <xdr:spPr>
          <a:xfrm>
            <a:off x="22928402" y="3215793"/>
            <a:ext cx="1451836" cy="859094"/>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TextBox 36">
            <a:extLst>
              <a:ext uri="{FF2B5EF4-FFF2-40B4-BE49-F238E27FC236}">
                <a16:creationId xmlns:a16="http://schemas.microsoft.com/office/drawing/2014/main" id="{396F5551-E726-8FD0-578A-50A2EB217CA8}"/>
              </a:ext>
            </a:extLst>
          </xdr:cNvPr>
          <xdr:cNvSpPr txBox="1"/>
        </xdr:nvSpPr>
        <xdr:spPr>
          <a:xfrm>
            <a:off x="22947791" y="3360780"/>
            <a:ext cx="1336071" cy="233205"/>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solidFill>
                  <a:schemeClr val="bg2">
                    <a:lumMod val="75000"/>
                  </a:schemeClr>
                </a:solidFill>
              </a:rPr>
              <a:t>Number of Departments</a:t>
            </a:r>
          </a:p>
        </xdr:txBody>
      </xdr:sp>
      <xdr:sp macro="" textlink="$C$24">
        <xdr:nvSpPr>
          <xdr:cNvPr id="38" name="TextBox 37">
            <a:extLst>
              <a:ext uri="{FF2B5EF4-FFF2-40B4-BE49-F238E27FC236}">
                <a16:creationId xmlns:a16="http://schemas.microsoft.com/office/drawing/2014/main" id="{E410EBBD-7F78-838B-F56A-3111C226F62C}"/>
              </a:ext>
            </a:extLst>
          </xdr:cNvPr>
          <xdr:cNvSpPr txBox="1"/>
        </xdr:nvSpPr>
        <xdr:spPr>
          <a:xfrm>
            <a:off x="22928403" y="3546473"/>
            <a:ext cx="217625" cy="262022"/>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D5C5CF8-9D74-734D-871B-AA81526630A2}" type="TxLink">
              <a:rPr lang="en-US" sz="1100" b="1" i="0" u="none" strike="noStrike">
                <a:solidFill>
                  <a:srgbClr val="000000"/>
                </a:solidFill>
                <a:latin typeface="Calibri"/>
                <a:cs typeface="Calibri"/>
              </a:rPr>
              <a:pPr/>
              <a:t> </a:t>
            </a:fld>
            <a:endParaRPr lang="en-US" sz="1100" b="1"/>
          </a:p>
        </xdr:txBody>
      </xdr:sp>
    </xdr:grpSp>
    <xdr:clientData/>
  </xdr:twoCellAnchor>
  <xdr:twoCellAnchor>
    <xdr:from>
      <xdr:col>3</xdr:col>
      <xdr:colOff>60932</xdr:colOff>
      <xdr:row>9</xdr:row>
      <xdr:rowOff>135233</xdr:rowOff>
    </xdr:from>
    <xdr:to>
      <xdr:col>5</xdr:col>
      <xdr:colOff>76435</xdr:colOff>
      <xdr:row>17</xdr:row>
      <xdr:rowOff>35277</xdr:rowOff>
    </xdr:to>
    <xdr:graphicFrame macro="">
      <xdr:nvGraphicFramePr>
        <xdr:cNvPr id="39" name="Chart 38">
          <a:extLst>
            <a:ext uri="{FF2B5EF4-FFF2-40B4-BE49-F238E27FC236}">
              <a16:creationId xmlns:a16="http://schemas.microsoft.com/office/drawing/2014/main" id="{F0C6F2CA-C6ED-E041-86CA-4C7904126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274898</xdr:colOff>
      <xdr:row>10</xdr:row>
      <xdr:rowOff>139614</xdr:rowOff>
    </xdr:from>
    <xdr:to>
      <xdr:col>3</xdr:col>
      <xdr:colOff>645688</xdr:colOff>
      <xdr:row>11</xdr:row>
      <xdr:rowOff>182319</xdr:rowOff>
    </xdr:to>
    <xdr:sp macro="" textlink="">
      <xdr:nvSpPr>
        <xdr:cNvPr id="40" name="TextBox 39">
          <a:extLst>
            <a:ext uri="{FF2B5EF4-FFF2-40B4-BE49-F238E27FC236}">
              <a16:creationId xmlns:a16="http://schemas.microsoft.com/office/drawing/2014/main" id="{EE5B1F15-67EE-B640-A50C-65C5510608F4}"/>
            </a:ext>
          </a:extLst>
        </xdr:cNvPr>
        <xdr:cNvSpPr txBox="1"/>
      </xdr:nvSpPr>
      <xdr:spPr>
        <a:xfrm>
          <a:off x="1932093" y="2075590"/>
          <a:ext cx="1199388" cy="236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a:solidFill>
                <a:schemeClr val="bg2">
                  <a:lumMod val="75000"/>
                </a:schemeClr>
              </a:solidFill>
            </a:rPr>
            <a:t>No of Admissions</a:t>
          </a:r>
        </a:p>
      </xdr:txBody>
    </xdr:sp>
    <xdr:clientData/>
  </xdr:twoCellAnchor>
  <xdr:twoCellAnchor>
    <xdr:from>
      <xdr:col>5</xdr:col>
      <xdr:colOff>77880</xdr:colOff>
      <xdr:row>10</xdr:row>
      <xdr:rowOff>139614</xdr:rowOff>
    </xdr:from>
    <xdr:to>
      <xdr:col>6</xdr:col>
      <xdr:colOff>448670</xdr:colOff>
      <xdr:row>11</xdr:row>
      <xdr:rowOff>182319</xdr:rowOff>
    </xdr:to>
    <xdr:sp macro="" textlink="">
      <xdr:nvSpPr>
        <xdr:cNvPr id="41" name="TextBox 40">
          <a:extLst>
            <a:ext uri="{FF2B5EF4-FFF2-40B4-BE49-F238E27FC236}">
              <a16:creationId xmlns:a16="http://schemas.microsoft.com/office/drawing/2014/main" id="{5B79EF62-941E-4B47-9781-9C15371A45EC}"/>
            </a:ext>
          </a:extLst>
        </xdr:cNvPr>
        <xdr:cNvSpPr txBox="1"/>
      </xdr:nvSpPr>
      <xdr:spPr>
        <a:xfrm>
          <a:off x="4192680" y="2070014"/>
          <a:ext cx="1193750" cy="2357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a:solidFill>
                <a:schemeClr val="bg2">
                  <a:lumMod val="75000"/>
                </a:schemeClr>
              </a:solidFill>
            </a:rPr>
            <a:t>No of Discharges</a:t>
          </a:r>
        </a:p>
      </xdr:txBody>
    </xdr:sp>
    <xdr:clientData/>
  </xdr:twoCellAnchor>
  <xdr:twoCellAnchor>
    <xdr:from>
      <xdr:col>2</xdr:col>
      <xdr:colOff>274898</xdr:colOff>
      <xdr:row>12</xdr:row>
      <xdr:rowOff>34686</xdr:rowOff>
    </xdr:from>
    <xdr:to>
      <xdr:col>2</xdr:col>
      <xdr:colOff>744798</xdr:colOff>
      <xdr:row>14</xdr:row>
      <xdr:rowOff>74559</xdr:rowOff>
    </xdr:to>
    <xdr:sp macro="" textlink="$B$34">
      <xdr:nvSpPr>
        <xdr:cNvPr id="42" name="TextBox 41">
          <a:extLst>
            <a:ext uri="{FF2B5EF4-FFF2-40B4-BE49-F238E27FC236}">
              <a16:creationId xmlns:a16="http://schemas.microsoft.com/office/drawing/2014/main" id="{F155DCE4-D5FD-4C4A-91BC-5E20E9A78FFA}"/>
            </a:ext>
          </a:extLst>
        </xdr:cNvPr>
        <xdr:cNvSpPr txBox="1"/>
      </xdr:nvSpPr>
      <xdr:spPr>
        <a:xfrm>
          <a:off x="1922466" y="2341281"/>
          <a:ext cx="469900" cy="424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i="0" u="none" strike="noStrike">
              <a:solidFill>
                <a:srgbClr val="000000"/>
              </a:solidFill>
              <a:latin typeface="Calibri"/>
              <a:cs typeface="Calibri"/>
            </a:rPr>
            <a:t>94</a:t>
          </a:r>
          <a:endParaRPr lang="en-US" sz="1500" b="1"/>
        </a:p>
      </xdr:txBody>
    </xdr:sp>
    <xdr:clientData/>
  </xdr:twoCellAnchor>
  <xdr:oneCellAnchor>
    <xdr:from>
      <xdr:col>1</xdr:col>
      <xdr:colOff>0</xdr:colOff>
      <xdr:row>13</xdr:row>
      <xdr:rowOff>0</xdr:rowOff>
    </xdr:from>
    <xdr:ext cx="216534" cy="264560"/>
    <xdr:sp macro="" textlink="$I$6">
      <xdr:nvSpPr>
        <xdr:cNvPr id="45" name="TextBox 44">
          <a:extLst>
            <a:ext uri="{FF2B5EF4-FFF2-40B4-BE49-F238E27FC236}">
              <a16:creationId xmlns:a16="http://schemas.microsoft.com/office/drawing/2014/main" id="{2EAD2F82-F107-6C4E-B507-D5A9DC6E508C}"/>
            </a:ext>
          </a:extLst>
        </xdr:cNvPr>
        <xdr:cNvSpPr txBox="1"/>
      </xdr:nvSpPr>
      <xdr:spPr>
        <a:xfrm>
          <a:off x="822960" y="2509520"/>
          <a:ext cx="2165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D8D1F14-A76B-7A40-880B-C1C4E8D09870}" type="TxLink">
            <a:rPr lang="en-US" sz="1100" b="0" i="0" u="none" strike="noStrike">
              <a:solidFill>
                <a:srgbClr val="000000"/>
              </a:solidFill>
              <a:latin typeface="Calibri"/>
              <a:cs typeface="Calibri"/>
            </a:rPr>
            <a:pPr/>
            <a:t> </a:t>
          </a:fld>
          <a:endParaRPr lang="en-US" sz="1100"/>
        </a:p>
      </xdr:txBody>
    </xdr:sp>
    <xdr:clientData/>
  </xdr:oneCellAnchor>
  <xdr:twoCellAnchor editAs="oneCell">
    <xdr:from>
      <xdr:col>2</xdr:col>
      <xdr:colOff>274898</xdr:colOff>
      <xdr:row>14</xdr:row>
      <xdr:rowOff>142240</xdr:rowOff>
    </xdr:from>
    <xdr:to>
      <xdr:col>2</xdr:col>
      <xdr:colOff>706698</xdr:colOff>
      <xdr:row>16</xdr:row>
      <xdr:rowOff>35560</xdr:rowOff>
    </xdr:to>
    <xdr:pic>
      <xdr:nvPicPr>
        <xdr:cNvPr id="46" name="Picture 45">
          <a:extLst>
            <a:ext uri="{FF2B5EF4-FFF2-40B4-BE49-F238E27FC236}">
              <a16:creationId xmlns:a16="http://schemas.microsoft.com/office/drawing/2014/main" id="{B175CF44-BCB7-ACCC-13C8-6EFBB1AC6668}"/>
            </a:ext>
          </a:extLst>
        </xdr:cNvPr>
        <xdr:cNvPicPr>
          <a:picLocks noChangeAspect="1"/>
        </xdr:cNvPicPr>
      </xdr:nvPicPr>
      <xdr:blipFill>
        <a:blip xmlns:r="http://schemas.openxmlformats.org/officeDocument/2006/relationships" r:embed="rId2"/>
        <a:stretch>
          <a:fillRect/>
        </a:stretch>
      </xdr:blipFill>
      <xdr:spPr>
        <a:xfrm>
          <a:off x="1922466" y="2833267"/>
          <a:ext cx="431800" cy="277752"/>
        </a:xfrm>
        <a:prstGeom prst="rect">
          <a:avLst/>
        </a:prstGeom>
      </xdr:spPr>
    </xdr:pic>
    <xdr:clientData/>
  </xdr:twoCellAnchor>
  <xdr:twoCellAnchor>
    <xdr:from>
      <xdr:col>5</xdr:col>
      <xdr:colOff>727675</xdr:colOff>
      <xdr:row>9</xdr:row>
      <xdr:rowOff>102973</xdr:rowOff>
    </xdr:from>
    <xdr:to>
      <xdr:col>7</xdr:col>
      <xdr:colOff>744316</xdr:colOff>
      <xdr:row>17</xdr:row>
      <xdr:rowOff>851</xdr:rowOff>
    </xdr:to>
    <xdr:graphicFrame macro="">
      <xdr:nvGraphicFramePr>
        <xdr:cNvPr id="47" name="Chart 46">
          <a:extLst>
            <a:ext uri="{FF2B5EF4-FFF2-40B4-BE49-F238E27FC236}">
              <a16:creationId xmlns:a16="http://schemas.microsoft.com/office/drawing/2014/main" id="{98351EFB-725E-9540-8339-FEB6F5797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77880</xdr:colOff>
      <xdr:row>12</xdr:row>
      <xdr:rowOff>60017</xdr:rowOff>
    </xdr:from>
    <xdr:to>
      <xdr:col>5</xdr:col>
      <xdr:colOff>623597</xdr:colOff>
      <xdr:row>14</xdr:row>
      <xdr:rowOff>92340</xdr:rowOff>
    </xdr:to>
    <xdr:sp macro="" textlink="">
      <xdr:nvSpPr>
        <xdr:cNvPr id="48" name="TextBox 21">
          <a:extLst>
            <a:ext uri="{FF2B5EF4-FFF2-40B4-BE49-F238E27FC236}">
              <a16:creationId xmlns:a16="http://schemas.microsoft.com/office/drawing/2014/main" id="{AC6FC378-58DF-4AE6-18D8-220FDF8D59AC}"/>
            </a:ext>
          </a:extLst>
        </xdr:cNvPr>
        <xdr:cNvSpPr txBox="1"/>
      </xdr:nvSpPr>
      <xdr:spPr>
        <a:xfrm>
          <a:off x="4196799" y="2366612"/>
          <a:ext cx="545717" cy="416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500" b="1" i="0" u="none" strike="noStrike">
              <a:solidFill>
                <a:srgbClr val="000000"/>
              </a:solidFill>
              <a:latin typeface="Calibri"/>
              <a:cs typeface="Calibri"/>
            </a:rPr>
            <a:t>389</a:t>
          </a:r>
          <a:endParaRPr lang="en-US" sz="1500" b="1"/>
        </a:p>
      </xdr:txBody>
    </xdr:sp>
    <xdr:clientData/>
  </xdr:twoCellAnchor>
  <xdr:twoCellAnchor>
    <xdr:from>
      <xdr:col>5</xdr:col>
      <xdr:colOff>77880</xdr:colOff>
      <xdr:row>14</xdr:row>
      <xdr:rowOff>185352</xdr:rowOff>
    </xdr:from>
    <xdr:to>
      <xdr:col>6</xdr:col>
      <xdr:colOff>168496</xdr:colOff>
      <xdr:row>19</xdr:row>
      <xdr:rowOff>138671</xdr:rowOff>
    </xdr:to>
    <xdr:sp macro="" textlink="">
      <xdr:nvSpPr>
        <xdr:cNvPr id="49" name="TextBox 1">
          <a:extLst>
            <a:ext uri="{FF2B5EF4-FFF2-40B4-BE49-F238E27FC236}">
              <a16:creationId xmlns:a16="http://schemas.microsoft.com/office/drawing/2014/main" id="{2E323692-6984-6095-96F5-62519823F1FC}"/>
            </a:ext>
          </a:extLst>
        </xdr:cNvPr>
        <xdr:cNvSpPr txBox="1"/>
      </xdr:nvSpPr>
      <xdr:spPr>
        <a:xfrm>
          <a:off x="4196799" y="2876379"/>
          <a:ext cx="914400" cy="91440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1100" b="0" i="0" u="none" strike="noStrike" kern="1200">
              <a:solidFill>
                <a:srgbClr val="000000"/>
              </a:solidFill>
              <a:latin typeface="Calibri"/>
              <a:cs typeface="Calibri"/>
            </a:rPr>
            <a:t>81%</a:t>
          </a:r>
          <a:endParaRPr lang="en-US" sz="1100" kern="1200"/>
        </a:p>
      </xdr:txBody>
    </xdr:sp>
    <xdr:clientData/>
  </xdr:twoCellAnchor>
  <xdr:twoCellAnchor>
    <xdr:from>
      <xdr:col>7</xdr:col>
      <xdr:colOff>711200</xdr:colOff>
      <xdr:row>12</xdr:row>
      <xdr:rowOff>122008</xdr:rowOff>
    </xdr:from>
    <xdr:to>
      <xdr:col>15</xdr:col>
      <xdr:colOff>660400</xdr:colOff>
      <xdr:row>32</xdr:row>
      <xdr:rowOff>164358</xdr:rowOff>
    </xdr:to>
    <xdr:graphicFrame macro="">
      <xdr:nvGraphicFramePr>
        <xdr:cNvPr id="50" name="Chart 49">
          <a:extLst>
            <a:ext uri="{FF2B5EF4-FFF2-40B4-BE49-F238E27FC236}">
              <a16:creationId xmlns:a16="http://schemas.microsoft.com/office/drawing/2014/main" id="{49B00278-AA71-C44C-A4E4-F893023C4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302937</xdr:colOff>
      <xdr:row>20</xdr:row>
      <xdr:rowOff>0</xdr:rowOff>
    </xdr:from>
    <xdr:to>
      <xdr:col>7</xdr:col>
      <xdr:colOff>594220</xdr:colOff>
      <xdr:row>33</xdr:row>
      <xdr:rowOff>34954</xdr:rowOff>
    </xdr:to>
    <xdr:graphicFrame macro="">
      <xdr:nvGraphicFramePr>
        <xdr:cNvPr id="51" name="Chart 50">
          <a:extLst>
            <a:ext uri="{FF2B5EF4-FFF2-40B4-BE49-F238E27FC236}">
              <a16:creationId xmlns:a16="http://schemas.microsoft.com/office/drawing/2014/main" id="{48AA0CC3-2A78-EB48-9F0E-C880204CD4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788488</xdr:colOff>
      <xdr:row>1</xdr:row>
      <xdr:rowOff>140902</xdr:rowOff>
    </xdr:from>
    <xdr:to>
      <xdr:col>10</xdr:col>
      <xdr:colOff>228600</xdr:colOff>
      <xdr:row>3</xdr:row>
      <xdr:rowOff>169332</xdr:rowOff>
    </xdr:to>
    <mc:AlternateContent xmlns:mc="http://schemas.openxmlformats.org/markup-compatibility/2006" xmlns:a14="http://schemas.microsoft.com/office/drawing/2010/main">
      <mc:Choice Requires="a14">
        <xdr:graphicFrame macro="">
          <xdr:nvGraphicFramePr>
            <xdr:cNvPr id="53" name="Months 1">
              <a:extLst>
                <a:ext uri="{FF2B5EF4-FFF2-40B4-BE49-F238E27FC236}">
                  <a16:creationId xmlns:a16="http://schemas.microsoft.com/office/drawing/2014/main" id="{D8E4E210-F30A-F540-A9C1-A78E027C85D1}"/>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6550525" y="329050"/>
              <a:ext cx="1909556" cy="4047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593459</xdr:colOff>
      <xdr:row>1</xdr:row>
      <xdr:rowOff>149689</xdr:rowOff>
    </xdr:from>
    <xdr:to>
      <xdr:col>13</xdr:col>
      <xdr:colOff>30319</xdr:colOff>
      <xdr:row>3</xdr:row>
      <xdr:rowOff>181356</xdr:rowOff>
    </xdr:to>
    <mc:AlternateContent xmlns:mc="http://schemas.openxmlformats.org/markup-compatibility/2006" xmlns:a14="http://schemas.microsoft.com/office/drawing/2010/main">
      <mc:Choice Requires="a14">
        <xdr:graphicFrame macro="">
          <xdr:nvGraphicFramePr>
            <xdr:cNvPr id="54" name="Gender 1">
              <a:extLst>
                <a:ext uri="{FF2B5EF4-FFF2-40B4-BE49-F238E27FC236}">
                  <a16:creationId xmlns:a16="http://schemas.microsoft.com/office/drawing/2014/main" id="{460D5201-177E-2C48-B535-FCDB6639752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824940" y="337837"/>
              <a:ext cx="1906305" cy="4079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336322</xdr:colOff>
      <xdr:row>1</xdr:row>
      <xdr:rowOff>149689</xdr:rowOff>
    </xdr:from>
    <xdr:to>
      <xdr:col>15</xdr:col>
      <xdr:colOff>604024</xdr:colOff>
      <xdr:row>3</xdr:row>
      <xdr:rowOff>181356</xdr:rowOff>
    </xdr:to>
    <mc:AlternateContent xmlns:mc="http://schemas.openxmlformats.org/markup-compatibility/2006" xmlns:a14="http://schemas.microsoft.com/office/drawing/2010/main">
      <mc:Choice Requires="a14">
        <xdr:graphicFrame macro="">
          <xdr:nvGraphicFramePr>
            <xdr:cNvPr id="55" name="Age Group 1">
              <a:extLst>
                <a:ext uri="{FF2B5EF4-FFF2-40B4-BE49-F238E27FC236}">
                  <a16:creationId xmlns:a16="http://schemas.microsoft.com/office/drawing/2014/main" id="{421086AC-CFFD-5F45-BDD5-F4EED37511B1}"/>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1037248" y="337837"/>
              <a:ext cx="1913998" cy="4079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760105</xdr:colOff>
      <xdr:row>10</xdr:row>
      <xdr:rowOff>139614</xdr:rowOff>
    </xdr:from>
    <xdr:to>
      <xdr:col>9</xdr:col>
      <xdr:colOff>538434</xdr:colOff>
      <xdr:row>11</xdr:row>
      <xdr:rowOff>182319</xdr:rowOff>
    </xdr:to>
    <xdr:sp macro="" textlink="">
      <xdr:nvSpPr>
        <xdr:cNvPr id="56" name="TextBox 55">
          <a:extLst>
            <a:ext uri="{FF2B5EF4-FFF2-40B4-BE49-F238E27FC236}">
              <a16:creationId xmlns:a16="http://schemas.microsoft.com/office/drawing/2014/main" id="{5B7CC5C8-3CE0-E14F-8FC2-97AB0B088BAA}"/>
            </a:ext>
          </a:extLst>
        </xdr:cNvPr>
        <xdr:cNvSpPr txBox="1"/>
      </xdr:nvSpPr>
      <xdr:spPr>
        <a:xfrm>
          <a:off x="6520825" y="2070014"/>
          <a:ext cx="1424249" cy="2357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a:solidFill>
                <a:schemeClr val="bg2">
                  <a:lumMod val="75000"/>
                </a:schemeClr>
              </a:solidFill>
            </a:rPr>
            <a:t>Revenue by Departments</a:t>
          </a:r>
        </a:p>
        <a:p>
          <a:endParaRPr lang="en-US" sz="900">
            <a:solidFill>
              <a:schemeClr val="bg2">
                <a:lumMod val="75000"/>
              </a:schemeClr>
            </a:solidFill>
          </a:endParaRPr>
        </a:p>
      </xdr:txBody>
    </xdr:sp>
    <xdr:clientData/>
  </xdr:twoCellAnchor>
  <xdr:twoCellAnchor>
    <xdr:from>
      <xdr:col>2</xdr:col>
      <xdr:colOff>274898</xdr:colOff>
      <xdr:row>18</xdr:row>
      <xdr:rowOff>63414</xdr:rowOff>
    </xdr:from>
    <xdr:to>
      <xdr:col>4</xdr:col>
      <xdr:colOff>53227</xdr:colOff>
      <xdr:row>19</xdr:row>
      <xdr:rowOff>106119</xdr:rowOff>
    </xdr:to>
    <xdr:sp macro="" textlink="">
      <xdr:nvSpPr>
        <xdr:cNvPr id="57" name="TextBox 56">
          <a:extLst>
            <a:ext uri="{FF2B5EF4-FFF2-40B4-BE49-F238E27FC236}">
              <a16:creationId xmlns:a16="http://schemas.microsoft.com/office/drawing/2014/main" id="{BC877AC9-3AA4-314D-9364-254A5A847A12}"/>
            </a:ext>
          </a:extLst>
        </xdr:cNvPr>
        <xdr:cNvSpPr txBox="1"/>
      </xdr:nvSpPr>
      <xdr:spPr>
        <a:xfrm>
          <a:off x="1932093" y="3548170"/>
          <a:ext cx="1435524" cy="2363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a:solidFill>
                <a:schemeClr val="bg2">
                  <a:lumMod val="75000"/>
                </a:schemeClr>
              </a:solidFill>
            </a:rPr>
            <a:t>Admission Trends</a:t>
          </a:r>
        </a:p>
        <a:p>
          <a:endParaRPr lang="en-US" sz="900">
            <a:solidFill>
              <a:schemeClr val="bg2">
                <a:lumMod val="75000"/>
              </a:schemeClr>
            </a:solidFill>
          </a:endParaRPr>
        </a:p>
      </xdr:txBody>
    </xdr:sp>
    <xdr:clientData/>
  </xdr:twoCellAnchor>
  <xdr:twoCellAnchor>
    <xdr:from>
      <xdr:col>2</xdr:col>
      <xdr:colOff>305445</xdr:colOff>
      <xdr:row>2</xdr:row>
      <xdr:rowOff>176259</xdr:rowOff>
    </xdr:from>
    <xdr:to>
      <xdr:col>3</xdr:col>
      <xdr:colOff>764397</xdr:colOff>
      <xdr:row>4</xdr:row>
      <xdr:rowOff>64533</xdr:rowOff>
    </xdr:to>
    <xdr:grpSp>
      <xdr:nvGrpSpPr>
        <xdr:cNvPr id="61" name="Group 60">
          <a:hlinkClick xmlns:r="http://schemas.openxmlformats.org/officeDocument/2006/relationships" r:id="rId6"/>
          <a:extLst>
            <a:ext uri="{FF2B5EF4-FFF2-40B4-BE49-F238E27FC236}">
              <a16:creationId xmlns:a16="http://schemas.microsoft.com/office/drawing/2014/main" id="{83B061DD-18DB-84F3-78E4-090298E6F33C}"/>
            </a:ext>
          </a:extLst>
        </xdr:cNvPr>
        <xdr:cNvGrpSpPr/>
      </xdr:nvGrpSpPr>
      <xdr:grpSpPr>
        <a:xfrm>
          <a:off x="1956445" y="557259"/>
          <a:ext cx="1284452" cy="269274"/>
          <a:chOff x="1958073" y="558887"/>
          <a:chExt cx="1285266" cy="270902"/>
        </a:xfrm>
        <a:scene3d>
          <a:camera prst="orthographicFront">
            <a:rot lat="0" lon="0" rev="0"/>
          </a:camera>
          <a:lightRig rig="soft" dir="t">
            <a:rot lat="0" lon="0" rev="0"/>
          </a:lightRig>
        </a:scene3d>
      </xdr:grpSpPr>
      <xdr:sp macro="" textlink="">
        <xdr:nvSpPr>
          <xdr:cNvPr id="58" name="Rectangle 57">
            <a:extLst>
              <a:ext uri="{FF2B5EF4-FFF2-40B4-BE49-F238E27FC236}">
                <a16:creationId xmlns:a16="http://schemas.microsoft.com/office/drawing/2014/main" id="{078516AA-ADD9-D24B-9535-42D7F617DF63}"/>
              </a:ext>
            </a:extLst>
          </xdr:cNvPr>
          <xdr:cNvSpPr/>
        </xdr:nvSpPr>
        <xdr:spPr>
          <a:xfrm>
            <a:off x="1962365" y="581546"/>
            <a:ext cx="1280974" cy="248243"/>
          </a:xfrm>
          <a:prstGeom prst="rect">
            <a:avLst/>
          </a:prstGeom>
          <a:solidFill>
            <a:schemeClr val="bg1"/>
          </a:solidFill>
          <a:ln>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a:extLst>
              <a:ext uri="{FF2B5EF4-FFF2-40B4-BE49-F238E27FC236}">
                <a16:creationId xmlns:a16="http://schemas.microsoft.com/office/drawing/2014/main" id="{DAAACFC8-8486-504E-9934-A6D4EDAC0B31}"/>
              </a:ext>
            </a:extLst>
          </xdr:cNvPr>
          <xdr:cNvSpPr txBox="1"/>
        </xdr:nvSpPr>
        <xdr:spPr>
          <a:xfrm>
            <a:off x="1958073" y="558887"/>
            <a:ext cx="1219052" cy="264560"/>
          </a:xfrm>
          <a:prstGeom prst="rect">
            <a:avLst/>
          </a:prstGeom>
          <a:noFill/>
          <a:ln>
            <a:no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accent1">
                    <a:lumMod val="75000"/>
                  </a:schemeClr>
                </a:solidFill>
              </a:rPr>
              <a:t>Caculated Metrics</a:t>
            </a:r>
          </a:p>
        </xdr:txBody>
      </xdr:sp>
    </xdr:grpSp>
    <xdr:clientData/>
  </xdr:twoCellAnchor>
  <xdr:twoCellAnchor>
    <xdr:from>
      <xdr:col>4</xdr:col>
      <xdr:colOff>205132</xdr:colOff>
      <xdr:row>2</xdr:row>
      <xdr:rowOff>186419</xdr:rowOff>
    </xdr:from>
    <xdr:to>
      <xdr:col>5</xdr:col>
      <xdr:colOff>659792</xdr:colOff>
      <xdr:row>4</xdr:row>
      <xdr:rowOff>68351</xdr:rowOff>
    </xdr:to>
    <xdr:grpSp>
      <xdr:nvGrpSpPr>
        <xdr:cNvPr id="62" name="Group 61">
          <a:hlinkClick xmlns:r="http://schemas.openxmlformats.org/officeDocument/2006/relationships" r:id="rId7"/>
          <a:extLst>
            <a:ext uri="{FF2B5EF4-FFF2-40B4-BE49-F238E27FC236}">
              <a16:creationId xmlns:a16="http://schemas.microsoft.com/office/drawing/2014/main" id="{F7619781-E4BE-DADC-17AA-A90CDB54D2A6}"/>
            </a:ext>
          </a:extLst>
        </xdr:cNvPr>
        <xdr:cNvGrpSpPr/>
      </xdr:nvGrpSpPr>
      <xdr:grpSpPr>
        <a:xfrm>
          <a:off x="3507132" y="567419"/>
          <a:ext cx="1280160" cy="262932"/>
          <a:chOff x="3518085" y="569047"/>
          <a:chExt cx="1280975" cy="264560"/>
        </a:xfrm>
      </xdr:grpSpPr>
      <xdr:sp macro="" textlink="">
        <xdr:nvSpPr>
          <xdr:cNvPr id="59" name="Rectangle 58">
            <a:extLst>
              <a:ext uri="{FF2B5EF4-FFF2-40B4-BE49-F238E27FC236}">
                <a16:creationId xmlns:a16="http://schemas.microsoft.com/office/drawing/2014/main" id="{F4A03C90-CFBA-F64A-A9ED-9E3521C62FFE}"/>
              </a:ext>
            </a:extLst>
          </xdr:cNvPr>
          <xdr:cNvSpPr/>
        </xdr:nvSpPr>
        <xdr:spPr>
          <a:xfrm>
            <a:off x="3518085" y="580405"/>
            <a:ext cx="1280975" cy="248243"/>
          </a:xfrm>
          <a:prstGeom prst="rect">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TextBox 16">
            <a:extLst>
              <a:ext uri="{FF2B5EF4-FFF2-40B4-BE49-F238E27FC236}">
                <a16:creationId xmlns:a16="http://schemas.microsoft.com/office/drawing/2014/main" id="{CE879EF2-1823-EC4E-A9B7-DA22E1A1A366}"/>
              </a:ext>
            </a:extLst>
          </xdr:cNvPr>
          <xdr:cNvSpPr txBox="1"/>
        </xdr:nvSpPr>
        <xdr:spPr>
          <a:xfrm>
            <a:off x="3710595" y="569047"/>
            <a:ext cx="8202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accent1">
                    <a:lumMod val="75000"/>
                  </a:schemeClr>
                </a:solidFill>
              </a:rPr>
              <a:t>Pivot Table</a:t>
            </a:r>
          </a:p>
        </xdr:txBody>
      </xdr:sp>
    </xdr:grpSp>
    <xdr:clientData/>
  </xdr:twoCellAnchor>
  <xdr:twoCellAnchor>
    <xdr:from>
      <xdr:col>6</xdr:col>
      <xdr:colOff>85133</xdr:colOff>
      <xdr:row>2</xdr:row>
      <xdr:rowOff>183879</xdr:rowOff>
    </xdr:from>
    <xdr:to>
      <xdr:col>7</xdr:col>
      <xdr:colOff>539793</xdr:colOff>
      <xdr:row>4</xdr:row>
      <xdr:rowOff>65811</xdr:rowOff>
    </xdr:to>
    <xdr:grpSp>
      <xdr:nvGrpSpPr>
        <xdr:cNvPr id="63" name="Group 62">
          <a:hlinkClick xmlns:r="http://schemas.openxmlformats.org/officeDocument/2006/relationships" r:id="rId8"/>
          <a:extLst>
            <a:ext uri="{FF2B5EF4-FFF2-40B4-BE49-F238E27FC236}">
              <a16:creationId xmlns:a16="http://schemas.microsoft.com/office/drawing/2014/main" id="{E450920E-4836-8E0A-362F-B8EB06921416}"/>
            </a:ext>
          </a:extLst>
        </xdr:cNvPr>
        <xdr:cNvGrpSpPr/>
      </xdr:nvGrpSpPr>
      <xdr:grpSpPr>
        <a:xfrm>
          <a:off x="5038133" y="564879"/>
          <a:ext cx="1280160" cy="262932"/>
          <a:chOff x="5073806" y="566507"/>
          <a:chExt cx="1280974" cy="264560"/>
        </a:xfrm>
        <a:scene3d>
          <a:camera prst="orthographicFront">
            <a:rot lat="0" lon="0" rev="0"/>
          </a:camera>
          <a:lightRig rig="soft" dir="t">
            <a:rot lat="0" lon="0" rev="0"/>
          </a:lightRig>
        </a:scene3d>
      </xdr:grpSpPr>
      <xdr:sp macro="" textlink="">
        <xdr:nvSpPr>
          <xdr:cNvPr id="60" name="Rectangle 59">
            <a:extLst>
              <a:ext uri="{FF2B5EF4-FFF2-40B4-BE49-F238E27FC236}">
                <a16:creationId xmlns:a16="http://schemas.microsoft.com/office/drawing/2014/main" id="{33DBA489-186D-AD44-8057-AFE00BF15C84}"/>
              </a:ext>
            </a:extLst>
          </xdr:cNvPr>
          <xdr:cNvSpPr/>
        </xdr:nvSpPr>
        <xdr:spPr>
          <a:xfrm>
            <a:off x="5073806" y="580405"/>
            <a:ext cx="1280974" cy="248243"/>
          </a:xfrm>
          <a:prstGeom prst="rect">
            <a:avLst/>
          </a:prstGeom>
          <a:solidFill>
            <a:schemeClr val="bg1"/>
          </a:solidFill>
          <a:ln>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a:extLst>
              <a:ext uri="{FF2B5EF4-FFF2-40B4-BE49-F238E27FC236}">
                <a16:creationId xmlns:a16="http://schemas.microsoft.com/office/drawing/2014/main" id="{A96F59B5-9BF0-6F4F-AD41-A81EC5141666}"/>
              </a:ext>
            </a:extLst>
          </xdr:cNvPr>
          <xdr:cNvSpPr txBox="1"/>
        </xdr:nvSpPr>
        <xdr:spPr>
          <a:xfrm>
            <a:off x="5329914" y="566507"/>
            <a:ext cx="730841" cy="264560"/>
          </a:xfrm>
          <a:prstGeom prst="rect">
            <a:avLst/>
          </a:prstGeom>
          <a:noFill/>
          <a:ln>
            <a:no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accent1">
                    <a:lumMod val="75000"/>
                  </a:schemeClr>
                </a:solidFill>
              </a:rPr>
              <a:t>Raw Data</a:t>
            </a:r>
          </a:p>
        </xdr:txBody>
      </xdr:sp>
    </xdr:grpSp>
    <xdr:clientData/>
  </xdr:twoCellAnchor>
  <xdr:oneCellAnchor>
    <xdr:from>
      <xdr:col>2</xdr:col>
      <xdr:colOff>251711</xdr:colOff>
      <xdr:row>6</xdr:row>
      <xdr:rowOff>137299</xdr:rowOff>
    </xdr:from>
    <xdr:ext cx="1272143" cy="264560"/>
    <xdr:sp macro="" textlink="'Pivot Table'!B12">
      <xdr:nvSpPr>
        <xdr:cNvPr id="22" name="TextBox 21">
          <a:extLst>
            <a:ext uri="{FF2B5EF4-FFF2-40B4-BE49-F238E27FC236}">
              <a16:creationId xmlns:a16="http://schemas.microsoft.com/office/drawing/2014/main" id="{A5CA5D35-7F14-619D-78B1-1108A9517BD9}"/>
            </a:ext>
          </a:extLst>
        </xdr:cNvPr>
        <xdr:cNvSpPr txBox="1"/>
      </xdr:nvSpPr>
      <xdr:spPr>
        <a:xfrm>
          <a:off x="1899279" y="1304326"/>
          <a:ext cx="127214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646E362-C1D7-C349-B4B2-0DB4F70C9CA2}" type="TxLink">
            <a:rPr lang="en-US" sz="1100" b="1" i="0" u="none" strike="noStrike">
              <a:solidFill>
                <a:srgbClr val="000000"/>
              </a:solidFill>
              <a:latin typeface="Calibri"/>
              <a:cs typeface="Calibri"/>
            </a:rPr>
            <a:pPr/>
            <a:t> NGN 115,382,590 </a:t>
          </a:fld>
          <a:endParaRPr lang="en-US" sz="1100" b="1"/>
        </a:p>
      </xdr:txBody>
    </xdr:sp>
    <xdr:clientData/>
  </xdr:oneCellAnchor>
  <xdr:oneCellAnchor>
    <xdr:from>
      <xdr:col>7</xdr:col>
      <xdr:colOff>800901</xdr:colOff>
      <xdr:row>6</xdr:row>
      <xdr:rowOff>137299</xdr:rowOff>
    </xdr:from>
    <xdr:ext cx="399148" cy="264560"/>
    <xdr:sp macro="" textlink="'Pivot Table'!C34">
      <xdr:nvSpPr>
        <xdr:cNvPr id="43" name="TextBox 42">
          <a:extLst>
            <a:ext uri="{FF2B5EF4-FFF2-40B4-BE49-F238E27FC236}">
              <a16:creationId xmlns:a16="http://schemas.microsoft.com/office/drawing/2014/main" id="{D46EA318-45A6-FC9A-9E38-2104F85F4E11}"/>
            </a:ext>
          </a:extLst>
        </xdr:cNvPr>
        <xdr:cNvSpPr txBox="1"/>
      </xdr:nvSpPr>
      <xdr:spPr>
        <a:xfrm>
          <a:off x="6567387" y="1304326"/>
          <a:ext cx="3991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16776E9-A7C9-454E-A1A6-FE61A8A86F2D}" type="TxLink">
            <a:rPr lang="en-US" sz="1100" b="1" i="0" u="none" strike="noStrike">
              <a:solidFill>
                <a:srgbClr val="000000"/>
              </a:solidFill>
              <a:latin typeface="Calibri"/>
              <a:cs typeface="Calibri"/>
            </a:rPr>
            <a:pPr/>
            <a:t>483</a:t>
          </a:fld>
          <a:endParaRPr lang="en-US" sz="1100" b="1"/>
        </a:p>
      </xdr:txBody>
    </xdr:sp>
    <xdr:clientData/>
  </xdr:oneCellAnchor>
  <xdr:oneCellAnchor>
    <xdr:from>
      <xdr:col>5</xdr:col>
      <xdr:colOff>171621</xdr:colOff>
      <xdr:row>6</xdr:row>
      <xdr:rowOff>137299</xdr:rowOff>
    </xdr:from>
    <xdr:ext cx="256160" cy="264560"/>
    <xdr:sp macro="" textlink="'Pivot Table'!B7">
      <xdr:nvSpPr>
        <xdr:cNvPr id="44" name="TextBox 43">
          <a:extLst>
            <a:ext uri="{FF2B5EF4-FFF2-40B4-BE49-F238E27FC236}">
              <a16:creationId xmlns:a16="http://schemas.microsoft.com/office/drawing/2014/main" id="{3F1EE677-556C-54D5-9BAA-77945AA3F6E6}"/>
            </a:ext>
          </a:extLst>
        </xdr:cNvPr>
        <xdr:cNvSpPr txBox="1"/>
      </xdr:nvSpPr>
      <xdr:spPr>
        <a:xfrm>
          <a:off x="4290540" y="1304326"/>
          <a:ext cx="2561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BD1D35E-AF97-CF43-9E2A-CD9E6AC6EF4B}" type="TxLink">
            <a:rPr lang="en-US" sz="1100" b="1" i="0" u="none" strike="noStrike">
              <a:solidFill>
                <a:srgbClr val="000000"/>
              </a:solidFill>
              <a:latin typeface="Calibri"/>
              <a:cs typeface="Calibri"/>
            </a:rPr>
            <a:pPr/>
            <a:t>8</a:t>
          </a:fld>
          <a:endParaRPr lang="en-US" sz="1100" b="1"/>
        </a:p>
      </xdr:txBody>
    </xdr:sp>
    <xdr:clientData/>
  </xdr:oneCellAnchor>
  <xdr:oneCellAnchor>
    <xdr:from>
      <xdr:col>10</xdr:col>
      <xdr:colOff>549189</xdr:colOff>
      <xdr:row>6</xdr:row>
      <xdr:rowOff>137299</xdr:rowOff>
    </xdr:from>
    <xdr:ext cx="399148" cy="264560"/>
    <xdr:sp macro="" textlink="'Pivot Table'!C17">
      <xdr:nvSpPr>
        <xdr:cNvPr id="52" name="TextBox 51">
          <a:extLst>
            <a:ext uri="{FF2B5EF4-FFF2-40B4-BE49-F238E27FC236}">
              <a16:creationId xmlns:a16="http://schemas.microsoft.com/office/drawing/2014/main" id="{C95A21C7-04E2-0377-0CCB-FC037588C35B}"/>
            </a:ext>
          </a:extLst>
        </xdr:cNvPr>
        <xdr:cNvSpPr txBox="1"/>
      </xdr:nvSpPr>
      <xdr:spPr>
        <a:xfrm>
          <a:off x="8787027" y="1304326"/>
          <a:ext cx="3991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68EFEA3-EA94-6C42-910C-FF87E4BE6A14}" type="TxLink">
            <a:rPr lang="en-US" sz="1100" b="1" i="0" u="none" strike="noStrike">
              <a:solidFill>
                <a:srgbClr val="000000"/>
              </a:solidFill>
              <a:latin typeface="Calibri"/>
              <a:cs typeface="Calibri"/>
            </a:rPr>
            <a:pPr/>
            <a:t>192</a:t>
          </a:fld>
          <a:endParaRPr lang="en-US" sz="1100" b="1"/>
        </a:p>
      </xdr:txBody>
    </xdr:sp>
    <xdr:clientData/>
  </xdr:oneCellAnchor>
  <xdr:oneCellAnchor>
    <xdr:from>
      <xdr:col>13</xdr:col>
      <xdr:colOff>411893</xdr:colOff>
      <xdr:row>6</xdr:row>
      <xdr:rowOff>137299</xdr:rowOff>
    </xdr:from>
    <xdr:ext cx="256160" cy="264560"/>
    <xdr:sp macro="" textlink="'Pivot Table'!C24">
      <xdr:nvSpPr>
        <xdr:cNvPr id="64" name="TextBox 63">
          <a:extLst>
            <a:ext uri="{FF2B5EF4-FFF2-40B4-BE49-F238E27FC236}">
              <a16:creationId xmlns:a16="http://schemas.microsoft.com/office/drawing/2014/main" id="{D34B4104-9902-1035-2E7B-989A3F27E3F2}"/>
            </a:ext>
          </a:extLst>
        </xdr:cNvPr>
        <xdr:cNvSpPr txBox="1"/>
      </xdr:nvSpPr>
      <xdr:spPr>
        <a:xfrm>
          <a:off x="11121082" y="1304326"/>
          <a:ext cx="2561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6197525-BCCA-9A4D-82E5-FE0D6C91B61F}" type="TxLink">
            <a:rPr lang="en-US" sz="1100" b="1" i="0" u="none" strike="noStrike">
              <a:solidFill>
                <a:srgbClr val="000000"/>
              </a:solidFill>
              <a:latin typeface="Calibri"/>
              <a:cs typeface="Calibri"/>
            </a:rPr>
            <a:pPr/>
            <a:t>5</a:t>
          </a:fld>
          <a:endParaRPr lang="en-US" sz="1100" b="1"/>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15</xdr:col>
      <xdr:colOff>495300</xdr:colOff>
      <xdr:row>5</xdr:row>
      <xdr:rowOff>38100</xdr:rowOff>
    </xdr:from>
    <xdr:to>
      <xdr:col>17</xdr:col>
      <xdr:colOff>673101</xdr:colOff>
      <xdr:row>17</xdr:row>
      <xdr:rowOff>180969</xdr:rowOff>
    </xdr:to>
    <mc:AlternateContent xmlns:mc="http://schemas.openxmlformats.org/markup-compatibility/2006" xmlns:a14="http://schemas.microsoft.com/office/drawing/2010/main">
      <mc:Choice Requires="a14">
        <xdr:graphicFrame macro="">
          <xdr:nvGraphicFramePr>
            <xdr:cNvPr id="2" name="Age Group">
              <a:extLst>
                <a:ext uri="{FF2B5EF4-FFF2-40B4-BE49-F238E27FC236}">
                  <a16:creationId xmlns:a16="http://schemas.microsoft.com/office/drawing/2014/main" id="{684BFB26-783C-45C8-8000-95714C4C846C}"/>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6283940" y="1003300"/>
              <a:ext cx="1823720" cy="2459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241300</xdr:colOff>
      <xdr:row>5</xdr:row>
      <xdr:rowOff>38100</xdr:rowOff>
    </xdr:from>
    <xdr:to>
      <xdr:col>15</xdr:col>
      <xdr:colOff>419099</xdr:colOff>
      <xdr:row>17</xdr:row>
      <xdr:rowOff>180969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C9D3DF7E-E203-7CBA-4F46-7E97BFBD901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384020" y="1003300"/>
              <a:ext cx="1823720" cy="2459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5</xdr:row>
      <xdr:rowOff>25400</xdr:rowOff>
    </xdr:from>
    <xdr:to>
      <xdr:col>13</xdr:col>
      <xdr:colOff>177801</xdr:colOff>
      <xdr:row>17</xdr:row>
      <xdr:rowOff>168269</xdr:rowOff>
    </xdr:to>
    <mc:AlternateContent xmlns:mc="http://schemas.openxmlformats.org/markup-compatibility/2006" xmlns:a14="http://schemas.microsoft.com/office/drawing/2010/main">
      <mc:Choice Requires="a14">
        <xdr:graphicFrame macro="">
          <xdr:nvGraphicFramePr>
            <xdr:cNvPr id="4" name="Months">
              <a:extLst>
                <a:ext uri="{FF2B5EF4-FFF2-40B4-BE49-F238E27FC236}">
                  <a16:creationId xmlns:a16="http://schemas.microsoft.com/office/drawing/2014/main" id="{253A79D7-37DE-9C7F-6D43-1A59CA31CB78}"/>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2496800" y="990600"/>
              <a:ext cx="1823720" cy="2459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406400</xdr:colOff>
      <xdr:row>1</xdr:row>
      <xdr:rowOff>63500</xdr:rowOff>
    </xdr:from>
    <xdr:to>
      <xdr:col>23</xdr:col>
      <xdr:colOff>685800</xdr:colOff>
      <xdr:row>6</xdr:row>
      <xdr:rowOff>101600</xdr:rowOff>
    </xdr:to>
    <xdr:sp macro="" textlink="">
      <xdr:nvSpPr>
        <xdr:cNvPr id="5" name="Rectangle 4">
          <a:extLst>
            <a:ext uri="{FF2B5EF4-FFF2-40B4-BE49-F238E27FC236}">
              <a16:creationId xmlns:a16="http://schemas.microsoft.com/office/drawing/2014/main" id="{1085B5D8-2D10-126F-63FA-DE822B944607}"/>
            </a:ext>
          </a:extLst>
        </xdr:cNvPr>
        <xdr:cNvSpPr/>
      </xdr:nvSpPr>
      <xdr:spPr>
        <a:xfrm>
          <a:off x="20243800" y="254000"/>
          <a:ext cx="1930400" cy="990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23</xdr:col>
      <xdr:colOff>787400</xdr:colOff>
      <xdr:row>1</xdr:row>
      <xdr:rowOff>76200</xdr:rowOff>
    </xdr:from>
    <xdr:to>
      <xdr:col>25</xdr:col>
      <xdr:colOff>685800</xdr:colOff>
      <xdr:row>6</xdr:row>
      <xdr:rowOff>114300</xdr:rowOff>
    </xdr:to>
    <xdr:sp macro="" textlink="">
      <xdr:nvSpPr>
        <xdr:cNvPr id="9" name="Rectangle 8">
          <a:extLst>
            <a:ext uri="{FF2B5EF4-FFF2-40B4-BE49-F238E27FC236}">
              <a16:creationId xmlns:a16="http://schemas.microsoft.com/office/drawing/2014/main" id="{9EBAE7F7-FF46-2D45-8D7A-4EAAB9C9EEFD}"/>
            </a:ext>
          </a:extLst>
        </xdr:cNvPr>
        <xdr:cNvSpPr/>
      </xdr:nvSpPr>
      <xdr:spPr>
        <a:xfrm>
          <a:off x="22275800" y="266700"/>
          <a:ext cx="1930400" cy="990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25</xdr:col>
      <xdr:colOff>787400</xdr:colOff>
      <xdr:row>1</xdr:row>
      <xdr:rowOff>76200</xdr:rowOff>
    </xdr:from>
    <xdr:to>
      <xdr:col>28</xdr:col>
      <xdr:colOff>241300</xdr:colOff>
      <xdr:row>6</xdr:row>
      <xdr:rowOff>114300</xdr:rowOff>
    </xdr:to>
    <xdr:sp macro="" textlink="">
      <xdr:nvSpPr>
        <xdr:cNvPr id="10" name="Rectangle 9">
          <a:extLst>
            <a:ext uri="{FF2B5EF4-FFF2-40B4-BE49-F238E27FC236}">
              <a16:creationId xmlns:a16="http://schemas.microsoft.com/office/drawing/2014/main" id="{A8A6C12A-EB4A-E549-A971-DC48A0963C54}"/>
            </a:ext>
          </a:extLst>
        </xdr:cNvPr>
        <xdr:cNvSpPr/>
      </xdr:nvSpPr>
      <xdr:spPr>
        <a:xfrm>
          <a:off x="24307800" y="266700"/>
          <a:ext cx="1930400" cy="990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28</xdr:col>
      <xdr:colOff>317500</xdr:colOff>
      <xdr:row>1</xdr:row>
      <xdr:rowOff>76200</xdr:rowOff>
    </xdr:from>
    <xdr:to>
      <xdr:col>30</xdr:col>
      <xdr:colOff>596900</xdr:colOff>
      <xdr:row>6</xdr:row>
      <xdr:rowOff>114300</xdr:rowOff>
    </xdr:to>
    <xdr:sp macro="" textlink="">
      <xdr:nvSpPr>
        <xdr:cNvPr id="11" name="Rectangle 10">
          <a:extLst>
            <a:ext uri="{FF2B5EF4-FFF2-40B4-BE49-F238E27FC236}">
              <a16:creationId xmlns:a16="http://schemas.microsoft.com/office/drawing/2014/main" id="{C3B4E9DD-E617-3B4E-BB24-BBB4BC6914B6}"/>
            </a:ext>
          </a:extLst>
        </xdr:cNvPr>
        <xdr:cNvSpPr/>
      </xdr:nvSpPr>
      <xdr:spPr>
        <a:xfrm>
          <a:off x="26314400" y="266700"/>
          <a:ext cx="1930400" cy="990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30</xdr:col>
      <xdr:colOff>774700</xdr:colOff>
      <xdr:row>1</xdr:row>
      <xdr:rowOff>76200</xdr:rowOff>
    </xdr:from>
    <xdr:to>
      <xdr:col>33</xdr:col>
      <xdr:colOff>228600</xdr:colOff>
      <xdr:row>6</xdr:row>
      <xdr:rowOff>114300</xdr:rowOff>
    </xdr:to>
    <xdr:sp macro="" textlink="">
      <xdr:nvSpPr>
        <xdr:cNvPr id="16" name="Rectangle 15">
          <a:extLst>
            <a:ext uri="{FF2B5EF4-FFF2-40B4-BE49-F238E27FC236}">
              <a16:creationId xmlns:a16="http://schemas.microsoft.com/office/drawing/2014/main" id="{5B95503C-06E8-C74B-A01E-0247810D3765}"/>
            </a:ext>
          </a:extLst>
        </xdr:cNvPr>
        <xdr:cNvSpPr/>
      </xdr:nvSpPr>
      <xdr:spPr>
        <a:xfrm>
          <a:off x="28422600" y="266700"/>
          <a:ext cx="1930400" cy="990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35</xdr:col>
      <xdr:colOff>50800</xdr:colOff>
      <xdr:row>4</xdr:row>
      <xdr:rowOff>133349</xdr:rowOff>
    </xdr:from>
    <xdr:to>
      <xdr:col>38</xdr:col>
      <xdr:colOff>25400</xdr:colOff>
      <xdr:row>15</xdr:row>
      <xdr:rowOff>142250</xdr:rowOff>
    </xdr:to>
    <xdr:graphicFrame macro="">
      <xdr:nvGraphicFramePr>
        <xdr:cNvPr id="21" name="Chart 20">
          <a:extLst>
            <a:ext uri="{FF2B5EF4-FFF2-40B4-BE49-F238E27FC236}">
              <a16:creationId xmlns:a16="http://schemas.microsoft.com/office/drawing/2014/main" id="{B12FFC78-096F-901E-D84C-A0BB8AE4D8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114300</xdr:colOff>
      <xdr:row>13</xdr:row>
      <xdr:rowOff>101600</xdr:rowOff>
    </xdr:from>
    <xdr:to>
      <xdr:col>35</xdr:col>
      <xdr:colOff>584200</xdr:colOff>
      <xdr:row>15</xdr:row>
      <xdr:rowOff>127000</xdr:rowOff>
    </xdr:to>
    <xdr:sp macro="" textlink="$B$34">
      <xdr:nvSpPr>
        <xdr:cNvPr id="22" name="TextBox 21">
          <a:extLst>
            <a:ext uri="{FF2B5EF4-FFF2-40B4-BE49-F238E27FC236}">
              <a16:creationId xmlns:a16="http://schemas.microsoft.com/office/drawing/2014/main" id="{C7D4D227-33C5-4442-BB38-B985100D72E4}"/>
            </a:ext>
          </a:extLst>
        </xdr:cNvPr>
        <xdr:cNvSpPr txBox="1"/>
      </xdr:nvSpPr>
      <xdr:spPr>
        <a:xfrm>
          <a:off x="32816800" y="2578100"/>
          <a:ext cx="4699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i="0" u="none" strike="noStrike">
              <a:solidFill>
                <a:srgbClr val="000000"/>
              </a:solidFill>
              <a:latin typeface="Calibri"/>
              <a:cs typeface="Calibri"/>
            </a:rPr>
            <a:t>94</a:t>
          </a:r>
          <a:endParaRPr lang="en-US" sz="1500" b="1"/>
        </a:p>
      </xdr:txBody>
    </xdr:sp>
    <xdr:clientData/>
  </xdr:twoCellAnchor>
  <xdr:twoCellAnchor>
    <xdr:from>
      <xdr:col>38</xdr:col>
      <xdr:colOff>304800</xdr:colOff>
      <xdr:row>4</xdr:row>
      <xdr:rowOff>50800</xdr:rowOff>
    </xdr:from>
    <xdr:to>
      <xdr:col>41</xdr:col>
      <xdr:colOff>279400</xdr:colOff>
      <xdr:row>15</xdr:row>
      <xdr:rowOff>63500</xdr:rowOff>
    </xdr:to>
    <xdr:graphicFrame macro="">
      <xdr:nvGraphicFramePr>
        <xdr:cNvPr id="23" name="Chart 22">
          <a:extLst>
            <a:ext uri="{FF2B5EF4-FFF2-40B4-BE49-F238E27FC236}">
              <a16:creationId xmlns:a16="http://schemas.microsoft.com/office/drawing/2014/main" id="{CF6B3B48-2B18-EBE3-C842-3D6ACF661C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368301</xdr:colOff>
      <xdr:row>18</xdr:row>
      <xdr:rowOff>181429</xdr:rowOff>
    </xdr:from>
    <xdr:to>
      <xdr:col>38</xdr:col>
      <xdr:colOff>816430</xdr:colOff>
      <xdr:row>31</xdr:row>
      <xdr:rowOff>146050</xdr:rowOff>
    </xdr:to>
    <xdr:graphicFrame macro="">
      <xdr:nvGraphicFramePr>
        <xdr:cNvPr id="24" name="Chart 23">
          <a:extLst>
            <a:ext uri="{FF2B5EF4-FFF2-40B4-BE49-F238E27FC236}">
              <a16:creationId xmlns:a16="http://schemas.microsoft.com/office/drawing/2014/main" id="{2AB11471-902D-4A0E-321D-1F6E2BBB88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39</xdr:col>
      <xdr:colOff>69185</xdr:colOff>
      <xdr:row>18</xdr:row>
      <xdr:rowOff>2654</xdr:rowOff>
    </xdr:from>
    <xdr:to>
      <xdr:col>43</xdr:col>
      <xdr:colOff>786641</xdr:colOff>
      <xdr:row>31</xdr:row>
      <xdr:rowOff>37911</xdr:rowOff>
    </xdr:to>
    <xdr:graphicFrame macro="">
      <xdr:nvGraphicFramePr>
        <xdr:cNvPr id="27" name="Chart 26">
          <a:extLst>
            <a:ext uri="{FF2B5EF4-FFF2-40B4-BE49-F238E27FC236}">
              <a16:creationId xmlns:a16="http://schemas.microsoft.com/office/drawing/2014/main" id="{670CCBB8-73B9-B536-FD82-4C0AA94B30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242366</xdr:colOff>
      <xdr:row>2</xdr:row>
      <xdr:rowOff>48474</xdr:rowOff>
    </xdr:from>
    <xdr:to>
      <xdr:col>23</xdr:col>
      <xdr:colOff>872519</xdr:colOff>
      <xdr:row>6</xdr:row>
      <xdr:rowOff>126030</xdr:rowOff>
    </xdr:to>
    <xdr:grpSp>
      <xdr:nvGrpSpPr>
        <xdr:cNvPr id="52" name="Group 51">
          <a:extLst>
            <a:ext uri="{FF2B5EF4-FFF2-40B4-BE49-F238E27FC236}">
              <a16:creationId xmlns:a16="http://schemas.microsoft.com/office/drawing/2014/main" id="{38B9883B-8988-A1E2-B7F8-606BD10238DF}"/>
            </a:ext>
          </a:extLst>
        </xdr:cNvPr>
        <xdr:cNvGrpSpPr/>
      </xdr:nvGrpSpPr>
      <xdr:grpSpPr>
        <a:xfrm>
          <a:off x="21900099" y="421007"/>
          <a:ext cx="1459887" cy="822623"/>
          <a:chOff x="21832366" y="439243"/>
          <a:chExt cx="1455110" cy="859095"/>
        </a:xfrm>
      </xdr:grpSpPr>
      <xdr:sp macro="" textlink="">
        <xdr:nvSpPr>
          <xdr:cNvPr id="34" name="Rectangle 33">
            <a:extLst>
              <a:ext uri="{FF2B5EF4-FFF2-40B4-BE49-F238E27FC236}">
                <a16:creationId xmlns:a16="http://schemas.microsoft.com/office/drawing/2014/main" id="{A0CBC8E7-B9FA-6532-4420-BC81EC996540}"/>
              </a:ext>
            </a:extLst>
          </xdr:cNvPr>
          <xdr:cNvSpPr/>
        </xdr:nvSpPr>
        <xdr:spPr>
          <a:xfrm>
            <a:off x="21832366" y="439243"/>
            <a:ext cx="1455110" cy="85909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TextBox 34">
            <a:extLst>
              <a:ext uri="{FF2B5EF4-FFF2-40B4-BE49-F238E27FC236}">
                <a16:creationId xmlns:a16="http://schemas.microsoft.com/office/drawing/2014/main" id="{50330BC8-93E3-5451-D046-23B8BF02B857}"/>
              </a:ext>
            </a:extLst>
          </xdr:cNvPr>
          <xdr:cNvSpPr txBox="1"/>
        </xdr:nvSpPr>
        <xdr:spPr>
          <a:xfrm>
            <a:off x="21851755" y="574967"/>
            <a:ext cx="856709"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solidFill>
                  <a:schemeClr val="bg2">
                    <a:lumMod val="75000"/>
                  </a:schemeClr>
                </a:solidFill>
              </a:rPr>
              <a:t>Total Revenue</a:t>
            </a:r>
          </a:p>
        </xdr:txBody>
      </xdr:sp>
      <xdr:sp macro="" textlink="$B$12">
        <xdr:nvSpPr>
          <xdr:cNvPr id="36" name="TextBox 35">
            <a:extLst>
              <a:ext uri="{FF2B5EF4-FFF2-40B4-BE49-F238E27FC236}">
                <a16:creationId xmlns:a16="http://schemas.microsoft.com/office/drawing/2014/main" id="{E9A0A419-28D0-6D82-0D32-8D53B473F7A3}"/>
              </a:ext>
            </a:extLst>
          </xdr:cNvPr>
          <xdr:cNvSpPr txBox="1"/>
        </xdr:nvSpPr>
        <xdr:spPr>
          <a:xfrm>
            <a:off x="21832367" y="760659"/>
            <a:ext cx="1271668" cy="270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EC0D85B-3204-4246-A823-73F974774355}" type="TxLink">
              <a:rPr lang="en-US" sz="1100" b="1" i="0" u="none" strike="noStrike">
                <a:solidFill>
                  <a:srgbClr val="000000"/>
                </a:solidFill>
                <a:latin typeface="Calibri"/>
                <a:cs typeface="Calibri"/>
              </a:rPr>
              <a:pPr/>
              <a:t> NGN 115,382,590 </a:t>
            </a:fld>
            <a:endParaRPr lang="en-US" sz="1100" b="1"/>
          </a:p>
        </xdr:txBody>
      </xdr:sp>
    </xdr:grpSp>
    <xdr:clientData/>
  </xdr:twoCellAnchor>
  <xdr:twoCellAnchor>
    <xdr:from>
      <xdr:col>22</xdr:col>
      <xdr:colOff>252438</xdr:colOff>
      <xdr:row>8</xdr:row>
      <xdr:rowOff>146132</xdr:rowOff>
    </xdr:from>
    <xdr:to>
      <xdr:col>23</xdr:col>
      <xdr:colOff>882591</xdr:colOff>
      <xdr:row>13</xdr:row>
      <xdr:rowOff>37568</xdr:rowOff>
    </xdr:to>
    <xdr:grpSp>
      <xdr:nvGrpSpPr>
        <xdr:cNvPr id="54" name="Group 53">
          <a:extLst>
            <a:ext uri="{FF2B5EF4-FFF2-40B4-BE49-F238E27FC236}">
              <a16:creationId xmlns:a16="http://schemas.microsoft.com/office/drawing/2014/main" id="{1DE6D294-2C26-5F1E-C23F-097BE0A86E38}"/>
            </a:ext>
          </a:extLst>
        </xdr:cNvPr>
        <xdr:cNvGrpSpPr/>
      </xdr:nvGrpSpPr>
      <xdr:grpSpPr>
        <a:xfrm>
          <a:off x="21910171" y="1636265"/>
          <a:ext cx="1459887" cy="822770"/>
          <a:chOff x="21842438" y="1709209"/>
          <a:chExt cx="1455110" cy="868359"/>
        </a:xfrm>
      </xdr:grpSpPr>
      <xdr:sp macro="" textlink="">
        <xdr:nvSpPr>
          <xdr:cNvPr id="37" name="Rectangle 36">
            <a:extLst>
              <a:ext uri="{FF2B5EF4-FFF2-40B4-BE49-F238E27FC236}">
                <a16:creationId xmlns:a16="http://schemas.microsoft.com/office/drawing/2014/main" id="{3D62B154-1A35-3FA4-7F01-2CD4A6F26A3D}"/>
              </a:ext>
            </a:extLst>
          </xdr:cNvPr>
          <xdr:cNvSpPr/>
        </xdr:nvSpPr>
        <xdr:spPr>
          <a:xfrm>
            <a:off x="21842438" y="1709209"/>
            <a:ext cx="1455110" cy="86835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TextBox 37">
            <a:extLst>
              <a:ext uri="{FF2B5EF4-FFF2-40B4-BE49-F238E27FC236}">
                <a16:creationId xmlns:a16="http://schemas.microsoft.com/office/drawing/2014/main" id="{CB82CD6D-1025-87D2-1FA7-7B93C733EE71}"/>
              </a:ext>
            </a:extLst>
          </xdr:cNvPr>
          <xdr:cNvSpPr txBox="1"/>
        </xdr:nvSpPr>
        <xdr:spPr>
          <a:xfrm>
            <a:off x="21861827" y="1854198"/>
            <a:ext cx="852413"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a:solidFill>
                  <a:schemeClr val="bg2">
                    <a:lumMod val="75000"/>
                  </a:schemeClr>
                </a:solidFill>
              </a:rPr>
              <a:t>Length of Stay</a:t>
            </a:r>
          </a:p>
        </xdr:txBody>
      </xdr:sp>
      <xdr:sp macro="" textlink="$B$7">
        <xdr:nvSpPr>
          <xdr:cNvPr id="39" name="TextBox 38">
            <a:extLst>
              <a:ext uri="{FF2B5EF4-FFF2-40B4-BE49-F238E27FC236}">
                <a16:creationId xmlns:a16="http://schemas.microsoft.com/office/drawing/2014/main" id="{7D3376DD-A36F-E9FF-2355-607BE10C25B1}"/>
              </a:ext>
            </a:extLst>
          </xdr:cNvPr>
          <xdr:cNvSpPr txBox="1"/>
        </xdr:nvSpPr>
        <xdr:spPr>
          <a:xfrm>
            <a:off x="21842439" y="2039889"/>
            <a:ext cx="2561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F6C661DE-407A-BA41-B408-DE048DAD0066}" type="TxLink">
              <a:rPr lang="en-US" sz="1100" b="1" i="0" u="none" strike="noStrike">
                <a:solidFill>
                  <a:srgbClr val="000000"/>
                </a:solidFill>
                <a:latin typeface="Calibri"/>
                <a:cs typeface="Calibri"/>
              </a:rPr>
              <a:pPr/>
              <a:t>8</a:t>
            </a:fld>
            <a:endParaRPr lang="en-US" sz="1100" b="1"/>
          </a:p>
        </xdr:txBody>
      </xdr:sp>
    </xdr:grpSp>
    <xdr:clientData/>
  </xdr:twoCellAnchor>
  <xdr:twoCellAnchor>
    <xdr:from>
      <xdr:col>24</xdr:col>
      <xdr:colOff>229666</xdr:colOff>
      <xdr:row>8</xdr:row>
      <xdr:rowOff>145256</xdr:rowOff>
    </xdr:from>
    <xdr:to>
      <xdr:col>26</xdr:col>
      <xdr:colOff>38699</xdr:colOff>
      <xdr:row>13</xdr:row>
      <xdr:rowOff>36692</xdr:rowOff>
    </xdr:to>
    <xdr:grpSp>
      <xdr:nvGrpSpPr>
        <xdr:cNvPr id="56" name="Group 55">
          <a:extLst>
            <a:ext uri="{FF2B5EF4-FFF2-40B4-BE49-F238E27FC236}">
              <a16:creationId xmlns:a16="http://schemas.microsoft.com/office/drawing/2014/main" id="{20AEEBE4-13E8-C69E-4392-CA1B2D463965}"/>
            </a:ext>
          </a:extLst>
        </xdr:cNvPr>
        <xdr:cNvGrpSpPr/>
      </xdr:nvGrpSpPr>
      <xdr:grpSpPr>
        <a:xfrm>
          <a:off x="23919399" y="1635389"/>
          <a:ext cx="1468500" cy="822770"/>
          <a:chOff x="23849495" y="1708333"/>
          <a:chExt cx="1458948" cy="868359"/>
        </a:xfrm>
      </xdr:grpSpPr>
      <xdr:sp macro="" textlink="">
        <xdr:nvSpPr>
          <xdr:cNvPr id="40" name="Rectangle 39">
            <a:extLst>
              <a:ext uri="{FF2B5EF4-FFF2-40B4-BE49-F238E27FC236}">
                <a16:creationId xmlns:a16="http://schemas.microsoft.com/office/drawing/2014/main" id="{5EB2CEB6-2563-F69D-75B6-A0FB1C888C49}"/>
              </a:ext>
            </a:extLst>
          </xdr:cNvPr>
          <xdr:cNvSpPr/>
        </xdr:nvSpPr>
        <xdr:spPr>
          <a:xfrm>
            <a:off x="23849495" y="1708333"/>
            <a:ext cx="1458948" cy="86835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TextBox 40">
            <a:extLst>
              <a:ext uri="{FF2B5EF4-FFF2-40B4-BE49-F238E27FC236}">
                <a16:creationId xmlns:a16="http://schemas.microsoft.com/office/drawing/2014/main" id="{E6F4C39E-CA7C-8FDE-550D-FF32ED33290F}"/>
              </a:ext>
            </a:extLst>
          </xdr:cNvPr>
          <xdr:cNvSpPr txBox="1"/>
        </xdr:nvSpPr>
        <xdr:spPr>
          <a:xfrm>
            <a:off x="23868884" y="1853322"/>
            <a:ext cx="982961"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solidFill>
                  <a:schemeClr val="bg2">
                    <a:lumMod val="75000"/>
                  </a:schemeClr>
                </a:solidFill>
              </a:rPr>
              <a:t>High-Risk</a:t>
            </a:r>
            <a:r>
              <a:rPr lang="en-US" sz="900" baseline="0">
                <a:solidFill>
                  <a:schemeClr val="bg2">
                    <a:lumMod val="75000"/>
                  </a:schemeClr>
                </a:solidFill>
              </a:rPr>
              <a:t> Patient</a:t>
            </a:r>
            <a:endParaRPr lang="en-US" sz="900">
              <a:solidFill>
                <a:schemeClr val="bg2">
                  <a:lumMod val="75000"/>
                </a:schemeClr>
              </a:solidFill>
            </a:endParaRPr>
          </a:p>
        </xdr:txBody>
      </xdr:sp>
      <xdr:sp macro="" textlink="$C$17">
        <xdr:nvSpPr>
          <xdr:cNvPr id="42" name="TextBox 41">
            <a:extLst>
              <a:ext uri="{FF2B5EF4-FFF2-40B4-BE49-F238E27FC236}">
                <a16:creationId xmlns:a16="http://schemas.microsoft.com/office/drawing/2014/main" id="{929335F7-6F90-F032-45FE-3AE1ABB1A58E}"/>
              </a:ext>
            </a:extLst>
          </xdr:cNvPr>
          <xdr:cNvSpPr txBox="1"/>
        </xdr:nvSpPr>
        <xdr:spPr>
          <a:xfrm>
            <a:off x="23849496" y="2039013"/>
            <a:ext cx="398851" cy="2722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4881478-510E-4841-85F7-D1F316751236}" type="TxLink">
              <a:rPr lang="en-US" sz="1100" b="1" i="0" u="none" strike="noStrike">
                <a:solidFill>
                  <a:srgbClr val="000000"/>
                </a:solidFill>
                <a:latin typeface="Calibri"/>
                <a:cs typeface="Calibri"/>
              </a:rPr>
              <a:pPr/>
              <a:t>192</a:t>
            </a:fld>
            <a:endParaRPr lang="en-US" sz="1100" b="1"/>
          </a:p>
        </xdr:txBody>
      </xdr:sp>
    </xdr:grpSp>
    <xdr:clientData/>
  </xdr:twoCellAnchor>
  <xdr:twoCellAnchor>
    <xdr:from>
      <xdr:col>23</xdr:col>
      <xdr:colOff>513445</xdr:colOff>
      <xdr:row>16</xdr:row>
      <xdr:rowOff>89639</xdr:rowOff>
    </xdr:from>
    <xdr:to>
      <xdr:col>24</xdr:col>
      <xdr:colOff>760409</xdr:colOff>
      <xdr:row>20</xdr:row>
      <xdr:rowOff>167195</xdr:rowOff>
    </xdr:to>
    <xdr:grpSp>
      <xdr:nvGrpSpPr>
        <xdr:cNvPr id="57" name="Group 56">
          <a:extLst>
            <a:ext uri="{FF2B5EF4-FFF2-40B4-BE49-F238E27FC236}">
              <a16:creationId xmlns:a16="http://schemas.microsoft.com/office/drawing/2014/main" id="{BAB6E0F1-240E-47CF-6E98-59990A4E148D}"/>
            </a:ext>
          </a:extLst>
        </xdr:cNvPr>
        <xdr:cNvGrpSpPr/>
      </xdr:nvGrpSpPr>
      <xdr:grpSpPr>
        <a:xfrm>
          <a:off x="23000912" y="3069906"/>
          <a:ext cx="1449230" cy="822622"/>
          <a:chOff x="22928402" y="3215793"/>
          <a:chExt cx="1451836" cy="859094"/>
        </a:xfrm>
      </xdr:grpSpPr>
      <xdr:sp macro="" textlink="">
        <xdr:nvSpPr>
          <xdr:cNvPr id="46" name="Rectangle 45">
            <a:extLst>
              <a:ext uri="{FF2B5EF4-FFF2-40B4-BE49-F238E27FC236}">
                <a16:creationId xmlns:a16="http://schemas.microsoft.com/office/drawing/2014/main" id="{9CAEA3C8-774C-6420-B66C-16EF9144A2EA}"/>
              </a:ext>
            </a:extLst>
          </xdr:cNvPr>
          <xdr:cNvSpPr/>
        </xdr:nvSpPr>
        <xdr:spPr>
          <a:xfrm>
            <a:off x="22928402" y="3215793"/>
            <a:ext cx="1451836" cy="85909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7" name="TextBox 46">
            <a:extLst>
              <a:ext uri="{FF2B5EF4-FFF2-40B4-BE49-F238E27FC236}">
                <a16:creationId xmlns:a16="http://schemas.microsoft.com/office/drawing/2014/main" id="{1E0A1C26-89FE-EEA6-B252-390C37128FE9}"/>
              </a:ext>
            </a:extLst>
          </xdr:cNvPr>
          <xdr:cNvSpPr txBox="1"/>
        </xdr:nvSpPr>
        <xdr:spPr>
          <a:xfrm>
            <a:off x="22947791" y="3360780"/>
            <a:ext cx="1336071"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solidFill>
                  <a:schemeClr val="bg2">
                    <a:lumMod val="75000"/>
                  </a:schemeClr>
                </a:solidFill>
              </a:rPr>
              <a:t>Number of Departments</a:t>
            </a:r>
          </a:p>
        </xdr:txBody>
      </xdr:sp>
      <xdr:sp macro="" textlink="$C$24">
        <xdr:nvSpPr>
          <xdr:cNvPr id="48" name="TextBox 47">
            <a:extLst>
              <a:ext uri="{FF2B5EF4-FFF2-40B4-BE49-F238E27FC236}">
                <a16:creationId xmlns:a16="http://schemas.microsoft.com/office/drawing/2014/main" id="{6A8C524A-B360-C6F0-706D-C0A1661F05E7}"/>
              </a:ext>
            </a:extLst>
          </xdr:cNvPr>
          <xdr:cNvSpPr txBox="1"/>
        </xdr:nvSpPr>
        <xdr:spPr>
          <a:xfrm>
            <a:off x="22928403" y="3546472"/>
            <a:ext cx="255873" cy="270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D5C5CF8-9D74-734D-871B-AA81526630A2}" type="TxLink">
              <a:rPr lang="en-US" sz="1100" b="1" i="0" u="none" strike="noStrike">
                <a:solidFill>
                  <a:srgbClr val="000000"/>
                </a:solidFill>
                <a:latin typeface="Calibri"/>
                <a:cs typeface="Calibri"/>
              </a:rPr>
              <a:pPr/>
              <a:t>5</a:t>
            </a:fld>
            <a:endParaRPr lang="en-US" sz="1100" b="1"/>
          </a:p>
        </xdr:txBody>
      </xdr:sp>
    </xdr:grpSp>
    <xdr:clientData/>
  </xdr:twoCellAnchor>
  <xdr:twoCellAnchor>
    <xdr:from>
      <xdr:col>24</xdr:col>
      <xdr:colOff>184121</xdr:colOff>
      <xdr:row>2</xdr:row>
      <xdr:rowOff>34022</xdr:rowOff>
    </xdr:from>
    <xdr:to>
      <xdr:col>25</xdr:col>
      <xdr:colOff>814274</xdr:colOff>
      <xdr:row>6</xdr:row>
      <xdr:rowOff>111578</xdr:rowOff>
    </xdr:to>
    <xdr:grpSp>
      <xdr:nvGrpSpPr>
        <xdr:cNvPr id="58" name="Group 57">
          <a:extLst>
            <a:ext uri="{FF2B5EF4-FFF2-40B4-BE49-F238E27FC236}">
              <a16:creationId xmlns:a16="http://schemas.microsoft.com/office/drawing/2014/main" id="{1C4C2773-C7D8-F658-A100-74A2788AC2FC}"/>
            </a:ext>
          </a:extLst>
        </xdr:cNvPr>
        <xdr:cNvGrpSpPr/>
      </xdr:nvGrpSpPr>
      <xdr:grpSpPr>
        <a:xfrm>
          <a:off x="23873854" y="406555"/>
          <a:ext cx="1459887" cy="822623"/>
          <a:chOff x="23803950" y="424791"/>
          <a:chExt cx="1455110" cy="859095"/>
        </a:xfrm>
      </xdr:grpSpPr>
      <xdr:sp macro="" textlink="">
        <xdr:nvSpPr>
          <xdr:cNvPr id="49" name="Rectangle 48">
            <a:extLst>
              <a:ext uri="{FF2B5EF4-FFF2-40B4-BE49-F238E27FC236}">
                <a16:creationId xmlns:a16="http://schemas.microsoft.com/office/drawing/2014/main" id="{B9A1EEBD-A057-120D-ECA9-903896337C4A}"/>
              </a:ext>
            </a:extLst>
          </xdr:cNvPr>
          <xdr:cNvSpPr/>
        </xdr:nvSpPr>
        <xdr:spPr>
          <a:xfrm>
            <a:off x="23803950" y="424791"/>
            <a:ext cx="1455110" cy="85909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TextBox 49">
            <a:extLst>
              <a:ext uri="{FF2B5EF4-FFF2-40B4-BE49-F238E27FC236}">
                <a16:creationId xmlns:a16="http://schemas.microsoft.com/office/drawing/2014/main" id="{B8B4B1DE-9D99-9285-DA0B-E6E11ADBCAE3}"/>
              </a:ext>
            </a:extLst>
          </xdr:cNvPr>
          <xdr:cNvSpPr txBox="1"/>
        </xdr:nvSpPr>
        <xdr:spPr>
          <a:xfrm>
            <a:off x="23823339" y="560515"/>
            <a:ext cx="119629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a:solidFill>
                  <a:schemeClr val="bg2">
                    <a:lumMod val="75000"/>
                  </a:schemeClr>
                </a:solidFill>
              </a:rPr>
              <a:t>Total Unique Patients</a:t>
            </a:r>
          </a:p>
        </xdr:txBody>
      </xdr:sp>
      <xdr:sp macro="" textlink="$C$34">
        <xdr:nvSpPr>
          <xdr:cNvPr id="51" name="TextBox 50">
            <a:extLst>
              <a:ext uri="{FF2B5EF4-FFF2-40B4-BE49-F238E27FC236}">
                <a16:creationId xmlns:a16="http://schemas.microsoft.com/office/drawing/2014/main" id="{E07C2727-3BB7-AB80-94DE-C2BCDC153B8A}"/>
              </a:ext>
            </a:extLst>
          </xdr:cNvPr>
          <xdr:cNvSpPr txBox="1"/>
        </xdr:nvSpPr>
        <xdr:spPr>
          <a:xfrm>
            <a:off x="23803951" y="746207"/>
            <a:ext cx="3991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B613C579-C8DB-8848-91E0-0890A5DFC863}" type="TxLink">
              <a:rPr lang="en-US" sz="1100" b="1" i="0" u="none" strike="noStrike">
                <a:solidFill>
                  <a:srgbClr val="000000"/>
                </a:solidFill>
                <a:latin typeface="Calibri"/>
                <a:cs typeface="Calibri"/>
              </a:rPr>
              <a:pPr/>
              <a:t>483</a:t>
            </a:fld>
            <a:endParaRPr lang="en-US" sz="1100" b="1"/>
          </a:p>
        </xdr:txBody>
      </xdr:sp>
    </xdr:grpSp>
    <xdr:clientData/>
  </xdr:twoCellAnchor>
  <xdr:oneCellAnchor>
    <xdr:from>
      <xdr:col>35</xdr:col>
      <xdr:colOff>97692</xdr:colOff>
      <xdr:row>5</xdr:row>
      <xdr:rowOff>0</xdr:rowOff>
    </xdr:from>
    <xdr:ext cx="428515" cy="264560"/>
    <xdr:sp macro="" textlink="$I$6">
      <xdr:nvSpPr>
        <xdr:cNvPr id="59" name="TextBox 58">
          <a:extLst>
            <a:ext uri="{FF2B5EF4-FFF2-40B4-BE49-F238E27FC236}">
              <a16:creationId xmlns:a16="http://schemas.microsoft.com/office/drawing/2014/main" id="{6E97261F-ADA6-F3D7-83E3-1B407EC386FD}"/>
            </a:ext>
          </a:extLst>
        </xdr:cNvPr>
        <xdr:cNvSpPr txBox="1"/>
      </xdr:nvSpPr>
      <xdr:spPr>
        <a:xfrm>
          <a:off x="31085692" y="952500"/>
          <a:ext cx="42851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D8D1F14-A76B-7A40-880B-C1C4E8D09870}" type="TxLink">
            <a:rPr lang="en-US" sz="1100" b="0" i="0" u="none" strike="noStrike">
              <a:solidFill>
                <a:srgbClr val="000000"/>
              </a:solidFill>
              <a:latin typeface="Calibri"/>
              <a:cs typeface="Calibri"/>
            </a:rPr>
            <a:pPr/>
            <a:t>19%</a:t>
          </a:fld>
          <a:endParaRPr lang="en-US" sz="1100"/>
        </a:p>
      </xdr:txBody>
    </xdr:sp>
    <xdr:clientData/>
  </xdr:oneCellAnchor>
  <xdr:twoCellAnchor>
    <xdr:from>
      <xdr:col>47</xdr:col>
      <xdr:colOff>0</xdr:colOff>
      <xdr:row>9</xdr:row>
      <xdr:rowOff>0</xdr:rowOff>
    </xdr:from>
    <xdr:to>
      <xdr:col>49</xdr:col>
      <xdr:colOff>12700</xdr:colOff>
      <xdr:row>11</xdr:row>
      <xdr:rowOff>38100</xdr:rowOff>
    </xdr:to>
    <xdr:grpSp>
      <xdr:nvGrpSpPr>
        <xdr:cNvPr id="61" name="Group 60">
          <a:hlinkClick xmlns:r="http://schemas.openxmlformats.org/officeDocument/2006/relationships" r:id="rId5"/>
          <a:extLst>
            <a:ext uri="{FF2B5EF4-FFF2-40B4-BE49-F238E27FC236}">
              <a16:creationId xmlns:a16="http://schemas.microsoft.com/office/drawing/2014/main" id="{74E16C9E-C922-5741-9A95-2F92FDF5059D}"/>
            </a:ext>
          </a:extLst>
        </xdr:cNvPr>
        <xdr:cNvGrpSpPr/>
      </xdr:nvGrpSpPr>
      <xdr:grpSpPr>
        <a:xfrm>
          <a:off x="42773600" y="1676400"/>
          <a:ext cx="1672167" cy="410633"/>
          <a:chOff x="23647400" y="647700"/>
          <a:chExt cx="1663700" cy="419100"/>
        </a:xfrm>
        <a:scene3d>
          <a:camera prst="orthographicFront">
            <a:rot lat="0" lon="0" rev="0"/>
          </a:camera>
          <a:lightRig rig="soft" dir="t">
            <a:rot lat="0" lon="0" rev="0"/>
          </a:lightRig>
        </a:scene3d>
      </xdr:grpSpPr>
      <xdr:sp macro="" textlink="">
        <xdr:nvSpPr>
          <xdr:cNvPr id="62" name="Rectangle 61">
            <a:extLst>
              <a:ext uri="{FF2B5EF4-FFF2-40B4-BE49-F238E27FC236}">
                <a16:creationId xmlns:a16="http://schemas.microsoft.com/office/drawing/2014/main" id="{7050E380-7B3F-D428-9D20-86051A77D6A7}"/>
              </a:ext>
            </a:extLst>
          </xdr:cNvPr>
          <xdr:cNvSpPr/>
        </xdr:nvSpPr>
        <xdr:spPr>
          <a:xfrm>
            <a:off x="23647400" y="647700"/>
            <a:ext cx="1663700" cy="419100"/>
          </a:xfrm>
          <a:prstGeom prst="rect">
            <a:avLst/>
          </a:prstGeom>
          <a:solidFill>
            <a:schemeClr val="bg1"/>
          </a:solidFill>
          <a:ln>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3" name="TextBox 62">
            <a:extLst>
              <a:ext uri="{FF2B5EF4-FFF2-40B4-BE49-F238E27FC236}">
                <a16:creationId xmlns:a16="http://schemas.microsoft.com/office/drawing/2014/main" id="{0408E663-D832-DCA3-FBC9-6A6F45A69399}"/>
              </a:ext>
            </a:extLst>
          </xdr:cNvPr>
          <xdr:cNvSpPr txBox="1"/>
        </xdr:nvSpPr>
        <xdr:spPr>
          <a:xfrm>
            <a:off x="23977600" y="698500"/>
            <a:ext cx="990600" cy="311496"/>
          </a:xfrm>
          <a:prstGeom prst="rect">
            <a:avLst/>
          </a:prstGeom>
          <a:noFill/>
          <a:ln>
            <a:no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t>Dashboard</a:t>
            </a:r>
          </a:p>
        </xdr:txBody>
      </xdr:sp>
    </xdr:grpSp>
    <xdr:clientData/>
  </xdr:twoCellAnchor>
</xdr:wsDr>
</file>

<file path=xl/drawings/drawing3.xml><?xml version="1.0" encoding="utf-8"?>
<c:userShapes xmlns:c="http://schemas.openxmlformats.org/drawingml/2006/chart">
  <cdr:relSizeAnchor xmlns:cdr="http://schemas.openxmlformats.org/drawingml/2006/chartDrawing">
    <cdr:from>
      <cdr:x>0.02073</cdr:x>
      <cdr:y>0.80723</cdr:y>
    </cdr:from>
    <cdr:to>
      <cdr:x>0.24352</cdr:x>
      <cdr:y>1</cdr:y>
    </cdr:to>
    <cdr:sp macro="" textlink="">
      <cdr:nvSpPr>
        <cdr:cNvPr id="2" name="TextBox 21">
          <a:extLst xmlns:a="http://schemas.openxmlformats.org/drawingml/2006/main">
            <a:ext uri="{FF2B5EF4-FFF2-40B4-BE49-F238E27FC236}">
              <a16:creationId xmlns:a16="http://schemas.microsoft.com/office/drawing/2014/main" id="{C7D4D227-33C5-4442-BB38-B985100D72E4}"/>
            </a:ext>
          </a:extLst>
        </cdr:cNvPr>
        <cdr:cNvSpPr txBox="1"/>
      </cdr:nvSpPr>
      <cdr:spPr>
        <a:xfrm xmlns:a="http://schemas.openxmlformats.org/drawingml/2006/main">
          <a:off x="50800" y="1701800"/>
          <a:ext cx="546100" cy="4064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500" b="1" i="0" u="none" strike="noStrike">
              <a:solidFill>
                <a:srgbClr val="000000"/>
              </a:solidFill>
              <a:latin typeface="Calibri"/>
              <a:cs typeface="Calibri"/>
            </a:rPr>
            <a:t>389</a:t>
          </a:r>
          <a:endParaRPr lang="en-US" sz="1500" b="1"/>
        </a:p>
      </cdr:txBody>
    </cdr:sp>
  </cdr:relSizeAnchor>
  <cdr:relSizeAnchor xmlns:cdr="http://schemas.openxmlformats.org/drawingml/2006/chartDrawing">
    <cdr:from>
      <cdr:x>0.04396</cdr:x>
      <cdr:y>0.06186</cdr:y>
    </cdr:from>
    <cdr:to>
      <cdr:x>0.41727</cdr:x>
      <cdr:y>0.48481</cdr:y>
    </cdr:to>
    <cdr:sp macro="" textlink="'Pivot Table'!$I$15">
      <cdr:nvSpPr>
        <cdr:cNvPr id="3" name="TextBox 2">
          <a:extLst xmlns:a="http://schemas.openxmlformats.org/drawingml/2006/main">
            <a:ext uri="{FF2B5EF4-FFF2-40B4-BE49-F238E27FC236}">
              <a16:creationId xmlns:a16="http://schemas.microsoft.com/office/drawing/2014/main" id="{2E240D03-16AB-E4EB-C418-A1115914F4C7}"/>
            </a:ext>
          </a:extLst>
        </cdr:cNvPr>
        <cdr:cNvSpPr txBox="1"/>
      </cdr:nvSpPr>
      <cdr:spPr>
        <a:xfrm xmlns:a="http://schemas.openxmlformats.org/drawingml/2006/main">
          <a:off x="107679" y="13373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fld id="{2155E18F-ADA8-9348-AFA5-A3F94A965BD5}" type="TxLink">
            <a:rPr lang="en-US" sz="1100" b="0" i="0" u="none" strike="noStrike" kern="1200">
              <a:solidFill>
                <a:srgbClr val="000000"/>
              </a:solidFill>
              <a:latin typeface="Calibri"/>
              <a:cs typeface="Calibri"/>
            </a:rPr>
            <a:pPr/>
            <a:t>81%</a:t>
          </a:fld>
          <a:endParaRPr lang="en-US" sz="1100" kern="1200"/>
        </a:p>
      </cdr:txBody>
    </cdr:sp>
  </cdr:relSizeAnchor>
</c:userShapes>
</file>

<file path=xl/drawings/drawing4.xml><?xml version="1.0" encoding="utf-8"?>
<xdr:wsDr xmlns:xdr="http://schemas.openxmlformats.org/drawingml/2006/spreadsheetDrawing" xmlns:a="http://schemas.openxmlformats.org/drawingml/2006/main">
  <xdr:twoCellAnchor>
    <xdr:from>
      <xdr:col>2</xdr:col>
      <xdr:colOff>297673</xdr:colOff>
      <xdr:row>4</xdr:row>
      <xdr:rowOff>124246</xdr:rowOff>
    </xdr:from>
    <xdr:to>
      <xdr:col>4</xdr:col>
      <xdr:colOff>780815</xdr:colOff>
      <xdr:row>9</xdr:row>
      <xdr:rowOff>6140</xdr:rowOff>
    </xdr:to>
    <xdr:sp macro="" textlink="">
      <xdr:nvSpPr>
        <xdr:cNvPr id="2" name="Rectangle 1">
          <a:extLst>
            <a:ext uri="{FF2B5EF4-FFF2-40B4-BE49-F238E27FC236}">
              <a16:creationId xmlns:a16="http://schemas.microsoft.com/office/drawing/2014/main" id="{DDEE8EC4-52AA-1F45-BF4F-7D432612E454}"/>
            </a:ext>
          </a:extLst>
        </xdr:cNvPr>
        <xdr:cNvSpPr/>
      </xdr:nvSpPr>
      <xdr:spPr>
        <a:xfrm>
          <a:off x="1953377" y="876839"/>
          <a:ext cx="2138845" cy="82263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245686</xdr:colOff>
      <xdr:row>10</xdr:row>
      <xdr:rowOff>46854</xdr:rowOff>
    </xdr:from>
    <xdr:to>
      <xdr:col>4</xdr:col>
      <xdr:colOff>729679</xdr:colOff>
      <xdr:row>16</xdr:row>
      <xdr:rowOff>107681</xdr:rowOff>
    </xdr:to>
    <xdr:sp macro="" textlink="">
      <xdr:nvSpPr>
        <xdr:cNvPr id="7" name="Rectangle 6">
          <a:extLst>
            <a:ext uri="{FF2B5EF4-FFF2-40B4-BE49-F238E27FC236}">
              <a16:creationId xmlns:a16="http://schemas.microsoft.com/office/drawing/2014/main" id="{3DA7F04E-D26C-734D-8234-FD5AC0E10373}"/>
            </a:ext>
          </a:extLst>
        </xdr:cNvPr>
        <xdr:cNvSpPr/>
      </xdr:nvSpPr>
      <xdr:spPr>
        <a:xfrm>
          <a:off x="1891606" y="1977254"/>
          <a:ext cx="2129913" cy="121906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83184</xdr:colOff>
      <xdr:row>4</xdr:row>
      <xdr:rowOff>124246</xdr:rowOff>
    </xdr:from>
    <xdr:to>
      <xdr:col>7</xdr:col>
      <xdr:colOff>566325</xdr:colOff>
      <xdr:row>9</xdr:row>
      <xdr:rowOff>6140</xdr:rowOff>
    </xdr:to>
    <xdr:sp macro="" textlink="">
      <xdr:nvSpPr>
        <xdr:cNvPr id="8" name="Rectangle 7">
          <a:extLst>
            <a:ext uri="{FF2B5EF4-FFF2-40B4-BE49-F238E27FC236}">
              <a16:creationId xmlns:a16="http://schemas.microsoft.com/office/drawing/2014/main" id="{27411983-9C5F-184C-9207-71C2603F5733}"/>
            </a:ext>
          </a:extLst>
        </xdr:cNvPr>
        <xdr:cNvSpPr/>
      </xdr:nvSpPr>
      <xdr:spPr>
        <a:xfrm>
          <a:off x="4222443" y="876839"/>
          <a:ext cx="2138845" cy="82263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696546</xdr:colOff>
      <xdr:row>4</xdr:row>
      <xdr:rowOff>124246</xdr:rowOff>
    </xdr:from>
    <xdr:to>
      <xdr:col>10</xdr:col>
      <xdr:colOff>351835</xdr:colOff>
      <xdr:row>9</xdr:row>
      <xdr:rowOff>6140</xdr:rowOff>
    </xdr:to>
    <xdr:sp macro="" textlink="">
      <xdr:nvSpPr>
        <xdr:cNvPr id="9" name="Rectangle 8">
          <a:extLst>
            <a:ext uri="{FF2B5EF4-FFF2-40B4-BE49-F238E27FC236}">
              <a16:creationId xmlns:a16="http://schemas.microsoft.com/office/drawing/2014/main" id="{5472F061-8884-F149-A7CF-A9D5B63084F8}"/>
            </a:ext>
          </a:extLst>
        </xdr:cNvPr>
        <xdr:cNvSpPr/>
      </xdr:nvSpPr>
      <xdr:spPr>
        <a:xfrm>
          <a:off x="6491509" y="876839"/>
          <a:ext cx="2138845" cy="82263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482056</xdr:colOff>
      <xdr:row>4</xdr:row>
      <xdr:rowOff>124246</xdr:rowOff>
    </xdr:from>
    <xdr:to>
      <xdr:col>13</xdr:col>
      <xdr:colOff>137346</xdr:colOff>
      <xdr:row>9</xdr:row>
      <xdr:rowOff>6140</xdr:rowOff>
    </xdr:to>
    <xdr:sp macro="" textlink="">
      <xdr:nvSpPr>
        <xdr:cNvPr id="10" name="Rectangle 9">
          <a:extLst>
            <a:ext uri="{FF2B5EF4-FFF2-40B4-BE49-F238E27FC236}">
              <a16:creationId xmlns:a16="http://schemas.microsoft.com/office/drawing/2014/main" id="{23AB16C9-1410-F649-8C60-A86DA0ECBC99}"/>
            </a:ext>
          </a:extLst>
        </xdr:cNvPr>
        <xdr:cNvSpPr/>
      </xdr:nvSpPr>
      <xdr:spPr>
        <a:xfrm>
          <a:off x="8760575" y="876839"/>
          <a:ext cx="2138845" cy="82263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267569</xdr:colOff>
      <xdr:row>4</xdr:row>
      <xdr:rowOff>124246</xdr:rowOff>
    </xdr:from>
    <xdr:to>
      <xdr:col>15</xdr:col>
      <xdr:colOff>750710</xdr:colOff>
      <xdr:row>9</xdr:row>
      <xdr:rowOff>6140</xdr:rowOff>
    </xdr:to>
    <xdr:sp macro="" textlink="">
      <xdr:nvSpPr>
        <xdr:cNvPr id="11" name="Rectangle 10">
          <a:extLst>
            <a:ext uri="{FF2B5EF4-FFF2-40B4-BE49-F238E27FC236}">
              <a16:creationId xmlns:a16="http://schemas.microsoft.com/office/drawing/2014/main" id="{BCA5394E-8A8E-D242-8BAA-99BA134BC5DC}"/>
            </a:ext>
          </a:extLst>
        </xdr:cNvPr>
        <xdr:cNvSpPr/>
      </xdr:nvSpPr>
      <xdr:spPr>
        <a:xfrm>
          <a:off x="11029643" y="876839"/>
          <a:ext cx="2138845" cy="82263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78235</xdr:colOff>
      <xdr:row>10</xdr:row>
      <xdr:rowOff>14433</xdr:rowOff>
    </xdr:from>
    <xdr:to>
      <xdr:col>7</xdr:col>
      <xdr:colOff>562227</xdr:colOff>
      <xdr:row>16</xdr:row>
      <xdr:rowOff>75260</xdr:rowOff>
    </xdr:to>
    <xdr:sp macro="" textlink="">
      <xdr:nvSpPr>
        <xdr:cNvPr id="12" name="Rectangle 11">
          <a:extLst>
            <a:ext uri="{FF2B5EF4-FFF2-40B4-BE49-F238E27FC236}">
              <a16:creationId xmlns:a16="http://schemas.microsoft.com/office/drawing/2014/main" id="{0B163F53-06C1-2746-9E50-6F295AE2551C}"/>
            </a:ext>
          </a:extLst>
        </xdr:cNvPr>
        <xdr:cNvSpPr/>
      </xdr:nvSpPr>
      <xdr:spPr>
        <a:xfrm>
          <a:off x="4217494" y="1895914"/>
          <a:ext cx="2139696" cy="118971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255094</xdr:colOff>
      <xdr:row>17</xdr:row>
      <xdr:rowOff>148394</xdr:rowOff>
    </xdr:from>
    <xdr:to>
      <xdr:col>7</xdr:col>
      <xdr:colOff>599440</xdr:colOff>
      <xdr:row>33</xdr:row>
      <xdr:rowOff>30480</xdr:rowOff>
    </xdr:to>
    <xdr:sp macro="" textlink="">
      <xdr:nvSpPr>
        <xdr:cNvPr id="13" name="Rectangle 12">
          <a:extLst>
            <a:ext uri="{FF2B5EF4-FFF2-40B4-BE49-F238E27FC236}">
              <a16:creationId xmlns:a16="http://schemas.microsoft.com/office/drawing/2014/main" id="{6AD646DD-69A9-754F-BE02-641BA7D58663}"/>
            </a:ext>
          </a:extLst>
        </xdr:cNvPr>
        <xdr:cNvSpPr/>
      </xdr:nvSpPr>
      <xdr:spPr>
        <a:xfrm>
          <a:off x="1901014" y="3430074"/>
          <a:ext cx="4459146" cy="297072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702134</xdr:colOff>
      <xdr:row>10</xdr:row>
      <xdr:rowOff>6154</xdr:rowOff>
    </xdr:from>
    <xdr:to>
      <xdr:col>15</xdr:col>
      <xdr:colOff>741680</xdr:colOff>
      <xdr:row>33</xdr:row>
      <xdr:rowOff>30480</xdr:rowOff>
    </xdr:to>
    <xdr:sp macro="" textlink="">
      <xdr:nvSpPr>
        <xdr:cNvPr id="14" name="Rectangle 13">
          <a:extLst>
            <a:ext uri="{FF2B5EF4-FFF2-40B4-BE49-F238E27FC236}">
              <a16:creationId xmlns:a16="http://schemas.microsoft.com/office/drawing/2014/main" id="{E09C47E7-5398-B047-870B-54BA4FDB7361}"/>
            </a:ext>
          </a:extLst>
        </xdr:cNvPr>
        <xdr:cNvSpPr/>
      </xdr:nvSpPr>
      <xdr:spPr>
        <a:xfrm>
          <a:off x="6462854" y="1936554"/>
          <a:ext cx="6623226" cy="446424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267365</xdr:colOff>
      <xdr:row>1</xdr:row>
      <xdr:rowOff>114300</xdr:rowOff>
    </xdr:from>
    <xdr:to>
      <xdr:col>15</xdr:col>
      <xdr:colOff>746438</xdr:colOff>
      <xdr:row>3</xdr:row>
      <xdr:rowOff>181356</xdr:rowOff>
    </xdr:to>
    <xdr:sp macro="" textlink="">
      <xdr:nvSpPr>
        <xdr:cNvPr id="15" name="Rectangle 14">
          <a:extLst>
            <a:ext uri="{FF2B5EF4-FFF2-40B4-BE49-F238E27FC236}">
              <a16:creationId xmlns:a16="http://schemas.microsoft.com/office/drawing/2014/main" id="{EC8BD430-1D67-B147-ACBF-BB351BE581C1}"/>
            </a:ext>
          </a:extLst>
        </xdr:cNvPr>
        <xdr:cNvSpPr/>
      </xdr:nvSpPr>
      <xdr:spPr>
        <a:xfrm>
          <a:off x="10998865" y="304800"/>
          <a:ext cx="2130073" cy="44805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489615</xdr:colOff>
      <xdr:row>1</xdr:row>
      <xdr:rowOff>114300</xdr:rowOff>
    </xdr:from>
    <xdr:to>
      <xdr:col>13</xdr:col>
      <xdr:colOff>143188</xdr:colOff>
      <xdr:row>3</xdr:row>
      <xdr:rowOff>181356</xdr:rowOff>
    </xdr:to>
    <xdr:sp macro="" textlink="">
      <xdr:nvSpPr>
        <xdr:cNvPr id="16" name="Rectangle 15">
          <a:extLst>
            <a:ext uri="{FF2B5EF4-FFF2-40B4-BE49-F238E27FC236}">
              <a16:creationId xmlns:a16="http://schemas.microsoft.com/office/drawing/2014/main" id="{EF90191E-0D8C-D645-BBFC-A1D7F5843C70}"/>
            </a:ext>
          </a:extLst>
        </xdr:cNvPr>
        <xdr:cNvSpPr/>
      </xdr:nvSpPr>
      <xdr:spPr>
        <a:xfrm>
          <a:off x="8744615" y="304800"/>
          <a:ext cx="2130073" cy="44805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711865</xdr:colOff>
      <xdr:row>1</xdr:row>
      <xdr:rowOff>114300</xdr:rowOff>
    </xdr:from>
    <xdr:to>
      <xdr:col>10</xdr:col>
      <xdr:colOff>365438</xdr:colOff>
      <xdr:row>3</xdr:row>
      <xdr:rowOff>181356</xdr:rowOff>
    </xdr:to>
    <xdr:sp macro="" textlink="">
      <xdr:nvSpPr>
        <xdr:cNvPr id="17" name="Rectangle 16">
          <a:extLst>
            <a:ext uri="{FF2B5EF4-FFF2-40B4-BE49-F238E27FC236}">
              <a16:creationId xmlns:a16="http://schemas.microsoft.com/office/drawing/2014/main" id="{9E18243E-88F5-B046-96BB-BB7C4FB793E5}"/>
            </a:ext>
          </a:extLst>
        </xdr:cNvPr>
        <xdr:cNvSpPr/>
      </xdr:nvSpPr>
      <xdr:spPr>
        <a:xfrm>
          <a:off x="6490365" y="304800"/>
          <a:ext cx="2130073" cy="44805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317500</xdr:colOff>
      <xdr:row>1</xdr:row>
      <xdr:rowOff>80583</xdr:rowOff>
    </xdr:from>
    <xdr:ext cx="2641600" cy="431800"/>
    <xdr:sp macro="" textlink="">
      <xdr:nvSpPr>
        <xdr:cNvPr id="18" name="TextBox 17">
          <a:extLst>
            <a:ext uri="{FF2B5EF4-FFF2-40B4-BE49-F238E27FC236}">
              <a16:creationId xmlns:a16="http://schemas.microsoft.com/office/drawing/2014/main" id="{F966BEBE-A4A7-951D-3149-11E3407B5C6B}"/>
            </a:ext>
          </a:extLst>
        </xdr:cNvPr>
        <xdr:cNvSpPr txBox="1"/>
      </xdr:nvSpPr>
      <xdr:spPr>
        <a:xfrm>
          <a:off x="1958385" y="271645"/>
          <a:ext cx="2641600" cy="4318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1">
              <a:solidFill>
                <a:schemeClr val="bg1"/>
              </a:solidFill>
            </a:rPr>
            <a:t>PERFORMANCE</a:t>
          </a:r>
          <a:r>
            <a:rPr lang="en-US" sz="1600" b="1" baseline="0">
              <a:solidFill>
                <a:schemeClr val="bg1"/>
              </a:solidFill>
            </a:rPr>
            <a:t> DASHBOARD</a:t>
          </a:r>
          <a:endParaRPr lang="en-US" sz="1600" b="1">
            <a:solidFill>
              <a:schemeClr val="bg1"/>
            </a:solidFill>
          </a:endParaRPr>
        </a:p>
      </xdr:txBody>
    </xdr:sp>
    <xdr:clientData/>
  </xdr:oneCellAnchor>
  <xdr:oneCellAnchor>
    <xdr:from>
      <xdr:col>5</xdr:col>
      <xdr:colOff>700858</xdr:colOff>
      <xdr:row>3</xdr:row>
      <xdr:rowOff>5175</xdr:rowOff>
    </xdr:from>
    <xdr:ext cx="730841" cy="264560"/>
    <xdr:sp macro="" textlink="">
      <xdr:nvSpPr>
        <xdr:cNvPr id="19" name="TextBox 18">
          <a:extLst>
            <a:ext uri="{FF2B5EF4-FFF2-40B4-BE49-F238E27FC236}">
              <a16:creationId xmlns:a16="http://schemas.microsoft.com/office/drawing/2014/main" id="{8DE37FEA-5FD4-2982-5327-575162A0F5CF}"/>
            </a:ext>
          </a:extLst>
        </xdr:cNvPr>
        <xdr:cNvSpPr txBox="1"/>
      </xdr:nvSpPr>
      <xdr:spPr>
        <a:xfrm>
          <a:off x="4803070" y="578361"/>
          <a:ext cx="73084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Raw Data</a:t>
          </a:r>
        </a:p>
      </xdr:txBody>
    </xdr:sp>
    <xdr:clientData/>
  </xdr:oneCellAnchor>
  <xdr:oneCellAnchor>
    <xdr:from>
      <xdr:col>2</xdr:col>
      <xdr:colOff>229157</xdr:colOff>
      <xdr:row>3</xdr:row>
      <xdr:rowOff>12045</xdr:rowOff>
    </xdr:from>
    <xdr:ext cx="1219052" cy="257690"/>
    <xdr:sp macro="" textlink="">
      <xdr:nvSpPr>
        <xdr:cNvPr id="20" name="TextBox 19">
          <a:extLst>
            <a:ext uri="{FF2B5EF4-FFF2-40B4-BE49-F238E27FC236}">
              <a16:creationId xmlns:a16="http://schemas.microsoft.com/office/drawing/2014/main" id="{07033719-37C6-9B45-9CA5-DE98FDD51A52}"/>
            </a:ext>
          </a:extLst>
        </xdr:cNvPr>
        <xdr:cNvSpPr txBox="1"/>
      </xdr:nvSpPr>
      <xdr:spPr>
        <a:xfrm>
          <a:off x="1870042" y="585231"/>
          <a:ext cx="1219052" cy="257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t>Caculated Metrics</a:t>
          </a:r>
        </a:p>
      </xdr:txBody>
    </xdr:sp>
    <xdr:clientData/>
  </xdr:oneCellAnchor>
  <xdr:oneCellAnchor>
    <xdr:from>
      <xdr:col>4</xdr:col>
      <xdr:colOff>254200</xdr:colOff>
      <xdr:row>3</xdr:row>
      <xdr:rowOff>5175</xdr:rowOff>
    </xdr:from>
    <xdr:ext cx="820225" cy="264560"/>
    <xdr:sp macro="" textlink="">
      <xdr:nvSpPr>
        <xdr:cNvPr id="21" name="TextBox 20">
          <a:extLst>
            <a:ext uri="{FF2B5EF4-FFF2-40B4-BE49-F238E27FC236}">
              <a16:creationId xmlns:a16="http://schemas.microsoft.com/office/drawing/2014/main" id="{BD7A44A8-A927-ED49-9072-3242826DCD0A}"/>
            </a:ext>
          </a:extLst>
        </xdr:cNvPr>
        <xdr:cNvSpPr txBox="1"/>
      </xdr:nvSpPr>
      <xdr:spPr>
        <a:xfrm>
          <a:off x="3535970" y="578361"/>
          <a:ext cx="8202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Pivot Table</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24</xdr:col>
      <xdr:colOff>342900</xdr:colOff>
      <xdr:row>3</xdr:row>
      <xdr:rowOff>76200</xdr:rowOff>
    </xdr:from>
    <xdr:to>
      <xdr:col>26</xdr:col>
      <xdr:colOff>660400</xdr:colOff>
      <xdr:row>5</xdr:row>
      <xdr:rowOff>114300</xdr:rowOff>
    </xdr:to>
    <xdr:grpSp>
      <xdr:nvGrpSpPr>
        <xdr:cNvPr id="4" name="Group 3">
          <a:hlinkClick xmlns:r="http://schemas.openxmlformats.org/officeDocument/2006/relationships" r:id="rId1"/>
          <a:extLst>
            <a:ext uri="{FF2B5EF4-FFF2-40B4-BE49-F238E27FC236}">
              <a16:creationId xmlns:a16="http://schemas.microsoft.com/office/drawing/2014/main" id="{6A85C4DC-497A-158A-484A-87D78975A704}"/>
            </a:ext>
          </a:extLst>
        </xdr:cNvPr>
        <xdr:cNvGrpSpPr/>
      </xdr:nvGrpSpPr>
      <xdr:grpSpPr>
        <a:xfrm>
          <a:off x="23647400" y="647700"/>
          <a:ext cx="1663700" cy="419100"/>
          <a:chOff x="23647400" y="647700"/>
          <a:chExt cx="1663700" cy="419100"/>
        </a:xfrm>
        <a:scene3d>
          <a:camera prst="orthographicFront">
            <a:rot lat="0" lon="0" rev="0"/>
          </a:camera>
          <a:lightRig rig="soft" dir="t">
            <a:rot lat="0" lon="0" rev="0"/>
          </a:lightRig>
        </a:scene3d>
      </xdr:grpSpPr>
      <xdr:sp macro="" textlink="">
        <xdr:nvSpPr>
          <xdr:cNvPr id="3" name="Rectangle 2">
            <a:extLst>
              <a:ext uri="{FF2B5EF4-FFF2-40B4-BE49-F238E27FC236}">
                <a16:creationId xmlns:a16="http://schemas.microsoft.com/office/drawing/2014/main" id="{C48132EE-6617-38F1-0DA3-37C7C6409E20}"/>
              </a:ext>
            </a:extLst>
          </xdr:cNvPr>
          <xdr:cNvSpPr/>
        </xdr:nvSpPr>
        <xdr:spPr>
          <a:xfrm>
            <a:off x="23647400" y="647700"/>
            <a:ext cx="1663700" cy="419100"/>
          </a:xfrm>
          <a:prstGeom prst="rect">
            <a:avLst/>
          </a:prstGeom>
          <a:solidFill>
            <a:schemeClr val="bg1"/>
          </a:solidFill>
          <a:ln>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 name="TextBox 1">
            <a:extLst>
              <a:ext uri="{FF2B5EF4-FFF2-40B4-BE49-F238E27FC236}">
                <a16:creationId xmlns:a16="http://schemas.microsoft.com/office/drawing/2014/main" id="{C363CFE8-0C56-9281-366F-42EC3CCFF2F3}"/>
              </a:ext>
            </a:extLst>
          </xdr:cNvPr>
          <xdr:cNvSpPr txBox="1"/>
        </xdr:nvSpPr>
        <xdr:spPr>
          <a:xfrm>
            <a:off x="23977600" y="698500"/>
            <a:ext cx="990600" cy="311496"/>
          </a:xfrm>
          <a:prstGeom prst="rect">
            <a:avLst/>
          </a:prstGeom>
          <a:noFill/>
          <a:ln>
            <a:no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t>Dashboard</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15</xdr:col>
      <xdr:colOff>0</xdr:colOff>
      <xdr:row>7</xdr:row>
      <xdr:rowOff>0</xdr:rowOff>
    </xdr:from>
    <xdr:to>
      <xdr:col>17</xdr:col>
      <xdr:colOff>317500</xdr:colOff>
      <xdr:row>9</xdr:row>
      <xdr:rowOff>38100</xdr:rowOff>
    </xdr:to>
    <xdr:grpSp>
      <xdr:nvGrpSpPr>
        <xdr:cNvPr id="2" name="Group 1">
          <a:hlinkClick xmlns:r="http://schemas.openxmlformats.org/officeDocument/2006/relationships" r:id="rId1"/>
          <a:extLst>
            <a:ext uri="{FF2B5EF4-FFF2-40B4-BE49-F238E27FC236}">
              <a16:creationId xmlns:a16="http://schemas.microsoft.com/office/drawing/2014/main" id="{5FA53F73-3927-B545-9B54-91E6A232201D}"/>
            </a:ext>
          </a:extLst>
        </xdr:cNvPr>
        <xdr:cNvGrpSpPr/>
      </xdr:nvGrpSpPr>
      <xdr:grpSpPr>
        <a:xfrm>
          <a:off x="13677900" y="1333500"/>
          <a:ext cx="1663700" cy="419100"/>
          <a:chOff x="23647400" y="647700"/>
          <a:chExt cx="1663700" cy="419100"/>
        </a:xfrm>
        <a:scene3d>
          <a:camera prst="orthographicFront">
            <a:rot lat="0" lon="0" rev="0"/>
          </a:camera>
          <a:lightRig rig="soft" dir="t">
            <a:rot lat="0" lon="0" rev="0"/>
          </a:lightRig>
        </a:scene3d>
      </xdr:grpSpPr>
      <xdr:sp macro="" textlink="">
        <xdr:nvSpPr>
          <xdr:cNvPr id="3" name="Rectangle 2">
            <a:extLst>
              <a:ext uri="{FF2B5EF4-FFF2-40B4-BE49-F238E27FC236}">
                <a16:creationId xmlns:a16="http://schemas.microsoft.com/office/drawing/2014/main" id="{AC89E353-C36C-50F0-9AE5-577C212F6B70}"/>
              </a:ext>
            </a:extLst>
          </xdr:cNvPr>
          <xdr:cNvSpPr/>
        </xdr:nvSpPr>
        <xdr:spPr>
          <a:xfrm>
            <a:off x="23647400" y="647700"/>
            <a:ext cx="1663700" cy="419100"/>
          </a:xfrm>
          <a:prstGeom prst="rect">
            <a:avLst/>
          </a:prstGeom>
          <a:solidFill>
            <a:schemeClr val="bg1"/>
          </a:solidFill>
          <a:ln>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TextBox 3">
            <a:extLst>
              <a:ext uri="{FF2B5EF4-FFF2-40B4-BE49-F238E27FC236}">
                <a16:creationId xmlns:a16="http://schemas.microsoft.com/office/drawing/2014/main" id="{D3BAEB00-94F3-FBA9-D9EF-C0512D3B2A06}"/>
              </a:ext>
            </a:extLst>
          </xdr:cNvPr>
          <xdr:cNvSpPr txBox="1"/>
        </xdr:nvSpPr>
        <xdr:spPr>
          <a:xfrm>
            <a:off x="23977600" y="698500"/>
            <a:ext cx="990600" cy="311496"/>
          </a:xfrm>
          <a:prstGeom prst="rect">
            <a:avLst/>
          </a:prstGeom>
          <a:noFill/>
          <a:ln>
            <a:no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t>Dashboard</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C" refreshedDate="46057.074680902777" missingItemsLimit="0" createdVersion="8" refreshedVersion="8" minRefreshableVersion="3" recordCount="483" xr:uid="{B858996D-5897-BE45-98C2-DE91579208C3}">
  <cacheSource type="worksheet">
    <worksheetSource name="Table14"/>
  </cacheSource>
  <cacheFields count="24">
    <cacheField name="Patient ID" numFmtId="0">
      <sharedItems count="483">
        <s v="HOSP-101"/>
        <s v="HOSP-102"/>
        <s v="HOSP-103"/>
        <s v="HOSP-104"/>
        <s v="HOSP-105"/>
        <s v="HOSP-106"/>
        <s v="HOSP-107"/>
        <s v="HOSP-108"/>
        <s v="HOSP-109"/>
        <s v="HOSP-110"/>
        <s v="HOSP-111"/>
        <s v="HOSP-112"/>
        <s v="HOSP-113"/>
        <s v="HOSP-114"/>
        <s v="HOSP-115"/>
        <s v="HOSP-116"/>
        <s v="HOSP-117"/>
        <s v="HOSP-118"/>
        <s v="HOSP-119"/>
        <s v="HOSP-120"/>
        <s v="HOSP-121"/>
        <s v="HOSP-122"/>
        <s v="HOSP-123"/>
        <s v="HOSP-124"/>
        <s v="HOSP-125"/>
        <s v="HOSP-126"/>
        <s v="HOSP-127"/>
        <s v="HOSP-128"/>
        <s v="HOSP-129"/>
        <s v="HOSP-130"/>
        <s v="HOSP-131"/>
        <s v="HOSP-132"/>
        <s v="HOSP-133"/>
        <s v="HOSP-134"/>
        <s v="HOSP-135"/>
        <s v="HOSP-136"/>
        <s v="HOSP-137"/>
        <s v="HOSP-138"/>
        <s v="HOSP-139"/>
        <s v="HOSP-140"/>
        <s v="HOSP-141"/>
        <s v="HOSP-142"/>
        <s v="HOSP-143"/>
        <s v="HOSP-144"/>
        <s v="HOSP-145"/>
        <s v="HOSP-146"/>
        <s v="HOSP-147"/>
        <s v="HOSP-148"/>
        <s v="HOSP-149"/>
        <s v="HOSP-150"/>
        <s v="HOSP-151"/>
        <s v="HOSP-152"/>
        <s v="HOSP-153"/>
        <s v="HOSP-154"/>
        <s v="HOSP-155"/>
        <s v="HOSP-156"/>
        <s v="HOSP-157"/>
        <s v="HOSP-158"/>
        <s v="HOSP-159"/>
        <s v="HOSP-160"/>
        <s v="HOSP-161"/>
        <s v="HOSP-162"/>
        <s v="HOSP-163"/>
        <s v="HOSP-164"/>
        <s v="HOSP-165"/>
        <s v="HOSP-166"/>
        <s v="HOSP-167"/>
        <s v="HOSP-168"/>
        <s v="HOSP-169"/>
        <s v="HOSP-170"/>
        <s v="HOSP-171"/>
        <s v="HOSP-172"/>
        <s v="HOSP-173"/>
        <s v="HOSP-174"/>
        <s v="HOSP-175"/>
        <s v="HOSP-176"/>
        <s v="HOSP-177"/>
        <s v="HOSP-178"/>
        <s v="HOSP-179"/>
        <s v="HOSP-180"/>
        <s v="HOSP-181"/>
        <s v="HOSP-182"/>
        <s v="HOSP-183"/>
        <s v="HOSP-184"/>
        <s v="HOSP-185"/>
        <s v="HOSP-186"/>
        <s v="HOSP-187"/>
        <s v="HOSP-188"/>
        <s v="HOSP-189"/>
        <s v="HOSP-190"/>
        <s v="HOSP-191"/>
        <s v="HOSP-192"/>
        <s v="HOSP-193"/>
        <s v="HOSP-194"/>
        <s v="HOSP-195"/>
        <s v="HOSP-196"/>
        <s v="HOSP-197"/>
        <s v="HOSP-198"/>
        <s v="HOSP-199"/>
        <s v="HOSP-200"/>
        <s v="HOSP-201"/>
        <s v="HOSP-202"/>
        <s v="HOSP-203"/>
        <s v="HOSP-204"/>
        <s v="HOSP-205"/>
        <s v="HOSP-206"/>
        <s v="HOSP-207"/>
        <s v="HOSP-208"/>
        <s v="HOSP-209"/>
        <s v="HOSP-212"/>
        <s v="HOSP-213"/>
        <s v="HOSP-214"/>
        <s v="HOSP-215"/>
        <s v="HOSP-216"/>
        <s v="HOSP-217"/>
        <s v="HOSP-218"/>
        <s v="HOSP-219"/>
        <s v="HOSP-220"/>
        <s v="HOSP-221"/>
        <s v="HOSP-222"/>
        <s v="HOSP-223"/>
        <s v="HOSP-224"/>
        <s v="HOSP-225"/>
        <s v="HOSP-226"/>
        <s v="HOSP-227"/>
        <s v="HOSP-228"/>
        <s v="HOSP-229"/>
        <s v="HOSP-230"/>
        <s v="HOSP-231"/>
        <s v="HOSP-232"/>
        <s v="HOSP-233"/>
        <s v="HOSP-234"/>
        <s v="HOSP-235"/>
        <s v="HOSP-236"/>
        <s v="HOSP-237"/>
        <s v="HOSP-238"/>
        <s v="HOSP-239"/>
        <s v="HOSP-240"/>
        <s v="HOSP-241"/>
        <s v="HOSP-242"/>
        <s v="HOSP-243"/>
        <s v="HOSP-244"/>
        <s v="HOSP-245"/>
        <s v="HOSP-246"/>
        <s v="HOSP-247"/>
        <s v="HOSP-248"/>
        <s v="HOSP-249"/>
        <s v="HOSP-250"/>
        <s v="HOSP-251"/>
        <s v="HOSP-252"/>
        <s v="HOSP-253"/>
        <s v="HOSP-254"/>
        <s v="HOSP-255"/>
        <s v="HOSP-256"/>
        <s v="HOSP-257"/>
        <s v="HOSP-258"/>
        <s v="HOSP-211"/>
        <s v="HOSP-260"/>
        <s v="HOSP-261"/>
        <s v="HOSP-262"/>
        <s v="HOSP-263"/>
        <s v="HOSP-264"/>
        <s v="HOSP-265"/>
        <s v="HOSP-266"/>
        <s v="HOSP-267"/>
        <s v="HOSP-268"/>
        <s v="HOSP-269"/>
        <s v="HOSP-270"/>
        <s v="HOSP-271"/>
        <s v="HOSP-272"/>
        <s v="HOSP-273"/>
        <s v="HOSP-274"/>
        <s v="HOSP-275"/>
        <s v="HOSP-276"/>
        <s v="HOSP-277"/>
        <s v="HOSP-278"/>
        <s v="HOSP-279"/>
        <s v="HOSP-280"/>
        <s v="HOSP-281"/>
        <s v="HOSP-282"/>
        <s v="HOSP-283"/>
        <s v="HOSP-284"/>
        <s v="HOSP-285"/>
        <s v="HOSP-286"/>
        <s v="HOSP-287"/>
        <s v="HOSP-288"/>
        <s v="HOSP-289"/>
        <s v="HOSP-290"/>
        <s v="HOSP-291"/>
        <s v="HOSP-292"/>
        <s v="HOSP-293"/>
        <s v="HOSP-294"/>
        <s v="HOSP-295"/>
        <s v="HOSP-296"/>
        <s v="HOSP-297"/>
        <s v="HOSP-298"/>
        <s v="HOSP-299"/>
        <s v="HOSP-300"/>
        <s v="HOSP-312"/>
        <s v="HOSP-313"/>
        <s v="HOSP-314"/>
        <s v="HOSP-315"/>
        <s v="HOSP-316"/>
        <s v="HOSP-317"/>
        <s v="HOSP-318"/>
        <s v="HOSP-319"/>
        <s v="HOSP-320"/>
        <s v="HOSP-321"/>
        <s v="HOSP-322"/>
        <s v="HOSP-323"/>
        <s v="HOSP-324"/>
        <s v="HOSP-325"/>
        <s v="HOSP-326"/>
        <s v="HOSP-327"/>
        <s v="HOSP-328"/>
        <s v="HOSP-329"/>
        <s v="HOSP-330"/>
        <s v="HOSP-331"/>
        <s v="HOSP-332"/>
        <s v="HOSP-333"/>
        <s v="HOSP-335"/>
        <s v="HOSP-336"/>
        <s v="HOSP-337"/>
        <s v="HOSP-338"/>
        <s v="HOSP-339"/>
        <s v="HOSP-340"/>
        <s v="HOSP-341"/>
        <s v="HOSP-342"/>
        <s v="HOSP-343"/>
        <s v="HOSP-344"/>
        <s v="HOSP-345"/>
        <s v="HOSP-346"/>
        <s v="HOSP-347"/>
        <s v="HOSP-348"/>
        <s v="HOSP-349"/>
        <s v="HOSP-350"/>
        <s v="HOSP-351"/>
        <s v="HOSP-352"/>
        <s v="HOSP-353"/>
        <s v="HOSP-354"/>
        <s v="HOSP-355"/>
        <s v="HOSP-356"/>
        <s v="HOSP-357"/>
        <s v="HOSP-358"/>
        <s v="HOSP-359"/>
        <s v="HOSP-360"/>
        <s v="HOSP-361"/>
        <s v="HOSP-362"/>
        <s v="HOSP-363"/>
        <s v="HOSP-364"/>
        <s v="HOSP-365"/>
        <s v="HOSP-366"/>
        <s v="HOSP-367"/>
        <s v="HOSP-368"/>
        <s v="HOSP-369"/>
        <s v="HOSP-370"/>
        <s v="HOSP-371"/>
        <s v="HOSP-372"/>
        <s v="HOSP-373"/>
        <s v="HOSP-374"/>
        <s v="HOSP-376"/>
        <s v="HOSP-377"/>
        <s v="HOSP-378"/>
        <s v="HOSP-379"/>
        <s v="HOSP-380"/>
        <s v="HOSP-381"/>
        <s v="HOSP-382"/>
        <s v="HOSP-383"/>
        <s v="HOSP-384"/>
        <s v="HOSP-385"/>
        <s v="HOSP-386"/>
        <s v="HOSP-387"/>
        <s v="HOSP-388"/>
        <s v="HOSP-389"/>
        <s v="HOSP-390"/>
        <s v="HOSP-391"/>
        <s v="HOSP-392"/>
        <s v="HOSP-393"/>
        <s v="HOSP-394"/>
        <s v="HOSP-395"/>
        <s v="HOSP-396"/>
        <s v="HOSP-397"/>
        <s v="HOSP-398"/>
        <s v="HOSP-399"/>
        <s v="HOSP-400"/>
        <s v="HOSP-401"/>
        <s v="HOSP-402"/>
        <s v="HOSP-403"/>
        <s v="HOSP-404"/>
        <s v="HOSP-405"/>
        <s v="HOSP-406"/>
        <s v="HOSP-407"/>
        <s v="HOSP-408"/>
        <s v="HOSP-409"/>
        <s v="HOSP-410"/>
        <s v="HOSP-411"/>
        <s v="HOSP-412"/>
        <s v="HOSP-413"/>
        <s v="HOSP-414"/>
        <s v="HOSP-415"/>
        <s v="HOSP-416"/>
        <s v="HOSP-417"/>
        <s v="HOSP-418"/>
        <s v="HOSP-419"/>
        <s v="HOSP-420"/>
        <s v="HOSP-421"/>
        <s v="HOSP-422"/>
        <s v="HOSP-423"/>
        <s v="HOSP-424"/>
        <s v="HOSP-425"/>
        <s v="HOSP-426"/>
        <s v="HOSP-427"/>
        <s v="HOSP-428"/>
        <s v="HOSP-429"/>
        <s v="HOSP-430"/>
        <s v="HOSP-431"/>
        <s v="HOSP-432"/>
        <s v="HOSP-433"/>
        <s v="HOSP-434"/>
        <s v="HOSP-435"/>
        <s v="HOSP-436"/>
        <s v="HOSP-437"/>
        <s v="HOSP-438"/>
        <s v="HOSP-439"/>
        <s v="HOSP-440"/>
        <s v="HOSP-441"/>
        <s v="HOSP-442"/>
        <s v="HOSP-443"/>
        <s v="HOSP-444"/>
        <s v="HOSP-445"/>
        <s v="HOSP-447"/>
        <s v="HOSP-448"/>
        <s v="HOSP-449"/>
        <s v="HOSP-450"/>
        <s v="HOSP-451"/>
        <s v="HOSP-452"/>
        <s v="HOSP-453"/>
        <s v="HOSP-454"/>
        <s v="HOSP-455"/>
        <s v="HOSP-456"/>
        <s v="HOSP-457"/>
        <s v="HOSP-458"/>
        <s v="HOSP-459"/>
        <s v="HOSP-460"/>
        <s v="HOSP-461"/>
        <s v="HOSP-462"/>
        <s v="HOSP-463"/>
        <s v="HOSP-464"/>
        <s v="HOSP-465"/>
        <s v="HOSP-466"/>
        <s v="HOSP-467"/>
        <s v="HOSP-468"/>
        <s v="HOSP-469"/>
        <s v="HOSP-470"/>
        <s v="HOSP-471"/>
        <s v="HOSP-472"/>
        <s v="HOSP-473"/>
        <s v="HOSP-474"/>
        <s v="HOSP-475"/>
        <s v="HOSP-476"/>
        <s v="HOSP-477"/>
        <s v="HOSP-478"/>
        <s v="HOSP-479"/>
        <s v="HOSP-480"/>
        <s v="HOSP-481"/>
        <s v="HOSP-482"/>
        <s v="HOSP-483"/>
        <s v="HOSP-484"/>
        <s v="HOSP-485"/>
        <s v="HOSP-486"/>
        <s v="HOSP-487"/>
        <s v="HOSP-488"/>
        <s v="HOSP-489"/>
        <s v="HOSP-490"/>
        <s v="HOSP-491"/>
        <s v="HOSP-492"/>
        <s v="HOSP-493"/>
        <s v="HOSP-494"/>
        <s v="HOSP-495"/>
        <s v="HOSP-496"/>
        <s v="HOSP-497"/>
        <s v="HOSP-498"/>
        <s v="HOSP-499"/>
        <s v="HOSP-500"/>
        <s v="HOSP-501"/>
        <s v="HOSP-502"/>
        <s v="HOSP-503"/>
        <s v="HOSP-504"/>
        <s v="HOSP-505"/>
        <s v="HOSP-506"/>
        <s v="HOSP-507"/>
        <s v="HOSP-508"/>
        <s v="HOSP-509"/>
        <s v="HOSP-510"/>
        <s v="HOSP-511"/>
        <s v="HOSP-512"/>
        <s v="HOSP-513"/>
        <s v="HOSP-514"/>
        <s v="HOSP-515"/>
        <s v="HOSP-516"/>
        <s v="HOSP-517"/>
        <s v="HOSP-518"/>
        <s v="HOSP-519"/>
        <s v="HOSP-520"/>
        <s v="HOSP-521"/>
        <s v="HOSP-522"/>
        <s v="HOSP-523"/>
        <s v="HOSP-524"/>
        <s v="HOSP-525"/>
        <s v="HOSP-526"/>
        <s v="HOSP-527"/>
        <s v="HOSP-528"/>
        <s v="HOSP-529"/>
        <s v="HOSP-530"/>
        <s v="HOSP-531"/>
        <s v="HOSP-532"/>
        <s v="HOSP-533"/>
        <s v="HOSP-534"/>
        <s v="HOSP-535"/>
        <s v="HOSP-536"/>
        <s v="HOSP-537"/>
        <s v="HOSP-538"/>
        <s v="HOSP-539"/>
        <s v="HOSP-540"/>
        <s v="HOSP-541"/>
        <s v="HOSP-542"/>
        <s v="HOSP-543"/>
        <s v="HOSP-544"/>
        <s v="HOSP-545"/>
        <s v="HOSP-546"/>
        <s v="HOSP-547"/>
        <s v="HOSP-548"/>
        <s v="HOSP-549"/>
        <s v="HOSP-550"/>
        <s v="HOSP-551"/>
        <s v="HOSP-552"/>
        <s v="HOSP-553"/>
        <s v="HOSP-554"/>
        <s v="HOSP-555"/>
        <s v="HOSP-556"/>
        <s v="HOSP-557"/>
        <s v="HOSP-558"/>
        <s v="HOSP-559"/>
        <s v="HOSP-560"/>
        <s v="HOSP-561"/>
        <s v="HOSP-562"/>
        <s v="HOSP-563"/>
        <s v="HOSP-564"/>
        <s v="HOSP-565"/>
        <s v="HOSP-566"/>
        <s v="HOSP-567"/>
        <s v="HOSP-568"/>
        <s v="HOSP-569"/>
        <s v="HOSP-570"/>
        <s v="HOSP-571"/>
        <s v="HOSP-572"/>
        <s v="HOSP-573"/>
        <s v="HOSP-574"/>
        <s v="HOSP-575"/>
        <s v="HOSP-576"/>
        <s v="HOSP-577"/>
        <s v="HOSP-578"/>
        <s v="HOSP-579"/>
        <s v="HOSP-581"/>
        <s v="HOSP-582"/>
        <s v="HOSP-583"/>
        <s v="HOSP-584"/>
        <s v="HOSP-585"/>
        <s v="HOSP-586"/>
        <s v="HOSP-587"/>
        <s v="HOSP-588"/>
        <s v="HOSP-589"/>
        <s v="HOSP-590"/>
        <s v="HOSP-591"/>
        <s v="HOSP-592"/>
        <s v="HOSP-593"/>
        <s v="HOSP-594"/>
        <s v="HOSP-595"/>
        <s v="HOSP-596"/>
        <s v="HOSP-597"/>
        <s v="HOSP-598"/>
        <s v="HOSP-599"/>
        <s v="HOSP-600"/>
      </sharedItems>
    </cacheField>
    <cacheField name="Admission Date" numFmtId="165">
      <sharedItems containsSemiMixedTypes="0" containsNonDate="0" containsDate="1" containsString="0" minDate="2024-01-02T00:00:00" maxDate="2024-02-11T00:00:00" count="15">
        <d v="2024-01-31T00:00:00"/>
        <d v="2024-01-02T00:00:00"/>
        <d v="2024-01-05T00:00:00"/>
        <d v="2024-01-10T00:00:00"/>
        <d v="2024-01-30T00:00:00"/>
        <d v="2024-01-15T00:00:00"/>
        <d v="2024-01-18T00:00:00"/>
        <d v="2024-01-20T00:00:00"/>
        <d v="2024-01-22T00:00:00"/>
        <d v="2024-01-25T00:00:00"/>
        <d v="2024-01-28T00:00:00"/>
        <d v="2024-02-01T00:00:00"/>
        <d v="2024-02-03T00:00:00"/>
        <d v="2024-02-05T00:00:00"/>
        <d v="2024-02-10T00:00:00"/>
      </sharedItems>
      <fieldGroup par="23"/>
    </cacheField>
    <cacheField name="Discharge Date" numFmtId="165">
      <sharedItems containsNonDate="0" containsDate="1" containsString="0" containsBlank="1" minDate="2024-01-03T00:00:00" maxDate="2024-02-16T00:00:00"/>
    </cacheField>
    <cacheField name="Length of Stay" numFmtId="0">
      <sharedItems containsSemiMixedTypes="0" containsString="0" containsNumber="1" containsInteger="1" minValue="0" maxValue="748"/>
    </cacheField>
    <cacheField name="Admission Status" numFmtId="0">
      <sharedItems count="2">
        <s v="Patient Discharged"/>
        <s v="Still Admitted"/>
      </sharedItems>
    </cacheField>
    <cacheField name="Admission Category" numFmtId="0">
      <sharedItems/>
    </cacheField>
    <cacheField name="Department" numFmtId="0">
      <sharedItems count="5">
        <s v="Cardiology"/>
        <s v="Emergency Ward"/>
        <s v="Oncology"/>
        <s v="Pediatrics"/>
        <s v="Neurology"/>
      </sharedItems>
    </cacheField>
    <cacheField name="Age" numFmtId="0">
      <sharedItems containsSemiMixedTypes="0" containsString="0" containsNumber="1" containsInteger="1" minValue="0" maxValue="100"/>
    </cacheField>
    <cacheField name="Age Group" numFmtId="0">
      <sharedItems count="3">
        <s v="Elderly"/>
        <s v="Adult"/>
        <s v="Children"/>
      </sharedItems>
    </cacheField>
    <cacheField name="Gender" numFmtId="0">
      <sharedItems count="2">
        <s v="Male"/>
        <s v="Female"/>
      </sharedItems>
    </cacheField>
    <cacheField name="Treatment Cost" numFmtId="166">
      <sharedItems containsSemiMixedTypes="0" containsString="0" containsNumber="1" minValue="850" maxValue="479010"/>
    </cacheField>
    <cacheField name="Billing Category" numFmtId="164">
      <sharedItems/>
    </cacheField>
    <cacheField name="Outcome" numFmtId="0">
      <sharedItems/>
    </cacheField>
    <cacheField name="Readmission Risk" numFmtId="0">
      <sharedItems count="2">
        <s v="Low Risk Patient"/>
        <s v="High Risk Patient"/>
      </sharedItems>
    </cacheField>
    <cacheField name="Doctor" numFmtId="0">
      <sharedItems/>
    </cacheField>
    <cacheField name="Patient Type" numFmtId="0">
      <sharedItems/>
    </cacheField>
    <cacheField name="Room Number" numFmtId="0">
      <sharedItems/>
    </cacheField>
    <cacheField name="Day" numFmtId="0">
      <sharedItems count="7">
        <s v="Wed"/>
        <s v="Tue"/>
        <s v="Fri"/>
        <s v="Mon"/>
        <s v="Thu"/>
        <s v="Sat"/>
        <s v="Sun"/>
      </sharedItems>
    </cacheField>
    <cacheField name="Months" numFmtId="0">
      <sharedItems count="2">
        <s v="Jan"/>
        <s v="Feb"/>
      </sharedItems>
    </cacheField>
    <cacheField name="Year" numFmtId="0">
      <sharedItems/>
    </cacheField>
    <cacheField name="Month and Year" numFmtId="0">
      <sharedItems/>
    </cacheField>
    <cacheField name="Calculated Median" numFmtId="0">
      <sharedItems containsSemiMixedTypes="0" containsString="0" containsNumber="1" containsInteger="1" minValue="8" maxValue="8"/>
    </cacheField>
    <cacheField name="Days (Admission Date)" numFmtId="0" databaseField="0">
      <fieldGroup base="1">
        <rangePr groupBy="days" startDate="2024-01-02T00:00:00" endDate="2024-02-11T00:00:00"/>
        <groupItems count="368">
          <s v="&lt;1/2/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11/24"/>
        </groupItems>
      </fieldGroup>
    </cacheField>
    <cacheField name="Months (Admission Date)" numFmtId="0" databaseField="0">
      <fieldGroup base="1">
        <rangePr groupBy="months" startDate="2024-01-02T00:00:00" endDate="2024-02-11T00:00:00"/>
        <groupItems count="14">
          <s v="&lt;1/2/24"/>
          <s v="Jan"/>
          <s v="Feb"/>
          <s v="Mar"/>
          <s v="Apr"/>
          <s v="May"/>
          <s v="Jun"/>
          <s v="Jul"/>
          <s v="Aug"/>
          <s v="Sep"/>
          <s v="Oct"/>
          <s v="Nov"/>
          <s v="Dec"/>
          <s v="&gt;2/11/24"/>
        </groupItems>
      </fieldGroup>
    </cacheField>
  </cacheFields>
  <extLst>
    <ext xmlns:x14="http://schemas.microsoft.com/office/spreadsheetml/2009/9/main" uri="{725AE2AE-9491-48be-B2B4-4EB974FC3084}">
      <x14:pivotCacheDefinition pivotCacheId="16540346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3">
  <r>
    <x v="0"/>
    <x v="0"/>
    <d v="2024-01-31T00:00:00"/>
    <n v="0"/>
    <x v="0"/>
    <s v="Weekday"/>
    <x v="0"/>
    <n v="67"/>
    <x v="0"/>
    <x v="0"/>
    <n v="8500"/>
    <s v="Low Billing"/>
    <s v="Recovered"/>
    <x v="0"/>
    <s v="Dr. Ada"/>
    <s v="New Patient"/>
    <s v="301"/>
    <x v="0"/>
    <x v="0"/>
    <s v="2024"/>
    <s v="Jan-2024"/>
    <n v="8"/>
  </r>
  <r>
    <x v="1"/>
    <x v="1"/>
    <d v="2024-01-03T00:00:00"/>
    <n v="1"/>
    <x v="0"/>
    <s v="Weekday"/>
    <x v="1"/>
    <n v="22"/>
    <x v="1"/>
    <x v="1"/>
    <n v="900"/>
    <s v="Low Billing"/>
    <s v="Recovered"/>
    <x v="0"/>
    <s v="Dr. Kofi"/>
    <s v="New Patient"/>
    <s v="102"/>
    <x v="1"/>
    <x v="0"/>
    <s v="2024"/>
    <s v="Jan-2024"/>
    <n v="8"/>
  </r>
  <r>
    <x v="2"/>
    <x v="2"/>
    <d v="2024-01-20T00:00:00"/>
    <n v="15"/>
    <x v="0"/>
    <s v="Weekday"/>
    <x v="2"/>
    <n v="54"/>
    <x v="0"/>
    <x v="1"/>
    <n v="15000"/>
    <s v="Low Billing"/>
    <s v="Follow-up"/>
    <x v="1"/>
    <s v="Dr. George"/>
    <s v="New Patient"/>
    <s v="405"/>
    <x v="2"/>
    <x v="0"/>
    <s v="2024"/>
    <s v="Jan-2024"/>
    <n v="8"/>
  </r>
  <r>
    <x v="3"/>
    <x v="3"/>
    <d v="2024-01-12T00:00:00"/>
    <n v="2"/>
    <x v="0"/>
    <s v="Weekday"/>
    <x v="3"/>
    <n v="8"/>
    <x v="2"/>
    <x v="0"/>
    <n v="250000"/>
    <s v="High Billing"/>
    <s v="Follow-up"/>
    <x v="1"/>
    <s v="Dr. Segun"/>
    <s v="New Patient"/>
    <s v="210"/>
    <x v="0"/>
    <x v="0"/>
    <s v="2024"/>
    <s v="Jan-2024"/>
    <n v="8"/>
  </r>
  <r>
    <x v="4"/>
    <x v="4"/>
    <d v="2024-01-31T00:00:00"/>
    <n v="1"/>
    <x v="0"/>
    <s v="Weekday"/>
    <x v="1"/>
    <n v="31"/>
    <x v="1"/>
    <x v="0"/>
    <n v="1100"/>
    <s v="Low Billing"/>
    <s v="Recovered"/>
    <x v="0"/>
    <s v="Dr. Kofi"/>
    <s v="New Patient"/>
    <s v="102"/>
    <x v="1"/>
    <x v="0"/>
    <s v="2024"/>
    <s v="Jan-2024"/>
    <n v="8"/>
  </r>
  <r>
    <x v="5"/>
    <x v="5"/>
    <d v="2024-01-22T00:00:00"/>
    <n v="7"/>
    <x v="0"/>
    <s v="Weekday"/>
    <x v="0"/>
    <n v="72"/>
    <x v="0"/>
    <x v="1"/>
    <n v="9200"/>
    <s v="Low Billing"/>
    <s v="Follow-up"/>
    <x v="1"/>
    <s v="Dr. Ada"/>
    <s v="New Patient"/>
    <s v="301"/>
    <x v="3"/>
    <x v="0"/>
    <s v="2024"/>
    <s v="Jan-2024"/>
    <n v="8"/>
  </r>
  <r>
    <x v="6"/>
    <x v="6"/>
    <m/>
    <n v="748"/>
    <x v="1"/>
    <s v="Weekday"/>
    <x v="4"/>
    <n v="41"/>
    <x v="1"/>
    <x v="0"/>
    <n v="4500"/>
    <s v="Low Billing"/>
    <s v="Pending"/>
    <x v="0"/>
    <s v="Dr. Temi"/>
    <s v="New Patient"/>
    <s v="502"/>
    <x v="4"/>
    <x v="0"/>
    <s v="2024"/>
    <s v="Jan-2024"/>
    <n v="8"/>
  </r>
  <r>
    <x v="7"/>
    <x v="7"/>
    <d v="2024-01-30T00:00:00"/>
    <n v="10"/>
    <x v="0"/>
    <s v="Weekend"/>
    <x v="2"/>
    <n v="61"/>
    <x v="0"/>
    <x v="1"/>
    <n v="14000"/>
    <s v="Low Billing"/>
    <s v="Recovered"/>
    <x v="0"/>
    <s v="Dr. George"/>
    <s v="New Patient"/>
    <s v="405"/>
    <x v="5"/>
    <x v="0"/>
    <s v="2024"/>
    <s v="Jan-2024"/>
    <n v="8"/>
  </r>
  <r>
    <x v="8"/>
    <x v="8"/>
    <d v="2024-01-23T00:00:00"/>
    <n v="1"/>
    <x v="0"/>
    <s v="Weekday"/>
    <x v="1"/>
    <n v="19"/>
    <x v="1"/>
    <x v="0"/>
    <n v="850"/>
    <s v="Low Billing"/>
    <s v="Recovered"/>
    <x v="0"/>
    <s v="Dr. Kofi"/>
    <s v="New Patient"/>
    <s v="102"/>
    <x v="3"/>
    <x v="0"/>
    <s v="2024"/>
    <s v="Jan-2024"/>
    <n v="8"/>
  </r>
  <r>
    <x v="9"/>
    <x v="9"/>
    <d v="2024-01-28T00:00:00"/>
    <n v="3"/>
    <x v="0"/>
    <s v="Weekday"/>
    <x v="3"/>
    <n v="4"/>
    <x v="2"/>
    <x v="1"/>
    <n v="180000"/>
    <s v="Moderate Billing"/>
    <s v="Recovered"/>
    <x v="0"/>
    <s v="Dr. Segun"/>
    <s v="New Patient"/>
    <s v="210"/>
    <x v="4"/>
    <x v="0"/>
    <s v="2024"/>
    <s v="Jan-2024"/>
    <n v="8"/>
  </r>
  <r>
    <x v="10"/>
    <x v="10"/>
    <d v="2024-02-05T00:00:00"/>
    <n v="8"/>
    <x v="0"/>
    <s v="Weekend"/>
    <x v="0"/>
    <n v="55"/>
    <x v="0"/>
    <x v="0"/>
    <n v="7600"/>
    <s v="Low Billing"/>
    <s v="Follow-up"/>
    <x v="1"/>
    <s v="Dr. Ada"/>
    <s v="New Patient"/>
    <s v="301"/>
    <x v="6"/>
    <x v="0"/>
    <s v="2024"/>
    <s v="Jan-2024"/>
    <n v="8"/>
  </r>
  <r>
    <x v="11"/>
    <x v="11"/>
    <d v="2024-02-02T00:00:00"/>
    <n v="1"/>
    <x v="0"/>
    <s v="Weekday"/>
    <x v="1"/>
    <n v="33"/>
    <x v="1"/>
    <x v="1"/>
    <n v="1050"/>
    <s v="Low Billing"/>
    <s v="Recovered"/>
    <x v="0"/>
    <s v="Dr. Kofi"/>
    <s v="New Patient"/>
    <s v="102"/>
    <x v="4"/>
    <x v="1"/>
    <s v="2024"/>
    <s v="Feb-2024"/>
    <n v="8"/>
  </r>
  <r>
    <x v="12"/>
    <x v="12"/>
    <d v="2024-02-15T00:00:00"/>
    <n v="12"/>
    <x v="0"/>
    <s v="Weekend"/>
    <x v="4"/>
    <n v="68"/>
    <x v="0"/>
    <x v="0"/>
    <n v="11000"/>
    <s v="Low Billing"/>
    <s v="Follow-up"/>
    <x v="1"/>
    <s v="Dr. Temi"/>
    <s v="New Patient"/>
    <s v="502"/>
    <x v="5"/>
    <x v="1"/>
    <s v="2024"/>
    <s v="Feb-2024"/>
    <n v="8"/>
  </r>
  <r>
    <x v="13"/>
    <x v="13"/>
    <d v="2024-02-06T00:00:00"/>
    <n v="1"/>
    <x v="0"/>
    <s v="Weekday"/>
    <x v="1"/>
    <n v="25"/>
    <x v="1"/>
    <x v="1"/>
    <n v="950"/>
    <s v="Low Billing"/>
    <s v="Recovered"/>
    <x v="0"/>
    <s v="Dr. Kofi"/>
    <s v="New Patient"/>
    <s v="102"/>
    <x v="3"/>
    <x v="1"/>
    <s v="2024"/>
    <s v="Feb-2024"/>
    <n v="8"/>
  </r>
  <r>
    <x v="14"/>
    <x v="14"/>
    <m/>
    <n v="725"/>
    <x v="1"/>
    <s v="Weekend"/>
    <x v="2"/>
    <n v="49"/>
    <x v="1"/>
    <x v="1"/>
    <n v="12500"/>
    <s v="Low Billing"/>
    <s v="Pending"/>
    <x v="0"/>
    <s v="Dr. George"/>
    <s v="New Patient"/>
    <s v="405"/>
    <x v="5"/>
    <x v="1"/>
    <s v="2024"/>
    <s v="Feb-2024"/>
    <n v="8"/>
  </r>
  <r>
    <x v="15"/>
    <x v="10"/>
    <d v="2024-02-05T00:00:00"/>
    <n v="8"/>
    <x v="0"/>
    <s v="Weekend"/>
    <x v="0"/>
    <n v="40"/>
    <x v="1"/>
    <x v="0"/>
    <n v="9530"/>
    <s v="Low Billing"/>
    <s v="Follow-up"/>
    <x v="1"/>
    <s v="Dr. Ada"/>
    <s v="New Patient"/>
    <s v="301"/>
    <x v="6"/>
    <x v="0"/>
    <s v="2024"/>
    <s v="Jan-2024"/>
    <n v="8"/>
  </r>
  <r>
    <x v="16"/>
    <x v="11"/>
    <d v="2024-02-02T00:00:00"/>
    <n v="1"/>
    <x v="0"/>
    <s v="Weekday"/>
    <x v="1"/>
    <n v="38"/>
    <x v="1"/>
    <x v="1"/>
    <n v="10500"/>
    <s v="Low Billing"/>
    <s v="Recovered"/>
    <x v="0"/>
    <s v="Dr. Kofi"/>
    <s v="New Patient"/>
    <s v="102"/>
    <x v="4"/>
    <x v="1"/>
    <s v="2024"/>
    <s v="Feb-2024"/>
    <n v="8"/>
  </r>
  <r>
    <x v="17"/>
    <x v="12"/>
    <d v="2024-02-15T00:00:00"/>
    <n v="12"/>
    <x v="0"/>
    <s v="Weekend"/>
    <x v="4"/>
    <n v="36"/>
    <x v="1"/>
    <x v="0"/>
    <n v="11470"/>
    <s v="Low Billing"/>
    <s v="Follow-up"/>
    <x v="1"/>
    <s v="Dr. Temi"/>
    <s v="New Patient"/>
    <s v="502"/>
    <x v="5"/>
    <x v="1"/>
    <s v="2024"/>
    <s v="Feb-2024"/>
    <n v="8"/>
  </r>
  <r>
    <x v="18"/>
    <x v="13"/>
    <d v="2024-02-06T00:00:00"/>
    <n v="1"/>
    <x v="0"/>
    <s v="Weekday"/>
    <x v="1"/>
    <n v="34"/>
    <x v="1"/>
    <x v="1"/>
    <n v="12440"/>
    <s v="Low Billing"/>
    <s v="Recovered"/>
    <x v="0"/>
    <s v="Dr. Kofi"/>
    <s v="New Patient"/>
    <s v="102"/>
    <x v="3"/>
    <x v="1"/>
    <s v="2024"/>
    <s v="Feb-2024"/>
    <n v="8"/>
  </r>
  <r>
    <x v="19"/>
    <x v="14"/>
    <m/>
    <n v="725"/>
    <x v="1"/>
    <s v="Weekend"/>
    <x v="2"/>
    <n v="32"/>
    <x v="1"/>
    <x v="1"/>
    <n v="13410"/>
    <s v="Low Billing"/>
    <s v="Pending"/>
    <x v="0"/>
    <s v="Dr. George"/>
    <s v="New Patient"/>
    <s v="405"/>
    <x v="5"/>
    <x v="1"/>
    <s v="2024"/>
    <s v="Feb-2024"/>
    <n v="8"/>
  </r>
  <r>
    <x v="20"/>
    <x v="10"/>
    <d v="2024-02-05T00:00:00"/>
    <n v="8"/>
    <x v="0"/>
    <s v="Weekend"/>
    <x v="0"/>
    <n v="30"/>
    <x v="1"/>
    <x v="0"/>
    <n v="14380"/>
    <s v="Low Billing"/>
    <s v="Follow-up"/>
    <x v="1"/>
    <s v="Dr. Ada"/>
    <s v="New Patient"/>
    <s v="301"/>
    <x v="6"/>
    <x v="0"/>
    <s v="2024"/>
    <s v="Jan-2024"/>
    <n v="8"/>
  </r>
  <r>
    <x v="21"/>
    <x v="11"/>
    <d v="2024-02-02T00:00:00"/>
    <n v="1"/>
    <x v="0"/>
    <s v="Weekday"/>
    <x v="1"/>
    <n v="28"/>
    <x v="1"/>
    <x v="1"/>
    <n v="15350"/>
    <s v="Low Billing"/>
    <s v="Recovered"/>
    <x v="0"/>
    <s v="Dr. Kofi"/>
    <s v="New Patient"/>
    <s v="102"/>
    <x v="4"/>
    <x v="1"/>
    <s v="2024"/>
    <s v="Feb-2024"/>
    <n v="8"/>
  </r>
  <r>
    <x v="22"/>
    <x v="12"/>
    <d v="2024-02-15T00:00:00"/>
    <n v="12"/>
    <x v="0"/>
    <s v="Weekend"/>
    <x v="4"/>
    <n v="26"/>
    <x v="1"/>
    <x v="0"/>
    <n v="16320"/>
    <s v="Low Billing"/>
    <s v="Follow-up"/>
    <x v="1"/>
    <s v="Dr. Temi"/>
    <s v="New Patient"/>
    <s v="502"/>
    <x v="5"/>
    <x v="1"/>
    <s v="2024"/>
    <s v="Feb-2024"/>
    <n v="8"/>
  </r>
  <r>
    <x v="23"/>
    <x v="13"/>
    <d v="2024-02-06T00:00:00"/>
    <n v="1"/>
    <x v="0"/>
    <s v="Weekday"/>
    <x v="1"/>
    <n v="24"/>
    <x v="1"/>
    <x v="1"/>
    <n v="17290"/>
    <s v="Low Billing"/>
    <s v="Recovered"/>
    <x v="0"/>
    <s v="Dr. Kofi"/>
    <s v="New Patient"/>
    <s v="102"/>
    <x v="3"/>
    <x v="1"/>
    <s v="2024"/>
    <s v="Feb-2024"/>
    <n v="8"/>
  </r>
  <r>
    <x v="24"/>
    <x v="14"/>
    <m/>
    <n v="725"/>
    <x v="1"/>
    <s v="Weekend"/>
    <x v="2"/>
    <n v="22"/>
    <x v="1"/>
    <x v="1"/>
    <n v="18260"/>
    <s v="Low Billing"/>
    <s v="Pending"/>
    <x v="0"/>
    <s v="Dr. George"/>
    <s v="New Patient"/>
    <s v="405"/>
    <x v="5"/>
    <x v="1"/>
    <s v="2024"/>
    <s v="Feb-2024"/>
    <n v="8"/>
  </r>
  <r>
    <x v="25"/>
    <x v="10"/>
    <d v="2024-02-05T00:00:00"/>
    <n v="8"/>
    <x v="0"/>
    <s v="Weekend"/>
    <x v="0"/>
    <n v="20"/>
    <x v="1"/>
    <x v="0"/>
    <n v="19230"/>
    <s v="Low Billing"/>
    <s v="Follow-up"/>
    <x v="1"/>
    <s v="Dr. Ada"/>
    <s v="New Patient"/>
    <s v="301"/>
    <x v="6"/>
    <x v="0"/>
    <s v="2024"/>
    <s v="Jan-2024"/>
    <n v="8"/>
  </r>
  <r>
    <x v="26"/>
    <x v="11"/>
    <d v="2024-02-02T00:00:00"/>
    <n v="1"/>
    <x v="0"/>
    <s v="Weekday"/>
    <x v="1"/>
    <n v="18"/>
    <x v="1"/>
    <x v="1"/>
    <n v="20200"/>
    <s v="Low Billing"/>
    <s v="Recovered"/>
    <x v="0"/>
    <s v="Dr. Kofi"/>
    <s v="New Patient"/>
    <s v="102"/>
    <x v="4"/>
    <x v="1"/>
    <s v="2024"/>
    <s v="Feb-2024"/>
    <n v="8"/>
  </r>
  <r>
    <x v="27"/>
    <x v="12"/>
    <d v="2024-02-15T00:00:00"/>
    <n v="12"/>
    <x v="0"/>
    <s v="Weekend"/>
    <x v="4"/>
    <n v="16"/>
    <x v="2"/>
    <x v="0"/>
    <n v="21170"/>
    <s v="Low Billing"/>
    <s v="Follow-up"/>
    <x v="1"/>
    <s v="Dr. Temi"/>
    <s v="New Patient"/>
    <s v="502"/>
    <x v="5"/>
    <x v="1"/>
    <s v="2024"/>
    <s v="Feb-2024"/>
    <n v="8"/>
  </r>
  <r>
    <x v="28"/>
    <x v="13"/>
    <d v="2024-02-06T00:00:00"/>
    <n v="1"/>
    <x v="0"/>
    <s v="Weekday"/>
    <x v="1"/>
    <n v="14"/>
    <x v="2"/>
    <x v="1"/>
    <n v="22140"/>
    <s v="Low Billing"/>
    <s v="Recovered"/>
    <x v="0"/>
    <s v="Dr. Kofi"/>
    <s v="New Patient"/>
    <s v="102"/>
    <x v="3"/>
    <x v="1"/>
    <s v="2024"/>
    <s v="Feb-2024"/>
    <n v="8"/>
  </r>
  <r>
    <x v="29"/>
    <x v="14"/>
    <m/>
    <n v="725"/>
    <x v="1"/>
    <s v="Weekend"/>
    <x v="2"/>
    <n v="12"/>
    <x v="2"/>
    <x v="1"/>
    <n v="23110"/>
    <s v="Low Billing"/>
    <s v="Pending"/>
    <x v="0"/>
    <s v="Dr. George"/>
    <s v="New Patient"/>
    <s v="405"/>
    <x v="5"/>
    <x v="1"/>
    <s v="2024"/>
    <s v="Feb-2024"/>
    <n v="8"/>
  </r>
  <r>
    <x v="30"/>
    <x v="10"/>
    <d v="2024-02-05T00:00:00"/>
    <n v="8"/>
    <x v="0"/>
    <s v="Weekend"/>
    <x v="0"/>
    <n v="10"/>
    <x v="2"/>
    <x v="0"/>
    <n v="24080"/>
    <s v="Low Billing"/>
    <s v="Follow-up"/>
    <x v="1"/>
    <s v="Dr. Ada"/>
    <s v="New Patient"/>
    <s v="301"/>
    <x v="6"/>
    <x v="0"/>
    <s v="2024"/>
    <s v="Jan-2024"/>
    <n v="8"/>
  </r>
  <r>
    <x v="31"/>
    <x v="11"/>
    <d v="2024-02-02T00:00:00"/>
    <n v="1"/>
    <x v="0"/>
    <s v="Weekday"/>
    <x v="1"/>
    <n v="8"/>
    <x v="2"/>
    <x v="1"/>
    <n v="25050"/>
    <s v="Low Billing"/>
    <s v="Recovered"/>
    <x v="0"/>
    <s v="Dr. Kofi"/>
    <s v="New Patient"/>
    <s v="102"/>
    <x v="4"/>
    <x v="1"/>
    <s v="2024"/>
    <s v="Feb-2024"/>
    <n v="8"/>
  </r>
  <r>
    <x v="32"/>
    <x v="12"/>
    <d v="2024-02-15T00:00:00"/>
    <n v="12"/>
    <x v="0"/>
    <s v="Weekend"/>
    <x v="4"/>
    <n v="6"/>
    <x v="2"/>
    <x v="0"/>
    <n v="26020"/>
    <s v="Low Billing"/>
    <s v="Follow-up"/>
    <x v="1"/>
    <s v="Dr. Temi"/>
    <s v="New Patient"/>
    <s v="502"/>
    <x v="5"/>
    <x v="1"/>
    <s v="2024"/>
    <s v="Feb-2024"/>
    <n v="8"/>
  </r>
  <r>
    <x v="33"/>
    <x v="13"/>
    <d v="2024-02-06T00:00:00"/>
    <n v="1"/>
    <x v="0"/>
    <s v="Weekday"/>
    <x v="1"/>
    <n v="4"/>
    <x v="2"/>
    <x v="1"/>
    <n v="26990"/>
    <s v="Low Billing"/>
    <s v="Recovered"/>
    <x v="0"/>
    <s v="Dr. Kofi"/>
    <s v="New Patient"/>
    <s v="102"/>
    <x v="3"/>
    <x v="1"/>
    <s v="2024"/>
    <s v="Feb-2024"/>
    <n v="8"/>
  </r>
  <r>
    <x v="34"/>
    <x v="14"/>
    <m/>
    <n v="725"/>
    <x v="1"/>
    <s v="Weekend"/>
    <x v="2"/>
    <n v="2"/>
    <x v="2"/>
    <x v="1"/>
    <n v="27960"/>
    <s v="Low Billing"/>
    <s v="Pending"/>
    <x v="0"/>
    <s v="Dr. George"/>
    <s v="New Patient"/>
    <s v="405"/>
    <x v="5"/>
    <x v="1"/>
    <s v="2024"/>
    <s v="Feb-2024"/>
    <n v="8"/>
  </r>
  <r>
    <x v="35"/>
    <x v="10"/>
    <d v="2024-02-05T00:00:00"/>
    <n v="8"/>
    <x v="0"/>
    <s v="Weekend"/>
    <x v="0"/>
    <n v="0"/>
    <x v="2"/>
    <x v="0"/>
    <n v="28930"/>
    <s v="Low Billing"/>
    <s v="Follow-up"/>
    <x v="1"/>
    <s v="Dr. Ada"/>
    <s v="New Patient"/>
    <s v="301"/>
    <x v="6"/>
    <x v="0"/>
    <s v="2024"/>
    <s v="Jan-2024"/>
    <n v="8"/>
  </r>
  <r>
    <x v="36"/>
    <x v="11"/>
    <d v="2024-02-02T00:00:00"/>
    <n v="1"/>
    <x v="0"/>
    <s v="Weekday"/>
    <x v="1"/>
    <n v="2"/>
    <x v="2"/>
    <x v="1"/>
    <n v="29900"/>
    <s v="Low Billing"/>
    <s v="Recovered"/>
    <x v="0"/>
    <s v="Dr. Kofi"/>
    <s v="New Patient"/>
    <s v="102"/>
    <x v="4"/>
    <x v="1"/>
    <s v="2024"/>
    <s v="Feb-2024"/>
    <n v="8"/>
  </r>
  <r>
    <x v="37"/>
    <x v="12"/>
    <d v="2024-02-15T00:00:00"/>
    <n v="12"/>
    <x v="0"/>
    <s v="Weekend"/>
    <x v="4"/>
    <n v="4"/>
    <x v="2"/>
    <x v="0"/>
    <n v="30870"/>
    <s v="Low Billing"/>
    <s v="Follow-up"/>
    <x v="1"/>
    <s v="Dr. Temi"/>
    <s v="New Patient"/>
    <s v="502"/>
    <x v="5"/>
    <x v="1"/>
    <s v="2024"/>
    <s v="Feb-2024"/>
    <n v="8"/>
  </r>
  <r>
    <x v="38"/>
    <x v="13"/>
    <d v="2024-02-06T00:00:00"/>
    <n v="1"/>
    <x v="0"/>
    <s v="Weekday"/>
    <x v="1"/>
    <n v="6"/>
    <x v="2"/>
    <x v="1"/>
    <n v="31840"/>
    <s v="Low Billing"/>
    <s v="Recovered"/>
    <x v="0"/>
    <s v="Dr. Kofi"/>
    <s v="New Patient"/>
    <s v="102"/>
    <x v="3"/>
    <x v="1"/>
    <s v="2024"/>
    <s v="Feb-2024"/>
    <n v="8"/>
  </r>
  <r>
    <x v="39"/>
    <x v="14"/>
    <m/>
    <n v="725"/>
    <x v="1"/>
    <s v="Weekend"/>
    <x v="2"/>
    <n v="8"/>
    <x v="2"/>
    <x v="1"/>
    <n v="32810"/>
    <s v="Low Billing"/>
    <s v="Pending"/>
    <x v="0"/>
    <s v="Dr. George"/>
    <s v="New Patient"/>
    <s v="405"/>
    <x v="5"/>
    <x v="1"/>
    <s v="2024"/>
    <s v="Feb-2024"/>
    <n v="8"/>
  </r>
  <r>
    <x v="40"/>
    <x v="10"/>
    <d v="2024-02-05T00:00:00"/>
    <n v="8"/>
    <x v="0"/>
    <s v="Weekend"/>
    <x v="0"/>
    <n v="10"/>
    <x v="2"/>
    <x v="0"/>
    <n v="33780"/>
    <s v="Low Billing"/>
    <s v="Follow-up"/>
    <x v="1"/>
    <s v="Dr. Ada"/>
    <s v="New Patient"/>
    <s v="301"/>
    <x v="6"/>
    <x v="0"/>
    <s v="2024"/>
    <s v="Jan-2024"/>
    <n v="8"/>
  </r>
  <r>
    <x v="41"/>
    <x v="11"/>
    <d v="2024-02-02T00:00:00"/>
    <n v="1"/>
    <x v="0"/>
    <s v="Weekday"/>
    <x v="1"/>
    <n v="12"/>
    <x v="2"/>
    <x v="1"/>
    <n v="34750"/>
    <s v="Low Billing"/>
    <s v="Recovered"/>
    <x v="0"/>
    <s v="Dr. Kofi"/>
    <s v="New Patient"/>
    <s v="102"/>
    <x v="4"/>
    <x v="1"/>
    <s v="2024"/>
    <s v="Feb-2024"/>
    <n v="8"/>
  </r>
  <r>
    <x v="42"/>
    <x v="12"/>
    <d v="2024-02-15T00:00:00"/>
    <n v="12"/>
    <x v="0"/>
    <s v="Weekend"/>
    <x v="4"/>
    <n v="14"/>
    <x v="2"/>
    <x v="0"/>
    <n v="35720"/>
    <s v="Low Billing"/>
    <s v="Follow-up"/>
    <x v="1"/>
    <s v="Dr. Temi"/>
    <s v="New Patient"/>
    <s v="502"/>
    <x v="5"/>
    <x v="1"/>
    <s v="2024"/>
    <s v="Feb-2024"/>
    <n v="8"/>
  </r>
  <r>
    <x v="43"/>
    <x v="13"/>
    <d v="2024-02-06T00:00:00"/>
    <n v="1"/>
    <x v="0"/>
    <s v="Weekday"/>
    <x v="1"/>
    <n v="16"/>
    <x v="2"/>
    <x v="1"/>
    <n v="36690"/>
    <s v="Low Billing"/>
    <s v="Recovered"/>
    <x v="0"/>
    <s v="Dr. Kofi"/>
    <s v="New Patient"/>
    <s v="102"/>
    <x v="3"/>
    <x v="1"/>
    <s v="2024"/>
    <s v="Feb-2024"/>
    <n v="8"/>
  </r>
  <r>
    <x v="44"/>
    <x v="14"/>
    <m/>
    <n v="725"/>
    <x v="1"/>
    <s v="Weekend"/>
    <x v="2"/>
    <n v="18"/>
    <x v="1"/>
    <x v="1"/>
    <n v="37660"/>
    <s v="Low Billing"/>
    <s v="Pending"/>
    <x v="0"/>
    <s v="Dr. George"/>
    <s v="New Patient"/>
    <s v="405"/>
    <x v="5"/>
    <x v="1"/>
    <s v="2024"/>
    <s v="Feb-2024"/>
    <n v="8"/>
  </r>
  <r>
    <x v="45"/>
    <x v="10"/>
    <d v="2024-02-05T00:00:00"/>
    <n v="8"/>
    <x v="0"/>
    <s v="Weekend"/>
    <x v="0"/>
    <n v="20"/>
    <x v="1"/>
    <x v="0"/>
    <n v="38630"/>
    <s v="Low Billing"/>
    <s v="Follow-up"/>
    <x v="1"/>
    <s v="Dr. Ada"/>
    <s v="New Patient"/>
    <s v="301"/>
    <x v="6"/>
    <x v="0"/>
    <s v="2024"/>
    <s v="Jan-2024"/>
    <n v="8"/>
  </r>
  <r>
    <x v="46"/>
    <x v="11"/>
    <d v="2024-02-02T00:00:00"/>
    <n v="1"/>
    <x v="0"/>
    <s v="Weekday"/>
    <x v="1"/>
    <n v="22"/>
    <x v="1"/>
    <x v="1"/>
    <n v="39600"/>
    <s v="Low Billing"/>
    <s v="Recovered"/>
    <x v="0"/>
    <s v="Dr. Kofi"/>
    <s v="New Patient"/>
    <s v="102"/>
    <x v="4"/>
    <x v="1"/>
    <s v="2024"/>
    <s v="Feb-2024"/>
    <n v="8"/>
  </r>
  <r>
    <x v="47"/>
    <x v="12"/>
    <d v="2024-02-15T00:00:00"/>
    <n v="12"/>
    <x v="0"/>
    <s v="Weekend"/>
    <x v="4"/>
    <n v="24"/>
    <x v="1"/>
    <x v="0"/>
    <n v="40570"/>
    <s v="Low Billing"/>
    <s v="Follow-up"/>
    <x v="1"/>
    <s v="Dr. Temi"/>
    <s v="New Patient"/>
    <s v="502"/>
    <x v="5"/>
    <x v="1"/>
    <s v="2024"/>
    <s v="Feb-2024"/>
    <n v="8"/>
  </r>
  <r>
    <x v="48"/>
    <x v="13"/>
    <d v="2024-02-06T00:00:00"/>
    <n v="1"/>
    <x v="0"/>
    <s v="Weekday"/>
    <x v="1"/>
    <n v="26"/>
    <x v="1"/>
    <x v="1"/>
    <n v="41540"/>
    <s v="Low Billing"/>
    <s v="Recovered"/>
    <x v="0"/>
    <s v="Dr. Kofi"/>
    <s v="New Patient"/>
    <s v="102"/>
    <x v="3"/>
    <x v="1"/>
    <s v="2024"/>
    <s v="Feb-2024"/>
    <n v="8"/>
  </r>
  <r>
    <x v="49"/>
    <x v="14"/>
    <m/>
    <n v="725"/>
    <x v="1"/>
    <s v="Weekend"/>
    <x v="2"/>
    <n v="28"/>
    <x v="1"/>
    <x v="1"/>
    <n v="42510"/>
    <s v="Low Billing"/>
    <s v="Pending"/>
    <x v="0"/>
    <s v="Dr. George"/>
    <s v="New Patient"/>
    <s v="405"/>
    <x v="5"/>
    <x v="1"/>
    <s v="2024"/>
    <s v="Feb-2024"/>
    <n v="8"/>
  </r>
  <r>
    <x v="50"/>
    <x v="10"/>
    <d v="2024-02-05T00:00:00"/>
    <n v="8"/>
    <x v="0"/>
    <s v="Weekend"/>
    <x v="0"/>
    <n v="30"/>
    <x v="1"/>
    <x v="0"/>
    <n v="43480"/>
    <s v="Low Billing"/>
    <s v="Follow-up"/>
    <x v="1"/>
    <s v="Dr. Ada"/>
    <s v="New Patient"/>
    <s v="301"/>
    <x v="6"/>
    <x v="0"/>
    <s v="2024"/>
    <s v="Jan-2024"/>
    <n v="8"/>
  </r>
  <r>
    <x v="51"/>
    <x v="11"/>
    <d v="2024-02-02T00:00:00"/>
    <n v="1"/>
    <x v="0"/>
    <s v="Weekday"/>
    <x v="1"/>
    <n v="32"/>
    <x v="1"/>
    <x v="1"/>
    <n v="44450"/>
    <s v="Low Billing"/>
    <s v="Recovered"/>
    <x v="0"/>
    <s v="Dr. Kofi"/>
    <s v="New Patient"/>
    <s v="102"/>
    <x v="4"/>
    <x v="1"/>
    <s v="2024"/>
    <s v="Feb-2024"/>
    <n v="8"/>
  </r>
  <r>
    <x v="52"/>
    <x v="12"/>
    <d v="2024-02-15T00:00:00"/>
    <n v="12"/>
    <x v="0"/>
    <s v="Weekend"/>
    <x v="4"/>
    <n v="34"/>
    <x v="1"/>
    <x v="0"/>
    <n v="45420"/>
    <s v="Low Billing"/>
    <s v="Follow-up"/>
    <x v="1"/>
    <s v="Dr. Temi"/>
    <s v="New Patient"/>
    <s v="502"/>
    <x v="5"/>
    <x v="1"/>
    <s v="2024"/>
    <s v="Feb-2024"/>
    <n v="8"/>
  </r>
  <r>
    <x v="53"/>
    <x v="13"/>
    <d v="2024-02-06T00:00:00"/>
    <n v="1"/>
    <x v="0"/>
    <s v="Weekday"/>
    <x v="1"/>
    <n v="36"/>
    <x v="1"/>
    <x v="1"/>
    <n v="46390"/>
    <s v="Low Billing"/>
    <s v="Recovered"/>
    <x v="0"/>
    <s v="Dr. Kofi"/>
    <s v="New Patient"/>
    <s v="102"/>
    <x v="3"/>
    <x v="1"/>
    <s v="2024"/>
    <s v="Feb-2024"/>
    <n v="8"/>
  </r>
  <r>
    <x v="54"/>
    <x v="14"/>
    <m/>
    <n v="725"/>
    <x v="1"/>
    <s v="Weekend"/>
    <x v="2"/>
    <n v="38"/>
    <x v="1"/>
    <x v="1"/>
    <n v="47360"/>
    <s v="Low Billing"/>
    <s v="Pending"/>
    <x v="0"/>
    <s v="Dr. George"/>
    <s v="New Patient"/>
    <s v="405"/>
    <x v="5"/>
    <x v="1"/>
    <s v="2024"/>
    <s v="Feb-2024"/>
    <n v="8"/>
  </r>
  <r>
    <x v="55"/>
    <x v="10"/>
    <d v="2024-02-05T00:00:00"/>
    <n v="8"/>
    <x v="0"/>
    <s v="Weekend"/>
    <x v="0"/>
    <n v="40"/>
    <x v="1"/>
    <x v="0"/>
    <n v="48330"/>
    <s v="Low Billing"/>
    <s v="Follow-up"/>
    <x v="1"/>
    <s v="Dr. Ada"/>
    <s v="New Patient"/>
    <s v="301"/>
    <x v="6"/>
    <x v="0"/>
    <s v="2024"/>
    <s v="Jan-2024"/>
    <n v="8"/>
  </r>
  <r>
    <x v="56"/>
    <x v="11"/>
    <d v="2024-02-02T00:00:00"/>
    <n v="1"/>
    <x v="0"/>
    <s v="Weekday"/>
    <x v="1"/>
    <n v="42"/>
    <x v="1"/>
    <x v="1"/>
    <n v="49300"/>
    <s v="Low Billing"/>
    <s v="Recovered"/>
    <x v="0"/>
    <s v="Dr. Kofi"/>
    <s v="New Patient"/>
    <s v="102"/>
    <x v="4"/>
    <x v="1"/>
    <s v="2024"/>
    <s v="Feb-2024"/>
    <n v="8"/>
  </r>
  <r>
    <x v="57"/>
    <x v="12"/>
    <d v="2024-02-15T00:00:00"/>
    <n v="12"/>
    <x v="0"/>
    <s v="Weekend"/>
    <x v="4"/>
    <n v="44"/>
    <x v="1"/>
    <x v="0"/>
    <n v="50270"/>
    <s v="Moderate Billing"/>
    <s v="Follow-up"/>
    <x v="1"/>
    <s v="Dr. Temi"/>
    <s v="New Patient"/>
    <s v="502"/>
    <x v="5"/>
    <x v="1"/>
    <s v="2024"/>
    <s v="Feb-2024"/>
    <n v="8"/>
  </r>
  <r>
    <x v="58"/>
    <x v="13"/>
    <d v="2024-02-06T00:00:00"/>
    <n v="1"/>
    <x v="0"/>
    <s v="Weekday"/>
    <x v="1"/>
    <n v="46"/>
    <x v="1"/>
    <x v="1"/>
    <n v="51240"/>
    <s v="Moderate Billing"/>
    <s v="Recovered"/>
    <x v="0"/>
    <s v="Dr. Kofi"/>
    <s v="New Patient"/>
    <s v="102"/>
    <x v="3"/>
    <x v="1"/>
    <s v="2024"/>
    <s v="Feb-2024"/>
    <n v="8"/>
  </r>
  <r>
    <x v="59"/>
    <x v="14"/>
    <m/>
    <n v="725"/>
    <x v="1"/>
    <s v="Weekend"/>
    <x v="2"/>
    <n v="48"/>
    <x v="1"/>
    <x v="1"/>
    <n v="52210"/>
    <s v="Moderate Billing"/>
    <s v="Pending"/>
    <x v="0"/>
    <s v="Dr. George"/>
    <s v="New Patient"/>
    <s v="405"/>
    <x v="5"/>
    <x v="1"/>
    <s v="2024"/>
    <s v="Feb-2024"/>
    <n v="8"/>
  </r>
  <r>
    <x v="60"/>
    <x v="10"/>
    <d v="2024-02-05T00:00:00"/>
    <n v="8"/>
    <x v="0"/>
    <s v="Weekend"/>
    <x v="0"/>
    <n v="50"/>
    <x v="0"/>
    <x v="0"/>
    <n v="53180"/>
    <s v="Moderate Billing"/>
    <s v="Follow-up"/>
    <x v="1"/>
    <s v="Dr. Ada"/>
    <s v="New Patient"/>
    <s v="301"/>
    <x v="6"/>
    <x v="0"/>
    <s v="2024"/>
    <s v="Jan-2024"/>
    <n v="8"/>
  </r>
  <r>
    <x v="61"/>
    <x v="11"/>
    <d v="2024-02-02T00:00:00"/>
    <n v="1"/>
    <x v="0"/>
    <s v="Weekday"/>
    <x v="1"/>
    <n v="52"/>
    <x v="0"/>
    <x v="1"/>
    <n v="54150"/>
    <s v="Moderate Billing"/>
    <s v="Recovered"/>
    <x v="0"/>
    <s v="Dr. Kofi"/>
    <s v="New Patient"/>
    <s v="102"/>
    <x v="4"/>
    <x v="1"/>
    <s v="2024"/>
    <s v="Feb-2024"/>
    <n v="8"/>
  </r>
  <r>
    <x v="62"/>
    <x v="12"/>
    <d v="2024-02-15T00:00:00"/>
    <n v="12"/>
    <x v="0"/>
    <s v="Weekend"/>
    <x v="4"/>
    <n v="54"/>
    <x v="0"/>
    <x v="0"/>
    <n v="55120"/>
    <s v="Moderate Billing"/>
    <s v="Follow-up"/>
    <x v="1"/>
    <s v="Dr. Temi"/>
    <s v="New Patient"/>
    <s v="502"/>
    <x v="5"/>
    <x v="1"/>
    <s v="2024"/>
    <s v="Feb-2024"/>
    <n v="8"/>
  </r>
  <r>
    <x v="63"/>
    <x v="13"/>
    <d v="2024-02-06T00:00:00"/>
    <n v="1"/>
    <x v="0"/>
    <s v="Weekday"/>
    <x v="1"/>
    <n v="56"/>
    <x v="0"/>
    <x v="1"/>
    <n v="56090"/>
    <s v="Moderate Billing"/>
    <s v="Recovered"/>
    <x v="0"/>
    <s v="Dr. Kofi"/>
    <s v="New Patient"/>
    <s v="102"/>
    <x v="3"/>
    <x v="1"/>
    <s v="2024"/>
    <s v="Feb-2024"/>
    <n v="8"/>
  </r>
  <r>
    <x v="64"/>
    <x v="14"/>
    <m/>
    <n v="725"/>
    <x v="1"/>
    <s v="Weekend"/>
    <x v="2"/>
    <n v="58"/>
    <x v="0"/>
    <x v="1"/>
    <n v="57060"/>
    <s v="Moderate Billing"/>
    <s v="Pending"/>
    <x v="0"/>
    <s v="Dr. George"/>
    <s v="New Patient"/>
    <s v="405"/>
    <x v="5"/>
    <x v="1"/>
    <s v="2024"/>
    <s v="Feb-2024"/>
    <n v="8"/>
  </r>
  <r>
    <x v="65"/>
    <x v="10"/>
    <d v="2024-02-05T00:00:00"/>
    <n v="8"/>
    <x v="0"/>
    <s v="Weekend"/>
    <x v="0"/>
    <n v="60"/>
    <x v="0"/>
    <x v="0"/>
    <n v="58030"/>
    <s v="Moderate Billing"/>
    <s v="Follow-up"/>
    <x v="1"/>
    <s v="Dr. Ada"/>
    <s v="New Patient"/>
    <s v="301"/>
    <x v="6"/>
    <x v="0"/>
    <s v="2024"/>
    <s v="Jan-2024"/>
    <n v="8"/>
  </r>
  <r>
    <x v="66"/>
    <x v="11"/>
    <d v="2024-02-02T00:00:00"/>
    <n v="1"/>
    <x v="0"/>
    <s v="Weekday"/>
    <x v="1"/>
    <n v="62"/>
    <x v="0"/>
    <x v="1"/>
    <n v="59000"/>
    <s v="Moderate Billing"/>
    <s v="Recovered"/>
    <x v="0"/>
    <s v="Dr. Kofi"/>
    <s v="New Patient"/>
    <s v="102"/>
    <x v="4"/>
    <x v="1"/>
    <s v="2024"/>
    <s v="Feb-2024"/>
    <n v="8"/>
  </r>
  <r>
    <x v="67"/>
    <x v="12"/>
    <d v="2024-02-15T00:00:00"/>
    <n v="12"/>
    <x v="0"/>
    <s v="Weekend"/>
    <x v="4"/>
    <n v="64"/>
    <x v="0"/>
    <x v="0"/>
    <n v="59970"/>
    <s v="Moderate Billing"/>
    <s v="Follow-up"/>
    <x v="1"/>
    <s v="Dr. Temi"/>
    <s v="New Patient"/>
    <s v="502"/>
    <x v="5"/>
    <x v="1"/>
    <s v="2024"/>
    <s v="Feb-2024"/>
    <n v="8"/>
  </r>
  <r>
    <x v="68"/>
    <x v="13"/>
    <d v="2024-02-06T00:00:00"/>
    <n v="1"/>
    <x v="0"/>
    <s v="Weekday"/>
    <x v="1"/>
    <n v="66"/>
    <x v="0"/>
    <x v="1"/>
    <n v="60940"/>
    <s v="Moderate Billing"/>
    <s v="Recovered"/>
    <x v="0"/>
    <s v="Dr. Kofi"/>
    <s v="New Patient"/>
    <s v="102"/>
    <x v="3"/>
    <x v="1"/>
    <s v="2024"/>
    <s v="Feb-2024"/>
    <n v="8"/>
  </r>
  <r>
    <x v="69"/>
    <x v="14"/>
    <m/>
    <n v="725"/>
    <x v="1"/>
    <s v="Weekend"/>
    <x v="2"/>
    <n v="68"/>
    <x v="0"/>
    <x v="1"/>
    <n v="61910"/>
    <s v="Moderate Billing"/>
    <s v="Pending"/>
    <x v="0"/>
    <s v="Dr. George"/>
    <s v="New Patient"/>
    <s v="405"/>
    <x v="5"/>
    <x v="1"/>
    <s v="2024"/>
    <s v="Feb-2024"/>
    <n v="8"/>
  </r>
  <r>
    <x v="70"/>
    <x v="10"/>
    <d v="2024-02-05T00:00:00"/>
    <n v="8"/>
    <x v="0"/>
    <s v="Weekend"/>
    <x v="0"/>
    <n v="70"/>
    <x v="0"/>
    <x v="0"/>
    <n v="62880"/>
    <s v="Moderate Billing"/>
    <s v="Follow-up"/>
    <x v="1"/>
    <s v="Dr. Ada"/>
    <s v="New Patient"/>
    <s v="301"/>
    <x v="6"/>
    <x v="0"/>
    <s v="2024"/>
    <s v="Jan-2024"/>
    <n v="8"/>
  </r>
  <r>
    <x v="71"/>
    <x v="11"/>
    <d v="2024-02-02T00:00:00"/>
    <n v="1"/>
    <x v="0"/>
    <s v="Weekday"/>
    <x v="1"/>
    <n v="72"/>
    <x v="0"/>
    <x v="1"/>
    <n v="63850"/>
    <s v="Moderate Billing"/>
    <s v="Recovered"/>
    <x v="0"/>
    <s v="Dr. Kofi"/>
    <s v="New Patient"/>
    <s v="102"/>
    <x v="4"/>
    <x v="1"/>
    <s v="2024"/>
    <s v="Feb-2024"/>
    <n v="8"/>
  </r>
  <r>
    <x v="72"/>
    <x v="12"/>
    <d v="2024-02-15T00:00:00"/>
    <n v="12"/>
    <x v="0"/>
    <s v="Weekend"/>
    <x v="4"/>
    <n v="74"/>
    <x v="0"/>
    <x v="0"/>
    <n v="64820"/>
    <s v="Moderate Billing"/>
    <s v="Follow-up"/>
    <x v="1"/>
    <s v="Dr. Temi"/>
    <s v="New Patient"/>
    <s v="502"/>
    <x v="5"/>
    <x v="1"/>
    <s v="2024"/>
    <s v="Feb-2024"/>
    <n v="8"/>
  </r>
  <r>
    <x v="73"/>
    <x v="13"/>
    <d v="2024-02-06T00:00:00"/>
    <n v="1"/>
    <x v="0"/>
    <s v="Weekday"/>
    <x v="1"/>
    <n v="76"/>
    <x v="0"/>
    <x v="1"/>
    <n v="65790"/>
    <s v="Moderate Billing"/>
    <s v="Recovered"/>
    <x v="0"/>
    <s v="Dr. Kofi"/>
    <s v="New Patient"/>
    <s v="102"/>
    <x v="3"/>
    <x v="1"/>
    <s v="2024"/>
    <s v="Feb-2024"/>
    <n v="8"/>
  </r>
  <r>
    <x v="74"/>
    <x v="14"/>
    <m/>
    <n v="725"/>
    <x v="1"/>
    <s v="Weekend"/>
    <x v="2"/>
    <n v="78"/>
    <x v="0"/>
    <x v="1"/>
    <n v="66760"/>
    <s v="Moderate Billing"/>
    <s v="Pending"/>
    <x v="0"/>
    <s v="Dr. George"/>
    <s v="New Patient"/>
    <s v="405"/>
    <x v="5"/>
    <x v="1"/>
    <s v="2024"/>
    <s v="Feb-2024"/>
    <n v="8"/>
  </r>
  <r>
    <x v="75"/>
    <x v="10"/>
    <d v="2024-02-05T00:00:00"/>
    <n v="8"/>
    <x v="0"/>
    <s v="Weekend"/>
    <x v="0"/>
    <n v="80"/>
    <x v="0"/>
    <x v="0"/>
    <n v="67730"/>
    <s v="Moderate Billing"/>
    <s v="Follow-up"/>
    <x v="1"/>
    <s v="Dr. Ada"/>
    <s v="New Patient"/>
    <s v="301"/>
    <x v="6"/>
    <x v="0"/>
    <s v="2024"/>
    <s v="Jan-2024"/>
    <n v="8"/>
  </r>
  <r>
    <x v="76"/>
    <x v="11"/>
    <d v="2024-02-02T00:00:00"/>
    <n v="1"/>
    <x v="0"/>
    <s v="Weekday"/>
    <x v="1"/>
    <n v="82"/>
    <x v="0"/>
    <x v="1"/>
    <n v="68700"/>
    <s v="Moderate Billing"/>
    <s v="Recovered"/>
    <x v="0"/>
    <s v="Dr. Kofi"/>
    <s v="New Patient"/>
    <s v="102"/>
    <x v="4"/>
    <x v="1"/>
    <s v="2024"/>
    <s v="Feb-2024"/>
    <n v="8"/>
  </r>
  <r>
    <x v="77"/>
    <x v="12"/>
    <d v="2024-02-15T00:00:00"/>
    <n v="12"/>
    <x v="0"/>
    <s v="Weekend"/>
    <x v="4"/>
    <n v="84"/>
    <x v="0"/>
    <x v="0"/>
    <n v="69670"/>
    <s v="Moderate Billing"/>
    <s v="Follow-up"/>
    <x v="1"/>
    <s v="Dr. Temi"/>
    <s v="New Patient"/>
    <s v="502"/>
    <x v="5"/>
    <x v="1"/>
    <s v="2024"/>
    <s v="Feb-2024"/>
    <n v="8"/>
  </r>
  <r>
    <x v="78"/>
    <x v="13"/>
    <d v="2024-02-06T00:00:00"/>
    <n v="1"/>
    <x v="0"/>
    <s v="Weekday"/>
    <x v="1"/>
    <n v="86"/>
    <x v="0"/>
    <x v="1"/>
    <n v="70640"/>
    <s v="Moderate Billing"/>
    <s v="Recovered"/>
    <x v="0"/>
    <s v="Dr. Kofi"/>
    <s v="New Patient"/>
    <s v="102"/>
    <x v="3"/>
    <x v="1"/>
    <s v="2024"/>
    <s v="Feb-2024"/>
    <n v="8"/>
  </r>
  <r>
    <x v="79"/>
    <x v="14"/>
    <m/>
    <n v="725"/>
    <x v="1"/>
    <s v="Weekend"/>
    <x v="2"/>
    <n v="88"/>
    <x v="0"/>
    <x v="1"/>
    <n v="71610"/>
    <s v="Moderate Billing"/>
    <s v="Pending"/>
    <x v="0"/>
    <s v="Dr. George"/>
    <s v="New Patient"/>
    <s v="405"/>
    <x v="5"/>
    <x v="1"/>
    <s v="2024"/>
    <s v="Feb-2024"/>
    <n v="8"/>
  </r>
  <r>
    <x v="80"/>
    <x v="10"/>
    <d v="2024-02-05T00:00:00"/>
    <n v="8"/>
    <x v="0"/>
    <s v="Weekend"/>
    <x v="0"/>
    <n v="90"/>
    <x v="0"/>
    <x v="0"/>
    <n v="72580"/>
    <s v="Moderate Billing"/>
    <s v="Follow-up"/>
    <x v="1"/>
    <s v="Dr. Ada"/>
    <s v="New Patient"/>
    <s v="301"/>
    <x v="6"/>
    <x v="0"/>
    <s v="2024"/>
    <s v="Jan-2024"/>
    <n v="8"/>
  </r>
  <r>
    <x v="81"/>
    <x v="11"/>
    <d v="2024-02-02T00:00:00"/>
    <n v="1"/>
    <x v="0"/>
    <s v="Weekday"/>
    <x v="1"/>
    <n v="92"/>
    <x v="0"/>
    <x v="1"/>
    <n v="73550"/>
    <s v="Moderate Billing"/>
    <s v="Recovered"/>
    <x v="0"/>
    <s v="Dr. Kofi"/>
    <s v="New Patient"/>
    <s v="102"/>
    <x v="4"/>
    <x v="1"/>
    <s v="2024"/>
    <s v="Feb-2024"/>
    <n v="8"/>
  </r>
  <r>
    <x v="82"/>
    <x v="12"/>
    <d v="2024-02-15T00:00:00"/>
    <n v="12"/>
    <x v="0"/>
    <s v="Weekend"/>
    <x v="4"/>
    <n v="94"/>
    <x v="0"/>
    <x v="0"/>
    <n v="74520"/>
    <s v="Moderate Billing"/>
    <s v="Follow-up"/>
    <x v="1"/>
    <s v="Dr. Temi"/>
    <s v="New Patient"/>
    <s v="502"/>
    <x v="5"/>
    <x v="1"/>
    <s v="2024"/>
    <s v="Feb-2024"/>
    <n v="8"/>
  </r>
  <r>
    <x v="83"/>
    <x v="13"/>
    <d v="2024-02-06T00:00:00"/>
    <n v="1"/>
    <x v="0"/>
    <s v="Weekday"/>
    <x v="1"/>
    <n v="96"/>
    <x v="0"/>
    <x v="1"/>
    <n v="75490"/>
    <s v="Moderate Billing"/>
    <s v="Recovered"/>
    <x v="0"/>
    <s v="Dr. Kofi"/>
    <s v="New Patient"/>
    <s v="102"/>
    <x v="3"/>
    <x v="1"/>
    <s v="2024"/>
    <s v="Feb-2024"/>
    <n v="8"/>
  </r>
  <r>
    <x v="84"/>
    <x v="14"/>
    <m/>
    <n v="725"/>
    <x v="1"/>
    <s v="Weekend"/>
    <x v="2"/>
    <n v="98"/>
    <x v="0"/>
    <x v="1"/>
    <n v="76460"/>
    <s v="Moderate Billing"/>
    <s v="Pending"/>
    <x v="0"/>
    <s v="Dr. George"/>
    <s v="New Patient"/>
    <s v="405"/>
    <x v="5"/>
    <x v="1"/>
    <s v="2024"/>
    <s v="Feb-2024"/>
    <n v="8"/>
  </r>
  <r>
    <x v="85"/>
    <x v="10"/>
    <d v="2024-02-05T00:00:00"/>
    <n v="8"/>
    <x v="0"/>
    <s v="Weekend"/>
    <x v="0"/>
    <n v="100"/>
    <x v="0"/>
    <x v="0"/>
    <n v="77430"/>
    <s v="Moderate Billing"/>
    <s v="Follow-up"/>
    <x v="1"/>
    <s v="Dr. Ada"/>
    <s v="New Patient"/>
    <s v="301"/>
    <x v="6"/>
    <x v="0"/>
    <s v="2024"/>
    <s v="Jan-2024"/>
    <n v="8"/>
  </r>
  <r>
    <x v="86"/>
    <x v="11"/>
    <d v="2024-02-02T00:00:00"/>
    <n v="1"/>
    <x v="0"/>
    <s v="Weekday"/>
    <x v="1"/>
    <n v="2"/>
    <x v="2"/>
    <x v="1"/>
    <n v="78400"/>
    <s v="Moderate Billing"/>
    <s v="Recovered"/>
    <x v="0"/>
    <s v="Dr. Kofi"/>
    <s v="New Patient"/>
    <s v="102"/>
    <x v="4"/>
    <x v="1"/>
    <s v="2024"/>
    <s v="Feb-2024"/>
    <n v="8"/>
  </r>
  <r>
    <x v="87"/>
    <x v="12"/>
    <d v="2024-02-15T00:00:00"/>
    <n v="12"/>
    <x v="0"/>
    <s v="Weekend"/>
    <x v="4"/>
    <n v="4"/>
    <x v="2"/>
    <x v="0"/>
    <n v="79370"/>
    <s v="Moderate Billing"/>
    <s v="Follow-up"/>
    <x v="1"/>
    <s v="Dr. Temi"/>
    <s v="New Patient"/>
    <s v="502"/>
    <x v="5"/>
    <x v="1"/>
    <s v="2024"/>
    <s v="Feb-2024"/>
    <n v="8"/>
  </r>
  <r>
    <x v="88"/>
    <x v="13"/>
    <d v="2024-02-06T00:00:00"/>
    <n v="1"/>
    <x v="0"/>
    <s v="Weekday"/>
    <x v="1"/>
    <n v="6"/>
    <x v="2"/>
    <x v="1"/>
    <n v="80340"/>
    <s v="Moderate Billing"/>
    <s v="Recovered"/>
    <x v="0"/>
    <s v="Dr. Kofi"/>
    <s v="New Patient"/>
    <s v="102"/>
    <x v="3"/>
    <x v="1"/>
    <s v="2024"/>
    <s v="Feb-2024"/>
    <n v="8"/>
  </r>
  <r>
    <x v="89"/>
    <x v="14"/>
    <m/>
    <n v="725"/>
    <x v="1"/>
    <s v="Weekend"/>
    <x v="2"/>
    <n v="8"/>
    <x v="2"/>
    <x v="1"/>
    <n v="81310"/>
    <s v="Moderate Billing"/>
    <s v="Pending"/>
    <x v="0"/>
    <s v="Dr. George"/>
    <s v="New Patient"/>
    <s v="405"/>
    <x v="5"/>
    <x v="1"/>
    <s v="2024"/>
    <s v="Feb-2024"/>
    <n v="8"/>
  </r>
  <r>
    <x v="90"/>
    <x v="10"/>
    <d v="2024-02-05T00:00:00"/>
    <n v="8"/>
    <x v="0"/>
    <s v="Weekend"/>
    <x v="0"/>
    <n v="10"/>
    <x v="2"/>
    <x v="0"/>
    <n v="82280"/>
    <s v="Moderate Billing"/>
    <s v="Follow-up"/>
    <x v="1"/>
    <s v="Dr. Ada"/>
    <s v="New Patient"/>
    <s v="301"/>
    <x v="6"/>
    <x v="0"/>
    <s v="2024"/>
    <s v="Jan-2024"/>
    <n v="8"/>
  </r>
  <r>
    <x v="91"/>
    <x v="11"/>
    <d v="2024-02-02T00:00:00"/>
    <n v="1"/>
    <x v="0"/>
    <s v="Weekday"/>
    <x v="1"/>
    <n v="12"/>
    <x v="2"/>
    <x v="1"/>
    <n v="83250"/>
    <s v="Moderate Billing"/>
    <s v="Recovered"/>
    <x v="0"/>
    <s v="Dr. Kofi"/>
    <s v="New Patient"/>
    <s v="102"/>
    <x v="4"/>
    <x v="1"/>
    <s v="2024"/>
    <s v="Feb-2024"/>
    <n v="8"/>
  </r>
  <r>
    <x v="92"/>
    <x v="12"/>
    <d v="2024-02-15T00:00:00"/>
    <n v="12"/>
    <x v="0"/>
    <s v="Weekend"/>
    <x v="4"/>
    <n v="14"/>
    <x v="2"/>
    <x v="0"/>
    <n v="84220"/>
    <s v="Moderate Billing"/>
    <s v="Follow-up"/>
    <x v="1"/>
    <s v="Dr. Temi"/>
    <s v="New Patient"/>
    <s v="502"/>
    <x v="5"/>
    <x v="1"/>
    <s v="2024"/>
    <s v="Feb-2024"/>
    <n v="8"/>
  </r>
  <r>
    <x v="93"/>
    <x v="13"/>
    <d v="2024-02-06T00:00:00"/>
    <n v="1"/>
    <x v="0"/>
    <s v="Weekday"/>
    <x v="1"/>
    <n v="16"/>
    <x v="2"/>
    <x v="1"/>
    <n v="85190"/>
    <s v="Moderate Billing"/>
    <s v="Recovered"/>
    <x v="0"/>
    <s v="Dr. Kofi"/>
    <s v="New Patient"/>
    <s v="102"/>
    <x v="3"/>
    <x v="1"/>
    <s v="2024"/>
    <s v="Feb-2024"/>
    <n v="8"/>
  </r>
  <r>
    <x v="94"/>
    <x v="14"/>
    <m/>
    <n v="725"/>
    <x v="1"/>
    <s v="Weekend"/>
    <x v="2"/>
    <n v="18"/>
    <x v="1"/>
    <x v="1"/>
    <n v="86160"/>
    <s v="Moderate Billing"/>
    <s v="Pending"/>
    <x v="0"/>
    <s v="Dr. George"/>
    <s v="New Patient"/>
    <s v="405"/>
    <x v="5"/>
    <x v="1"/>
    <s v="2024"/>
    <s v="Feb-2024"/>
    <n v="8"/>
  </r>
  <r>
    <x v="95"/>
    <x v="10"/>
    <d v="2024-02-05T00:00:00"/>
    <n v="8"/>
    <x v="0"/>
    <s v="Weekend"/>
    <x v="0"/>
    <n v="20"/>
    <x v="1"/>
    <x v="0"/>
    <n v="87130"/>
    <s v="Moderate Billing"/>
    <s v="Follow-up"/>
    <x v="1"/>
    <s v="Dr. Ada"/>
    <s v="New Patient"/>
    <s v="301"/>
    <x v="6"/>
    <x v="0"/>
    <s v="2024"/>
    <s v="Jan-2024"/>
    <n v="8"/>
  </r>
  <r>
    <x v="96"/>
    <x v="11"/>
    <d v="2024-02-02T00:00:00"/>
    <n v="1"/>
    <x v="0"/>
    <s v="Weekday"/>
    <x v="1"/>
    <n v="22"/>
    <x v="1"/>
    <x v="1"/>
    <n v="88100"/>
    <s v="Moderate Billing"/>
    <s v="Recovered"/>
    <x v="0"/>
    <s v="Dr. Kofi"/>
    <s v="New Patient"/>
    <s v="102"/>
    <x v="4"/>
    <x v="1"/>
    <s v="2024"/>
    <s v="Feb-2024"/>
    <n v="8"/>
  </r>
  <r>
    <x v="97"/>
    <x v="12"/>
    <d v="2024-02-15T00:00:00"/>
    <n v="12"/>
    <x v="0"/>
    <s v="Weekend"/>
    <x v="4"/>
    <n v="24"/>
    <x v="1"/>
    <x v="0"/>
    <n v="89070"/>
    <s v="Moderate Billing"/>
    <s v="Follow-up"/>
    <x v="1"/>
    <s v="Dr. Temi"/>
    <s v="New Patient"/>
    <s v="502"/>
    <x v="5"/>
    <x v="1"/>
    <s v="2024"/>
    <s v="Feb-2024"/>
    <n v="8"/>
  </r>
  <r>
    <x v="98"/>
    <x v="13"/>
    <d v="2024-02-06T00:00:00"/>
    <n v="1"/>
    <x v="0"/>
    <s v="Weekday"/>
    <x v="1"/>
    <n v="26"/>
    <x v="1"/>
    <x v="1"/>
    <n v="90040"/>
    <s v="Moderate Billing"/>
    <s v="Recovered"/>
    <x v="0"/>
    <s v="Dr. Kofi"/>
    <s v="New Patient"/>
    <s v="102"/>
    <x v="3"/>
    <x v="1"/>
    <s v="2024"/>
    <s v="Feb-2024"/>
    <n v="8"/>
  </r>
  <r>
    <x v="99"/>
    <x v="14"/>
    <m/>
    <n v="725"/>
    <x v="1"/>
    <s v="Weekend"/>
    <x v="2"/>
    <n v="28"/>
    <x v="1"/>
    <x v="1"/>
    <n v="91010"/>
    <s v="Moderate Billing"/>
    <s v="Pending"/>
    <x v="0"/>
    <s v="Dr. George"/>
    <s v="New Patient"/>
    <s v="405"/>
    <x v="5"/>
    <x v="1"/>
    <s v="2024"/>
    <s v="Feb-2024"/>
    <n v="8"/>
  </r>
  <r>
    <x v="100"/>
    <x v="10"/>
    <d v="2024-02-05T00:00:00"/>
    <n v="8"/>
    <x v="0"/>
    <s v="Weekend"/>
    <x v="0"/>
    <n v="30"/>
    <x v="1"/>
    <x v="0"/>
    <n v="91979.999999999898"/>
    <s v="Moderate Billing"/>
    <s v="Follow-up"/>
    <x v="1"/>
    <s v="Dr. Ada"/>
    <s v="New Patient"/>
    <s v="301"/>
    <x v="6"/>
    <x v="0"/>
    <s v="2024"/>
    <s v="Jan-2024"/>
    <n v="8"/>
  </r>
  <r>
    <x v="101"/>
    <x v="11"/>
    <d v="2024-02-02T00:00:00"/>
    <n v="1"/>
    <x v="0"/>
    <s v="Weekday"/>
    <x v="1"/>
    <n v="32"/>
    <x v="1"/>
    <x v="1"/>
    <n v="92949.999999999898"/>
    <s v="Moderate Billing"/>
    <s v="Recovered"/>
    <x v="0"/>
    <s v="Dr. Kofi"/>
    <s v="New Patient"/>
    <s v="102"/>
    <x v="4"/>
    <x v="1"/>
    <s v="2024"/>
    <s v="Feb-2024"/>
    <n v="8"/>
  </r>
  <r>
    <x v="102"/>
    <x v="12"/>
    <d v="2024-02-15T00:00:00"/>
    <n v="12"/>
    <x v="0"/>
    <s v="Weekend"/>
    <x v="4"/>
    <n v="34"/>
    <x v="1"/>
    <x v="0"/>
    <n v="93919.999999999898"/>
    <s v="Moderate Billing"/>
    <s v="Follow-up"/>
    <x v="1"/>
    <s v="Dr. Temi"/>
    <s v="New Patient"/>
    <s v="502"/>
    <x v="5"/>
    <x v="1"/>
    <s v="2024"/>
    <s v="Feb-2024"/>
    <n v="8"/>
  </r>
  <r>
    <x v="103"/>
    <x v="13"/>
    <d v="2024-02-06T00:00:00"/>
    <n v="1"/>
    <x v="0"/>
    <s v="Weekday"/>
    <x v="1"/>
    <n v="36"/>
    <x v="1"/>
    <x v="1"/>
    <n v="94889.999999999898"/>
    <s v="Moderate Billing"/>
    <s v="Recovered"/>
    <x v="0"/>
    <s v="Dr. Kofi"/>
    <s v="New Patient"/>
    <s v="102"/>
    <x v="3"/>
    <x v="1"/>
    <s v="2024"/>
    <s v="Feb-2024"/>
    <n v="8"/>
  </r>
  <r>
    <x v="104"/>
    <x v="14"/>
    <m/>
    <n v="725"/>
    <x v="1"/>
    <s v="Weekend"/>
    <x v="2"/>
    <n v="38"/>
    <x v="1"/>
    <x v="1"/>
    <n v="95859.999999999898"/>
    <s v="Moderate Billing"/>
    <s v="Pending"/>
    <x v="0"/>
    <s v="Dr. George"/>
    <s v="New Patient"/>
    <s v="405"/>
    <x v="5"/>
    <x v="1"/>
    <s v="2024"/>
    <s v="Feb-2024"/>
    <n v="8"/>
  </r>
  <r>
    <x v="105"/>
    <x v="10"/>
    <d v="2024-02-05T00:00:00"/>
    <n v="8"/>
    <x v="0"/>
    <s v="Weekend"/>
    <x v="0"/>
    <n v="40"/>
    <x v="1"/>
    <x v="0"/>
    <n v="96829.999999999898"/>
    <s v="Moderate Billing"/>
    <s v="Follow-up"/>
    <x v="1"/>
    <s v="Dr. Ada"/>
    <s v="New Patient"/>
    <s v="301"/>
    <x v="6"/>
    <x v="0"/>
    <s v="2024"/>
    <s v="Jan-2024"/>
    <n v="8"/>
  </r>
  <r>
    <x v="106"/>
    <x v="11"/>
    <d v="2024-02-02T00:00:00"/>
    <n v="1"/>
    <x v="0"/>
    <s v="Weekday"/>
    <x v="1"/>
    <n v="42"/>
    <x v="1"/>
    <x v="1"/>
    <n v="97799.999999999898"/>
    <s v="Moderate Billing"/>
    <s v="Recovered"/>
    <x v="0"/>
    <s v="Dr. Kofi"/>
    <s v="New Patient"/>
    <s v="102"/>
    <x v="4"/>
    <x v="1"/>
    <s v="2024"/>
    <s v="Feb-2024"/>
    <n v="8"/>
  </r>
  <r>
    <x v="107"/>
    <x v="12"/>
    <d v="2024-02-15T00:00:00"/>
    <n v="12"/>
    <x v="0"/>
    <s v="Weekend"/>
    <x v="4"/>
    <n v="44"/>
    <x v="1"/>
    <x v="0"/>
    <n v="98769.999999999898"/>
    <s v="Moderate Billing"/>
    <s v="Follow-up"/>
    <x v="1"/>
    <s v="Dr. Temi"/>
    <s v="New Patient"/>
    <s v="502"/>
    <x v="5"/>
    <x v="1"/>
    <s v="2024"/>
    <s v="Feb-2024"/>
    <n v="8"/>
  </r>
  <r>
    <x v="108"/>
    <x v="13"/>
    <d v="2024-02-06T00:00:00"/>
    <n v="1"/>
    <x v="0"/>
    <s v="Weekday"/>
    <x v="1"/>
    <n v="46"/>
    <x v="1"/>
    <x v="1"/>
    <n v="99739.999999999898"/>
    <s v="Moderate Billing"/>
    <s v="Recovered"/>
    <x v="0"/>
    <s v="Dr. Kofi"/>
    <s v="New Patient"/>
    <s v="102"/>
    <x v="3"/>
    <x v="1"/>
    <s v="2024"/>
    <s v="Feb-2024"/>
    <n v="8"/>
  </r>
  <r>
    <x v="109"/>
    <x v="11"/>
    <d v="2024-02-02T00:00:00"/>
    <n v="1"/>
    <x v="0"/>
    <s v="Weekday"/>
    <x v="1"/>
    <n v="52"/>
    <x v="0"/>
    <x v="1"/>
    <n v="102650"/>
    <s v="Moderate Billing"/>
    <s v="Recovered"/>
    <x v="0"/>
    <s v="Dr. Kofi"/>
    <s v="New Patient"/>
    <s v="102"/>
    <x v="4"/>
    <x v="1"/>
    <s v="2024"/>
    <s v="Feb-2024"/>
    <n v="8"/>
  </r>
  <r>
    <x v="110"/>
    <x v="12"/>
    <d v="2024-02-15T00:00:00"/>
    <n v="12"/>
    <x v="0"/>
    <s v="Weekend"/>
    <x v="4"/>
    <n v="54"/>
    <x v="0"/>
    <x v="0"/>
    <n v="103620"/>
    <s v="Moderate Billing"/>
    <s v="Follow-up"/>
    <x v="1"/>
    <s v="Dr. Temi"/>
    <s v="New Patient"/>
    <s v="502"/>
    <x v="5"/>
    <x v="1"/>
    <s v="2024"/>
    <s v="Feb-2024"/>
    <n v="8"/>
  </r>
  <r>
    <x v="111"/>
    <x v="13"/>
    <d v="2024-02-06T00:00:00"/>
    <n v="1"/>
    <x v="0"/>
    <s v="Weekday"/>
    <x v="1"/>
    <n v="56"/>
    <x v="0"/>
    <x v="1"/>
    <n v="104590"/>
    <s v="Moderate Billing"/>
    <s v="Recovered"/>
    <x v="0"/>
    <s v="Dr. Kofi"/>
    <s v="New Patient"/>
    <s v="102"/>
    <x v="3"/>
    <x v="1"/>
    <s v="2024"/>
    <s v="Feb-2024"/>
    <n v="8"/>
  </r>
  <r>
    <x v="112"/>
    <x v="14"/>
    <m/>
    <n v="725"/>
    <x v="1"/>
    <s v="Weekend"/>
    <x v="2"/>
    <n v="58"/>
    <x v="0"/>
    <x v="1"/>
    <n v="105560"/>
    <s v="Moderate Billing"/>
    <s v="Pending"/>
    <x v="0"/>
    <s v="Dr. George"/>
    <s v="New Patient"/>
    <s v="405"/>
    <x v="5"/>
    <x v="1"/>
    <s v="2024"/>
    <s v="Feb-2024"/>
    <n v="8"/>
  </r>
  <r>
    <x v="113"/>
    <x v="10"/>
    <d v="2024-02-05T00:00:00"/>
    <n v="8"/>
    <x v="0"/>
    <s v="Weekend"/>
    <x v="0"/>
    <n v="60"/>
    <x v="0"/>
    <x v="0"/>
    <n v="106530"/>
    <s v="Moderate Billing"/>
    <s v="Follow-up"/>
    <x v="1"/>
    <s v="Dr. Ada"/>
    <s v="New Patient"/>
    <s v="301"/>
    <x v="6"/>
    <x v="0"/>
    <s v="2024"/>
    <s v="Jan-2024"/>
    <n v="8"/>
  </r>
  <r>
    <x v="114"/>
    <x v="11"/>
    <d v="2024-02-02T00:00:00"/>
    <n v="1"/>
    <x v="0"/>
    <s v="Weekday"/>
    <x v="1"/>
    <n v="62"/>
    <x v="0"/>
    <x v="1"/>
    <n v="107500"/>
    <s v="Moderate Billing"/>
    <s v="Recovered"/>
    <x v="0"/>
    <s v="Dr. Kofi"/>
    <s v="New Patient"/>
    <s v="102"/>
    <x v="4"/>
    <x v="1"/>
    <s v="2024"/>
    <s v="Feb-2024"/>
    <n v="8"/>
  </r>
  <r>
    <x v="115"/>
    <x v="12"/>
    <d v="2024-02-15T00:00:00"/>
    <n v="12"/>
    <x v="0"/>
    <s v="Weekend"/>
    <x v="4"/>
    <n v="64"/>
    <x v="0"/>
    <x v="0"/>
    <n v="108470"/>
    <s v="Moderate Billing"/>
    <s v="Follow-up"/>
    <x v="1"/>
    <s v="Dr. Temi"/>
    <s v="New Patient"/>
    <s v="502"/>
    <x v="5"/>
    <x v="1"/>
    <s v="2024"/>
    <s v="Feb-2024"/>
    <n v="8"/>
  </r>
  <r>
    <x v="116"/>
    <x v="13"/>
    <d v="2024-02-06T00:00:00"/>
    <n v="1"/>
    <x v="0"/>
    <s v="Weekday"/>
    <x v="1"/>
    <n v="66"/>
    <x v="0"/>
    <x v="1"/>
    <n v="109440"/>
    <s v="Moderate Billing"/>
    <s v="Recovered"/>
    <x v="0"/>
    <s v="Dr. Kofi"/>
    <s v="New Patient"/>
    <s v="102"/>
    <x v="3"/>
    <x v="1"/>
    <s v="2024"/>
    <s v="Feb-2024"/>
    <n v="8"/>
  </r>
  <r>
    <x v="117"/>
    <x v="14"/>
    <m/>
    <n v="725"/>
    <x v="1"/>
    <s v="Weekend"/>
    <x v="2"/>
    <n v="68"/>
    <x v="0"/>
    <x v="1"/>
    <n v="110410"/>
    <s v="Moderate Billing"/>
    <s v="Pending"/>
    <x v="0"/>
    <s v="Dr. George"/>
    <s v="New Patient"/>
    <s v="405"/>
    <x v="5"/>
    <x v="1"/>
    <s v="2024"/>
    <s v="Feb-2024"/>
    <n v="8"/>
  </r>
  <r>
    <x v="118"/>
    <x v="10"/>
    <d v="2024-02-05T00:00:00"/>
    <n v="8"/>
    <x v="0"/>
    <s v="Weekend"/>
    <x v="0"/>
    <n v="70"/>
    <x v="0"/>
    <x v="0"/>
    <n v="111380"/>
    <s v="Moderate Billing"/>
    <s v="Follow-up"/>
    <x v="1"/>
    <s v="Dr. Ada"/>
    <s v="New Patient"/>
    <s v="301"/>
    <x v="6"/>
    <x v="0"/>
    <s v="2024"/>
    <s v="Jan-2024"/>
    <n v="8"/>
  </r>
  <r>
    <x v="119"/>
    <x v="11"/>
    <d v="2024-02-02T00:00:00"/>
    <n v="1"/>
    <x v="0"/>
    <s v="Weekday"/>
    <x v="1"/>
    <n v="72"/>
    <x v="0"/>
    <x v="1"/>
    <n v="112350"/>
    <s v="Moderate Billing"/>
    <s v="Recovered"/>
    <x v="0"/>
    <s v="Dr. Kofi"/>
    <s v="New Patient"/>
    <s v="102"/>
    <x v="4"/>
    <x v="1"/>
    <s v="2024"/>
    <s v="Feb-2024"/>
    <n v="8"/>
  </r>
  <r>
    <x v="120"/>
    <x v="12"/>
    <d v="2024-02-15T00:00:00"/>
    <n v="12"/>
    <x v="0"/>
    <s v="Weekend"/>
    <x v="4"/>
    <n v="74"/>
    <x v="0"/>
    <x v="0"/>
    <n v="113320"/>
    <s v="Moderate Billing"/>
    <s v="Follow-up"/>
    <x v="1"/>
    <s v="Dr. Temi"/>
    <s v="New Patient"/>
    <s v="502"/>
    <x v="5"/>
    <x v="1"/>
    <s v="2024"/>
    <s v="Feb-2024"/>
    <n v="8"/>
  </r>
  <r>
    <x v="121"/>
    <x v="13"/>
    <d v="2024-02-06T00:00:00"/>
    <n v="1"/>
    <x v="0"/>
    <s v="Weekday"/>
    <x v="1"/>
    <n v="76"/>
    <x v="0"/>
    <x v="1"/>
    <n v="114290"/>
    <s v="Moderate Billing"/>
    <s v="Recovered"/>
    <x v="0"/>
    <s v="Dr. Kofi"/>
    <s v="New Patient"/>
    <s v="102"/>
    <x v="3"/>
    <x v="1"/>
    <s v="2024"/>
    <s v="Feb-2024"/>
    <n v="8"/>
  </r>
  <r>
    <x v="122"/>
    <x v="14"/>
    <m/>
    <n v="725"/>
    <x v="1"/>
    <s v="Weekend"/>
    <x v="2"/>
    <n v="78"/>
    <x v="0"/>
    <x v="1"/>
    <n v="115260"/>
    <s v="Moderate Billing"/>
    <s v="Pending"/>
    <x v="0"/>
    <s v="Dr. George"/>
    <s v="New Patient"/>
    <s v="405"/>
    <x v="5"/>
    <x v="1"/>
    <s v="2024"/>
    <s v="Feb-2024"/>
    <n v="8"/>
  </r>
  <r>
    <x v="123"/>
    <x v="10"/>
    <d v="2024-02-05T00:00:00"/>
    <n v="8"/>
    <x v="0"/>
    <s v="Weekend"/>
    <x v="0"/>
    <n v="80"/>
    <x v="0"/>
    <x v="0"/>
    <n v="116230"/>
    <s v="Moderate Billing"/>
    <s v="Follow-up"/>
    <x v="1"/>
    <s v="Dr. Ada"/>
    <s v="New Patient"/>
    <s v="301"/>
    <x v="6"/>
    <x v="0"/>
    <s v="2024"/>
    <s v="Jan-2024"/>
    <n v="8"/>
  </r>
  <r>
    <x v="124"/>
    <x v="11"/>
    <d v="2024-02-02T00:00:00"/>
    <n v="1"/>
    <x v="0"/>
    <s v="Weekday"/>
    <x v="1"/>
    <n v="82"/>
    <x v="0"/>
    <x v="1"/>
    <n v="117200"/>
    <s v="Moderate Billing"/>
    <s v="Recovered"/>
    <x v="0"/>
    <s v="Dr. Kofi"/>
    <s v="New Patient"/>
    <s v="102"/>
    <x v="4"/>
    <x v="1"/>
    <s v="2024"/>
    <s v="Feb-2024"/>
    <n v="8"/>
  </r>
  <r>
    <x v="125"/>
    <x v="12"/>
    <d v="2024-02-15T00:00:00"/>
    <n v="12"/>
    <x v="0"/>
    <s v="Weekend"/>
    <x v="4"/>
    <n v="84"/>
    <x v="0"/>
    <x v="0"/>
    <n v="118170"/>
    <s v="Moderate Billing"/>
    <s v="Follow-up"/>
    <x v="1"/>
    <s v="Dr. Temi"/>
    <s v="New Patient"/>
    <s v="502"/>
    <x v="5"/>
    <x v="1"/>
    <s v="2024"/>
    <s v="Feb-2024"/>
    <n v="8"/>
  </r>
  <r>
    <x v="126"/>
    <x v="13"/>
    <d v="2024-02-06T00:00:00"/>
    <n v="1"/>
    <x v="0"/>
    <s v="Weekday"/>
    <x v="1"/>
    <n v="86"/>
    <x v="0"/>
    <x v="1"/>
    <n v="119140"/>
    <s v="Moderate Billing"/>
    <s v="Recovered"/>
    <x v="0"/>
    <s v="Dr. Kofi"/>
    <s v="New Patient"/>
    <s v="102"/>
    <x v="3"/>
    <x v="1"/>
    <s v="2024"/>
    <s v="Feb-2024"/>
    <n v="8"/>
  </r>
  <r>
    <x v="127"/>
    <x v="14"/>
    <m/>
    <n v="725"/>
    <x v="1"/>
    <s v="Weekend"/>
    <x v="2"/>
    <n v="88"/>
    <x v="0"/>
    <x v="1"/>
    <n v="120110"/>
    <s v="Moderate Billing"/>
    <s v="Pending"/>
    <x v="0"/>
    <s v="Dr. George"/>
    <s v="New Patient"/>
    <s v="405"/>
    <x v="5"/>
    <x v="1"/>
    <s v="2024"/>
    <s v="Feb-2024"/>
    <n v="8"/>
  </r>
  <r>
    <x v="128"/>
    <x v="10"/>
    <d v="2024-02-05T00:00:00"/>
    <n v="8"/>
    <x v="0"/>
    <s v="Weekend"/>
    <x v="0"/>
    <n v="90"/>
    <x v="0"/>
    <x v="0"/>
    <n v="121080"/>
    <s v="Moderate Billing"/>
    <s v="Follow-up"/>
    <x v="1"/>
    <s v="Dr. Ada"/>
    <s v="New Patient"/>
    <s v="301"/>
    <x v="6"/>
    <x v="0"/>
    <s v="2024"/>
    <s v="Jan-2024"/>
    <n v="8"/>
  </r>
  <r>
    <x v="129"/>
    <x v="11"/>
    <d v="2024-02-02T00:00:00"/>
    <n v="1"/>
    <x v="0"/>
    <s v="Weekday"/>
    <x v="1"/>
    <n v="92"/>
    <x v="0"/>
    <x v="1"/>
    <n v="122050"/>
    <s v="Moderate Billing"/>
    <s v="Recovered"/>
    <x v="0"/>
    <s v="Dr. Kofi"/>
    <s v="New Patient"/>
    <s v="102"/>
    <x v="4"/>
    <x v="1"/>
    <s v="2024"/>
    <s v="Feb-2024"/>
    <n v="8"/>
  </r>
  <r>
    <x v="130"/>
    <x v="12"/>
    <d v="2024-02-15T00:00:00"/>
    <n v="12"/>
    <x v="0"/>
    <s v="Weekend"/>
    <x v="4"/>
    <n v="94"/>
    <x v="0"/>
    <x v="0"/>
    <n v="123020"/>
    <s v="Moderate Billing"/>
    <s v="Follow-up"/>
    <x v="1"/>
    <s v="Dr. Temi"/>
    <s v="New Patient"/>
    <s v="502"/>
    <x v="5"/>
    <x v="1"/>
    <s v="2024"/>
    <s v="Feb-2024"/>
    <n v="8"/>
  </r>
  <r>
    <x v="131"/>
    <x v="13"/>
    <d v="2024-02-06T00:00:00"/>
    <n v="1"/>
    <x v="0"/>
    <s v="Weekday"/>
    <x v="1"/>
    <n v="96"/>
    <x v="0"/>
    <x v="1"/>
    <n v="123990"/>
    <s v="Moderate Billing"/>
    <s v="Recovered"/>
    <x v="0"/>
    <s v="Dr. Kofi"/>
    <s v="New Patient"/>
    <s v="102"/>
    <x v="3"/>
    <x v="1"/>
    <s v="2024"/>
    <s v="Feb-2024"/>
    <n v="8"/>
  </r>
  <r>
    <x v="132"/>
    <x v="14"/>
    <m/>
    <n v="725"/>
    <x v="1"/>
    <s v="Weekend"/>
    <x v="2"/>
    <n v="98"/>
    <x v="0"/>
    <x v="1"/>
    <n v="124960"/>
    <s v="Moderate Billing"/>
    <s v="Pending"/>
    <x v="0"/>
    <s v="Dr. George"/>
    <s v="New Patient"/>
    <s v="405"/>
    <x v="5"/>
    <x v="1"/>
    <s v="2024"/>
    <s v="Feb-2024"/>
    <n v="8"/>
  </r>
  <r>
    <x v="133"/>
    <x v="10"/>
    <d v="2024-02-05T00:00:00"/>
    <n v="8"/>
    <x v="0"/>
    <s v="Weekend"/>
    <x v="0"/>
    <n v="100"/>
    <x v="0"/>
    <x v="0"/>
    <n v="125930"/>
    <s v="Moderate Billing"/>
    <s v="Follow-up"/>
    <x v="1"/>
    <s v="Dr. Ada"/>
    <s v="New Patient"/>
    <s v="301"/>
    <x v="6"/>
    <x v="0"/>
    <s v="2024"/>
    <s v="Jan-2024"/>
    <n v="8"/>
  </r>
  <r>
    <x v="134"/>
    <x v="11"/>
    <d v="2024-02-02T00:00:00"/>
    <n v="1"/>
    <x v="0"/>
    <s v="Weekday"/>
    <x v="1"/>
    <n v="2"/>
    <x v="2"/>
    <x v="1"/>
    <n v="126900"/>
    <s v="Moderate Billing"/>
    <s v="Recovered"/>
    <x v="0"/>
    <s v="Dr. Kofi"/>
    <s v="New Patient"/>
    <s v="102"/>
    <x v="4"/>
    <x v="1"/>
    <s v="2024"/>
    <s v="Feb-2024"/>
    <n v="8"/>
  </r>
  <r>
    <x v="135"/>
    <x v="12"/>
    <d v="2024-02-15T00:00:00"/>
    <n v="12"/>
    <x v="0"/>
    <s v="Weekend"/>
    <x v="4"/>
    <n v="4"/>
    <x v="2"/>
    <x v="0"/>
    <n v="127870"/>
    <s v="Moderate Billing"/>
    <s v="Follow-up"/>
    <x v="1"/>
    <s v="Dr. Temi"/>
    <s v="New Patient"/>
    <s v="502"/>
    <x v="5"/>
    <x v="1"/>
    <s v="2024"/>
    <s v="Feb-2024"/>
    <n v="8"/>
  </r>
  <r>
    <x v="136"/>
    <x v="13"/>
    <d v="2024-02-06T00:00:00"/>
    <n v="1"/>
    <x v="0"/>
    <s v="Weekday"/>
    <x v="1"/>
    <n v="6"/>
    <x v="2"/>
    <x v="1"/>
    <n v="128840"/>
    <s v="Moderate Billing"/>
    <s v="Recovered"/>
    <x v="0"/>
    <s v="Dr. Kofi"/>
    <s v="New Patient"/>
    <s v="102"/>
    <x v="3"/>
    <x v="1"/>
    <s v="2024"/>
    <s v="Feb-2024"/>
    <n v="8"/>
  </r>
  <r>
    <x v="137"/>
    <x v="14"/>
    <m/>
    <n v="725"/>
    <x v="1"/>
    <s v="Weekend"/>
    <x v="2"/>
    <n v="8"/>
    <x v="2"/>
    <x v="1"/>
    <n v="129810"/>
    <s v="Moderate Billing"/>
    <s v="Pending"/>
    <x v="0"/>
    <s v="Dr. George"/>
    <s v="New Patient"/>
    <s v="405"/>
    <x v="5"/>
    <x v="1"/>
    <s v="2024"/>
    <s v="Feb-2024"/>
    <n v="8"/>
  </r>
  <r>
    <x v="138"/>
    <x v="10"/>
    <d v="2024-02-05T00:00:00"/>
    <n v="8"/>
    <x v="0"/>
    <s v="Weekend"/>
    <x v="0"/>
    <n v="10"/>
    <x v="2"/>
    <x v="0"/>
    <n v="130780"/>
    <s v="Moderate Billing"/>
    <s v="Follow-up"/>
    <x v="1"/>
    <s v="Dr. Ada"/>
    <s v="New Patient"/>
    <s v="301"/>
    <x v="6"/>
    <x v="0"/>
    <s v="2024"/>
    <s v="Jan-2024"/>
    <n v="8"/>
  </r>
  <r>
    <x v="139"/>
    <x v="11"/>
    <d v="2024-02-02T00:00:00"/>
    <n v="1"/>
    <x v="0"/>
    <s v="Weekday"/>
    <x v="1"/>
    <n v="12"/>
    <x v="2"/>
    <x v="1"/>
    <n v="131750"/>
    <s v="Moderate Billing"/>
    <s v="Recovered"/>
    <x v="0"/>
    <s v="Dr. Kofi"/>
    <s v="New Patient"/>
    <s v="102"/>
    <x v="4"/>
    <x v="1"/>
    <s v="2024"/>
    <s v="Feb-2024"/>
    <n v="8"/>
  </r>
  <r>
    <x v="140"/>
    <x v="12"/>
    <d v="2024-02-15T00:00:00"/>
    <n v="12"/>
    <x v="0"/>
    <s v="Weekend"/>
    <x v="4"/>
    <n v="14"/>
    <x v="2"/>
    <x v="0"/>
    <n v="132720"/>
    <s v="Moderate Billing"/>
    <s v="Follow-up"/>
    <x v="1"/>
    <s v="Dr. Temi"/>
    <s v="New Patient"/>
    <s v="502"/>
    <x v="5"/>
    <x v="1"/>
    <s v="2024"/>
    <s v="Feb-2024"/>
    <n v="8"/>
  </r>
  <r>
    <x v="141"/>
    <x v="13"/>
    <d v="2024-02-06T00:00:00"/>
    <n v="1"/>
    <x v="0"/>
    <s v="Weekday"/>
    <x v="1"/>
    <n v="16"/>
    <x v="2"/>
    <x v="1"/>
    <n v="133690"/>
    <s v="Moderate Billing"/>
    <s v="Recovered"/>
    <x v="0"/>
    <s v="Dr. Kofi"/>
    <s v="New Patient"/>
    <s v="102"/>
    <x v="3"/>
    <x v="1"/>
    <s v="2024"/>
    <s v="Feb-2024"/>
    <n v="8"/>
  </r>
  <r>
    <x v="142"/>
    <x v="14"/>
    <m/>
    <n v="725"/>
    <x v="1"/>
    <s v="Weekend"/>
    <x v="2"/>
    <n v="18"/>
    <x v="1"/>
    <x v="1"/>
    <n v="134660"/>
    <s v="Moderate Billing"/>
    <s v="Pending"/>
    <x v="0"/>
    <s v="Dr. George"/>
    <s v="New Patient"/>
    <s v="405"/>
    <x v="5"/>
    <x v="1"/>
    <s v="2024"/>
    <s v="Feb-2024"/>
    <n v="8"/>
  </r>
  <r>
    <x v="143"/>
    <x v="10"/>
    <d v="2024-02-05T00:00:00"/>
    <n v="8"/>
    <x v="0"/>
    <s v="Weekend"/>
    <x v="0"/>
    <n v="20"/>
    <x v="1"/>
    <x v="0"/>
    <n v="135630"/>
    <s v="Moderate Billing"/>
    <s v="Follow-up"/>
    <x v="1"/>
    <s v="Dr. Ada"/>
    <s v="New Patient"/>
    <s v="301"/>
    <x v="6"/>
    <x v="0"/>
    <s v="2024"/>
    <s v="Jan-2024"/>
    <n v="8"/>
  </r>
  <r>
    <x v="144"/>
    <x v="11"/>
    <d v="2024-02-02T00:00:00"/>
    <n v="1"/>
    <x v="0"/>
    <s v="Weekday"/>
    <x v="1"/>
    <n v="22"/>
    <x v="1"/>
    <x v="1"/>
    <n v="136600"/>
    <s v="Moderate Billing"/>
    <s v="Recovered"/>
    <x v="0"/>
    <s v="Dr. Kofi"/>
    <s v="New Patient"/>
    <s v="102"/>
    <x v="4"/>
    <x v="1"/>
    <s v="2024"/>
    <s v="Feb-2024"/>
    <n v="8"/>
  </r>
  <r>
    <x v="145"/>
    <x v="12"/>
    <d v="2024-02-15T00:00:00"/>
    <n v="12"/>
    <x v="0"/>
    <s v="Weekend"/>
    <x v="4"/>
    <n v="24"/>
    <x v="1"/>
    <x v="0"/>
    <n v="137570"/>
    <s v="Moderate Billing"/>
    <s v="Follow-up"/>
    <x v="1"/>
    <s v="Dr. Temi"/>
    <s v="New Patient"/>
    <s v="502"/>
    <x v="5"/>
    <x v="1"/>
    <s v="2024"/>
    <s v="Feb-2024"/>
    <n v="8"/>
  </r>
  <r>
    <x v="146"/>
    <x v="13"/>
    <d v="2024-02-06T00:00:00"/>
    <n v="1"/>
    <x v="0"/>
    <s v="Weekday"/>
    <x v="1"/>
    <n v="26"/>
    <x v="1"/>
    <x v="1"/>
    <n v="138540"/>
    <s v="Moderate Billing"/>
    <s v="Recovered"/>
    <x v="0"/>
    <s v="Dr. Kofi"/>
    <s v="New Patient"/>
    <s v="102"/>
    <x v="3"/>
    <x v="1"/>
    <s v="2024"/>
    <s v="Feb-2024"/>
    <n v="8"/>
  </r>
  <r>
    <x v="147"/>
    <x v="14"/>
    <m/>
    <n v="725"/>
    <x v="1"/>
    <s v="Weekend"/>
    <x v="2"/>
    <n v="28"/>
    <x v="1"/>
    <x v="1"/>
    <n v="139510"/>
    <s v="Moderate Billing"/>
    <s v="Pending"/>
    <x v="0"/>
    <s v="Dr. George"/>
    <s v="New Patient"/>
    <s v="405"/>
    <x v="5"/>
    <x v="1"/>
    <s v="2024"/>
    <s v="Feb-2024"/>
    <n v="8"/>
  </r>
  <r>
    <x v="148"/>
    <x v="10"/>
    <d v="2024-02-05T00:00:00"/>
    <n v="8"/>
    <x v="0"/>
    <s v="Weekend"/>
    <x v="0"/>
    <n v="30"/>
    <x v="1"/>
    <x v="0"/>
    <n v="140480"/>
    <s v="Moderate Billing"/>
    <s v="Follow-up"/>
    <x v="1"/>
    <s v="Dr. Ada"/>
    <s v="New Patient"/>
    <s v="301"/>
    <x v="6"/>
    <x v="0"/>
    <s v="2024"/>
    <s v="Jan-2024"/>
    <n v="8"/>
  </r>
  <r>
    <x v="149"/>
    <x v="11"/>
    <d v="2024-02-02T00:00:00"/>
    <n v="1"/>
    <x v="0"/>
    <s v="Weekday"/>
    <x v="1"/>
    <n v="32"/>
    <x v="1"/>
    <x v="1"/>
    <n v="141450"/>
    <s v="Moderate Billing"/>
    <s v="Recovered"/>
    <x v="0"/>
    <s v="Dr. Kofi"/>
    <s v="New Patient"/>
    <s v="102"/>
    <x v="4"/>
    <x v="1"/>
    <s v="2024"/>
    <s v="Feb-2024"/>
    <n v="8"/>
  </r>
  <r>
    <x v="150"/>
    <x v="12"/>
    <d v="2024-02-15T00:00:00"/>
    <n v="12"/>
    <x v="0"/>
    <s v="Weekend"/>
    <x v="4"/>
    <n v="34"/>
    <x v="1"/>
    <x v="0"/>
    <n v="142420"/>
    <s v="Moderate Billing"/>
    <s v="Follow-up"/>
    <x v="1"/>
    <s v="Dr. Temi"/>
    <s v="New Patient"/>
    <s v="502"/>
    <x v="5"/>
    <x v="1"/>
    <s v="2024"/>
    <s v="Feb-2024"/>
    <n v="8"/>
  </r>
  <r>
    <x v="151"/>
    <x v="13"/>
    <d v="2024-02-06T00:00:00"/>
    <n v="1"/>
    <x v="0"/>
    <s v="Weekday"/>
    <x v="1"/>
    <n v="36"/>
    <x v="1"/>
    <x v="1"/>
    <n v="143390"/>
    <s v="Moderate Billing"/>
    <s v="Recovered"/>
    <x v="0"/>
    <s v="Dr. Kofi"/>
    <s v="New Patient"/>
    <s v="102"/>
    <x v="3"/>
    <x v="1"/>
    <s v="2024"/>
    <s v="Feb-2024"/>
    <n v="8"/>
  </r>
  <r>
    <x v="152"/>
    <x v="14"/>
    <m/>
    <n v="725"/>
    <x v="1"/>
    <s v="Weekend"/>
    <x v="2"/>
    <n v="38"/>
    <x v="1"/>
    <x v="1"/>
    <n v="144360"/>
    <s v="Moderate Billing"/>
    <s v="Pending"/>
    <x v="0"/>
    <s v="Dr. George"/>
    <s v="New Patient"/>
    <s v="405"/>
    <x v="5"/>
    <x v="1"/>
    <s v="2024"/>
    <s v="Feb-2024"/>
    <n v="8"/>
  </r>
  <r>
    <x v="153"/>
    <x v="10"/>
    <d v="2024-02-05T00:00:00"/>
    <n v="8"/>
    <x v="0"/>
    <s v="Weekend"/>
    <x v="0"/>
    <n v="40"/>
    <x v="1"/>
    <x v="0"/>
    <n v="145330"/>
    <s v="Moderate Billing"/>
    <s v="Follow-up"/>
    <x v="1"/>
    <s v="Dr. Ada"/>
    <s v="New Patient"/>
    <s v="301"/>
    <x v="6"/>
    <x v="0"/>
    <s v="2024"/>
    <s v="Jan-2024"/>
    <n v="8"/>
  </r>
  <r>
    <x v="154"/>
    <x v="11"/>
    <d v="2024-02-02T00:00:00"/>
    <n v="1"/>
    <x v="0"/>
    <s v="Weekday"/>
    <x v="1"/>
    <n v="42"/>
    <x v="1"/>
    <x v="1"/>
    <n v="146300"/>
    <s v="Moderate Billing"/>
    <s v="Recovered"/>
    <x v="0"/>
    <s v="Dr. Kofi"/>
    <s v="New Patient"/>
    <s v="102"/>
    <x v="4"/>
    <x v="1"/>
    <s v="2024"/>
    <s v="Feb-2024"/>
    <n v="8"/>
  </r>
  <r>
    <x v="155"/>
    <x v="12"/>
    <d v="2024-02-15T00:00:00"/>
    <n v="12"/>
    <x v="0"/>
    <s v="Weekend"/>
    <x v="4"/>
    <n v="44"/>
    <x v="1"/>
    <x v="0"/>
    <n v="147270"/>
    <s v="Moderate Billing"/>
    <s v="Follow-up"/>
    <x v="1"/>
    <s v="Dr. Temi"/>
    <s v="New Patient"/>
    <s v="502"/>
    <x v="5"/>
    <x v="1"/>
    <s v="2024"/>
    <s v="Feb-2024"/>
    <n v="8"/>
  </r>
  <r>
    <x v="156"/>
    <x v="13"/>
    <d v="2024-02-06T00:00:00"/>
    <n v="1"/>
    <x v="0"/>
    <s v="Weekday"/>
    <x v="1"/>
    <n v="50"/>
    <x v="0"/>
    <x v="1"/>
    <n v="148240"/>
    <s v="Moderate Billing"/>
    <s v="Recovered"/>
    <x v="0"/>
    <s v="Dr. Kofi"/>
    <s v="New Patient"/>
    <s v="102"/>
    <x v="3"/>
    <x v="1"/>
    <s v="2024"/>
    <s v="Feb-2024"/>
    <n v="8"/>
  </r>
  <r>
    <x v="157"/>
    <x v="14"/>
    <m/>
    <n v="725"/>
    <x v="1"/>
    <s v="Weekend"/>
    <x v="2"/>
    <n v="48"/>
    <x v="1"/>
    <x v="1"/>
    <n v="149210"/>
    <s v="Moderate Billing"/>
    <s v="Pending"/>
    <x v="0"/>
    <s v="Dr. George"/>
    <s v="New Patient"/>
    <s v="405"/>
    <x v="5"/>
    <x v="1"/>
    <s v="2024"/>
    <s v="Feb-2024"/>
    <n v="8"/>
  </r>
  <r>
    <x v="158"/>
    <x v="10"/>
    <d v="2024-02-05T00:00:00"/>
    <n v="8"/>
    <x v="0"/>
    <s v="Weekend"/>
    <x v="0"/>
    <n v="50"/>
    <x v="0"/>
    <x v="0"/>
    <n v="150180"/>
    <s v="Moderate Billing"/>
    <s v="Follow-up"/>
    <x v="1"/>
    <s v="Dr. Ada"/>
    <s v="New Patient"/>
    <s v="301"/>
    <x v="6"/>
    <x v="0"/>
    <s v="2024"/>
    <s v="Jan-2024"/>
    <n v="8"/>
  </r>
  <r>
    <x v="159"/>
    <x v="11"/>
    <d v="2024-02-02T00:00:00"/>
    <n v="1"/>
    <x v="0"/>
    <s v="Weekday"/>
    <x v="1"/>
    <n v="52"/>
    <x v="0"/>
    <x v="1"/>
    <n v="151150"/>
    <s v="Moderate Billing"/>
    <s v="Recovered"/>
    <x v="0"/>
    <s v="Dr. Kofi"/>
    <s v="New Patient"/>
    <s v="102"/>
    <x v="4"/>
    <x v="1"/>
    <s v="2024"/>
    <s v="Feb-2024"/>
    <n v="8"/>
  </r>
  <r>
    <x v="160"/>
    <x v="12"/>
    <d v="2024-02-15T00:00:00"/>
    <n v="12"/>
    <x v="0"/>
    <s v="Weekend"/>
    <x v="4"/>
    <n v="54"/>
    <x v="0"/>
    <x v="0"/>
    <n v="152120"/>
    <s v="Moderate Billing"/>
    <s v="Follow-up"/>
    <x v="1"/>
    <s v="Dr. Temi"/>
    <s v="New Patient"/>
    <s v="502"/>
    <x v="5"/>
    <x v="1"/>
    <s v="2024"/>
    <s v="Feb-2024"/>
    <n v="8"/>
  </r>
  <r>
    <x v="161"/>
    <x v="13"/>
    <d v="2024-02-06T00:00:00"/>
    <n v="1"/>
    <x v="0"/>
    <s v="Weekday"/>
    <x v="1"/>
    <n v="56"/>
    <x v="0"/>
    <x v="1"/>
    <n v="153090"/>
    <s v="Moderate Billing"/>
    <s v="Recovered"/>
    <x v="0"/>
    <s v="Dr. Kofi"/>
    <s v="New Patient"/>
    <s v="102"/>
    <x v="3"/>
    <x v="1"/>
    <s v="2024"/>
    <s v="Feb-2024"/>
    <n v="8"/>
  </r>
  <r>
    <x v="162"/>
    <x v="14"/>
    <m/>
    <n v="725"/>
    <x v="1"/>
    <s v="Weekend"/>
    <x v="2"/>
    <n v="58"/>
    <x v="0"/>
    <x v="1"/>
    <n v="154060"/>
    <s v="Moderate Billing"/>
    <s v="Pending"/>
    <x v="0"/>
    <s v="Dr. George"/>
    <s v="New Patient"/>
    <s v="405"/>
    <x v="5"/>
    <x v="1"/>
    <s v="2024"/>
    <s v="Feb-2024"/>
    <n v="8"/>
  </r>
  <r>
    <x v="163"/>
    <x v="10"/>
    <d v="2024-02-05T00:00:00"/>
    <n v="8"/>
    <x v="0"/>
    <s v="Weekend"/>
    <x v="0"/>
    <n v="60"/>
    <x v="0"/>
    <x v="0"/>
    <n v="155030"/>
    <s v="Moderate Billing"/>
    <s v="Follow-up"/>
    <x v="1"/>
    <s v="Dr. Ada"/>
    <s v="New Patient"/>
    <s v="301"/>
    <x v="6"/>
    <x v="0"/>
    <s v="2024"/>
    <s v="Jan-2024"/>
    <n v="8"/>
  </r>
  <r>
    <x v="164"/>
    <x v="11"/>
    <d v="2024-02-02T00:00:00"/>
    <n v="1"/>
    <x v="0"/>
    <s v="Weekday"/>
    <x v="1"/>
    <n v="62"/>
    <x v="0"/>
    <x v="1"/>
    <n v="156000"/>
    <s v="Moderate Billing"/>
    <s v="Recovered"/>
    <x v="0"/>
    <s v="Dr. Kofi"/>
    <s v="New Patient"/>
    <s v="102"/>
    <x v="4"/>
    <x v="1"/>
    <s v="2024"/>
    <s v="Feb-2024"/>
    <n v="8"/>
  </r>
  <r>
    <x v="165"/>
    <x v="12"/>
    <d v="2024-02-15T00:00:00"/>
    <n v="12"/>
    <x v="0"/>
    <s v="Weekend"/>
    <x v="4"/>
    <n v="64"/>
    <x v="0"/>
    <x v="0"/>
    <n v="156970"/>
    <s v="Moderate Billing"/>
    <s v="Follow-up"/>
    <x v="1"/>
    <s v="Dr. Temi"/>
    <s v="New Patient"/>
    <s v="502"/>
    <x v="5"/>
    <x v="1"/>
    <s v="2024"/>
    <s v="Feb-2024"/>
    <n v="8"/>
  </r>
  <r>
    <x v="166"/>
    <x v="13"/>
    <d v="2024-02-06T00:00:00"/>
    <n v="1"/>
    <x v="0"/>
    <s v="Weekday"/>
    <x v="1"/>
    <n v="66"/>
    <x v="0"/>
    <x v="1"/>
    <n v="157940"/>
    <s v="Moderate Billing"/>
    <s v="Recovered"/>
    <x v="0"/>
    <s v="Dr. Kofi"/>
    <s v="New Patient"/>
    <s v="102"/>
    <x v="3"/>
    <x v="1"/>
    <s v="2024"/>
    <s v="Feb-2024"/>
    <n v="8"/>
  </r>
  <r>
    <x v="167"/>
    <x v="14"/>
    <m/>
    <n v="725"/>
    <x v="1"/>
    <s v="Weekend"/>
    <x v="2"/>
    <n v="68"/>
    <x v="0"/>
    <x v="1"/>
    <n v="158910"/>
    <s v="Moderate Billing"/>
    <s v="Pending"/>
    <x v="0"/>
    <s v="Dr. George"/>
    <s v="New Patient"/>
    <s v="405"/>
    <x v="5"/>
    <x v="1"/>
    <s v="2024"/>
    <s v="Feb-2024"/>
    <n v="8"/>
  </r>
  <r>
    <x v="168"/>
    <x v="10"/>
    <d v="2024-02-05T00:00:00"/>
    <n v="8"/>
    <x v="0"/>
    <s v="Weekend"/>
    <x v="0"/>
    <n v="70"/>
    <x v="0"/>
    <x v="0"/>
    <n v="159880"/>
    <s v="Moderate Billing"/>
    <s v="Follow-up"/>
    <x v="1"/>
    <s v="Dr. Ada"/>
    <s v="New Patient"/>
    <s v="301"/>
    <x v="6"/>
    <x v="0"/>
    <s v="2024"/>
    <s v="Jan-2024"/>
    <n v="8"/>
  </r>
  <r>
    <x v="169"/>
    <x v="11"/>
    <d v="2024-02-02T00:00:00"/>
    <n v="1"/>
    <x v="0"/>
    <s v="Weekday"/>
    <x v="1"/>
    <n v="72"/>
    <x v="0"/>
    <x v="1"/>
    <n v="160850"/>
    <s v="Moderate Billing"/>
    <s v="Recovered"/>
    <x v="0"/>
    <s v="Dr. Kofi"/>
    <s v="New Patient"/>
    <s v="102"/>
    <x v="4"/>
    <x v="1"/>
    <s v="2024"/>
    <s v="Feb-2024"/>
    <n v="8"/>
  </r>
  <r>
    <x v="170"/>
    <x v="12"/>
    <d v="2024-02-15T00:00:00"/>
    <n v="12"/>
    <x v="0"/>
    <s v="Weekend"/>
    <x v="4"/>
    <n v="74"/>
    <x v="0"/>
    <x v="0"/>
    <n v="161820"/>
    <s v="Moderate Billing"/>
    <s v="Follow-up"/>
    <x v="1"/>
    <s v="Dr. Temi"/>
    <s v="New Patient"/>
    <s v="502"/>
    <x v="5"/>
    <x v="1"/>
    <s v="2024"/>
    <s v="Feb-2024"/>
    <n v="8"/>
  </r>
  <r>
    <x v="171"/>
    <x v="13"/>
    <d v="2024-02-06T00:00:00"/>
    <n v="1"/>
    <x v="0"/>
    <s v="Weekday"/>
    <x v="1"/>
    <n v="76"/>
    <x v="0"/>
    <x v="1"/>
    <n v="162790"/>
    <s v="Moderate Billing"/>
    <s v="Recovered"/>
    <x v="0"/>
    <s v="Dr. Kofi"/>
    <s v="New Patient"/>
    <s v="102"/>
    <x v="3"/>
    <x v="1"/>
    <s v="2024"/>
    <s v="Feb-2024"/>
    <n v="8"/>
  </r>
  <r>
    <x v="172"/>
    <x v="14"/>
    <m/>
    <n v="725"/>
    <x v="1"/>
    <s v="Weekend"/>
    <x v="2"/>
    <n v="78"/>
    <x v="0"/>
    <x v="1"/>
    <n v="163760"/>
    <s v="Moderate Billing"/>
    <s v="Pending"/>
    <x v="0"/>
    <s v="Dr. George"/>
    <s v="New Patient"/>
    <s v="405"/>
    <x v="5"/>
    <x v="1"/>
    <s v="2024"/>
    <s v="Feb-2024"/>
    <n v="8"/>
  </r>
  <r>
    <x v="173"/>
    <x v="10"/>
    <d v="2024-02-05T00:00:00"/>
    <n v="8"/>
    <x v="0"/>
    <s v="Weekend"/>
    <x v="0"/>
    <n v="80"/>
    <x v="0"/>
    <x v="0"/>
    <n v="164730"/>
    <s v="Moderate Billing"/>
    <s v="Follow-up"/>
    <x v="1"/>
    <s v="Dr. Ada"/>
    <s v="New Patient"/>
    <s v="301"/>
    <x v="6"/>
    <x v="0"/>
    <s v="2024"/>
    <s v="Jan-2024"/>
    <n v="8"/>
  </r>
  <r>
    <x v="174"/>
    <x v="11"/>
    <d v="2024-02-02T00:00:00"/>
    <n v="1"/>
    <x v="0"/>
    <s v="Weekday"/>
    <x v="1"/>
    <n v="82"/>
    <x v="0"/>
    <x v="1"/>
    <n v="165700"/>
    <s v="Moderate Billing"/>
    <s v="Recovered"/>
    <x v="0"/>
    <s v="Dr. Kofi"/>
    <s v="New Patient"/>
    <s v="102"/>
    <x v="4"/>
    <x v="1"/>
    <s v="2024"/>
    <s v="Feb-2024"/>
    <n v="8"/>
  </r>
  <r>
    <x v="175"/>
    <x v="12"/>
    <d v="2024-02-15T00:00:00"/>
    <n v="12"/>
    <x v="0"/>
    <s v="Weekend"/>
    <x v="4"/>
    <n v="84"/>
    <x v="0"/>
    <x v="0"/>
    <n v="166670"/>
    <s v="Moderate Billing"/>
    <s v="Follow-up"/>
    <x v="1"/>
    <s v="Dr. Temi"/>
    <s v="New Patient"/>
    <s v="502"/>
    <x v="5"/>
    <x v="1"/>
    <s v="2024"/>
    <s v="Feb-2024"/>
    <n v="8"/>
  </r>
  <r>
    <x v="176"/>
    <x v="13"/>
    <d v="2024-02-06T00:00:00"/>
    <n v="1"/>
    <x v="0"/>
    <s v="Weekday"/>
    <x v="1"/>
    <n v="86"/>
    <x v="0"/>
    <x v="1"/>
    <n v="167640"/>
    <s v="Moderate Billing"/>
    <s v="Recovered"/>
    <x v="0"/>
    <s v="Dr. Kofi"/>
    <s v="New Patient"/>
    <s v="102"/>
    <x v="3"/>
    <x v="1"/>
    <s v="2024"/>
    <s v="Feb-2024"/>
    <n v="8"/>
  </r>
  <r>
    <x v="177"/>
    <x v="14"/>
    <m/>
    <n v="725"/>
    <x v="1"/>
    <s v="Weekend"/>
    <x v="2"/>
    <n v="88"/>
    <x v="0"/>
    <x v="1"/>
    <n v="168610"/>
    <s v="Moderate Billing"/>
    <s v="Pending"/>
    <x v="0"/>
    <s v="Dr. George"/>
    <s v="New Patient"/>
    <s v="405"/>
    <x v="5"/>
    <x v="1"/>
    <s v="2024"/>
    <s v="Feb-2024"/>
    <n v="8"/>
  </r>
  <r>
    <x v="178"/>
    <x v="10"/>
    <d v="2024-02-05T00:00:00"/>
    <n v="8"/>
    <x v="0"/>
    <s v="Weekend"/>
    <x v="0"/>
    <n v="90"/>
    <x v="0"/>
    <x v="0"/>
    <n v="169580"/>
    <s v="Moderate Billing"/>
    <s v="Follow-up"/>
    <x v="1"/>
    <s v="Dr. Ada"/>
    <s v="New Patient"/>
    <s v="301"/>
    <x v="6"/>
    <x v="0"/>
    <s v="2024"/>
    <s v="Jan-2024"/>
    <n v="8"/>
  </r>
  <r>
    <x v="179"/>
    <x v="11"/>
    <d v="2024-02-02T00:00:00"/>
    <n v="1"/>
    <x v="0"/>
    <s v="Weekday"/>
    <x v="1"/>
    <n v="92"/>
    <x v="0"/>
    <x v="1"/>
    <n v="170550"/>
    <s v="Moderate Billing"/>
    <s v="Recovered"/>
    <x v="0"/>
    <s v="Dr. Kofi"/>
    <s v="New Patient"/>
    <s v="102"/>
    <x v="4"/>
    <x v="1"/>
    <s v="2024"/>
    <s v="Feb-2024"/>
    <n v="8"/>
  </r>
  <r>
    <x v="180"/>
    <x v="12"/>
    <d v="2024-02-15T00:00:00"/>
    <n v="12"/>
    <x v="0"/>
    <s v="Weekend"/>
    <x v="4"/>
    <n v="94"/>
    <x v="0"/>
    <x v="0"/>
    <n v="171520"/>
    <s v="Moderate Billing"/>
    <s v="Follow-up"/>
    <x v="1"/>
    <s v="Dr. Temi"/>
    <s v="New Patient"/>
    <s v="502"/>
    <x v="5"/>
    <x v="1"/>
    <s v="2024"/>
    <s v="Feb-2024"/>
    <n v="8"/>
  </r>
  <r>
    <x v="181"/>
    <x v="13"/>
    <d v="2024-02-06T00:00:00"/>
    <n v="1"/>
    <x v="0"/>
    <s v="Weekday"/>
    <x v="1"/>
    <n v="96"/>
    <x v="0"/>
    <x v="1"/>
    <n v="172490"/>
    <s v="Moderate Billing"/>
    <s v="Recovered"/>
    <x v="0"/>
    <s v="Dr. Kofi"/>
    <s v="New Patient"/>
    <s v="102"/>
    <x v="3"/>
    <x v="1"/>
    <s v="2024"/>
    <s v="Feb-2024"/>
    <n v="8"/>
  </r>
  <r>
    <x v="182"/>
    <x v="14"/>
    <m/>
    <n v="725"/>
    <x v="1"/>
    <s v="Weekend"/>
    <x v="2"/>
    <n v="98"/>
    <x v="0"/>
    <x v="1"/>
    <n v="173460"/>
    <s v="Moderate Billing"/>
    <s v="Pending"/>
    <x v="0"/>
    <s v="Dr. George"/>
    <s v="New Patient"/>
    <s v="405"/>
    <x v="5"/>
    <x v="1"/>
    <s v="2024"/>
    <s v="Feb-2024"/>
    <n v="8"/>
  </r>
  <r>
    <x v="183"/>
    <x v="10"/>
    <d v="2024-02-05T00:00:00"/>
    <n v="8"/>
    <x v="0"/>
    <s v="Weekend"/>
    <x v="0"/>
    <n v="100"/>
    <x v="0"/>
    <x v="0"/>
    <n v="174430"/>
    <s v="Moderate Billing"/>
    <s v="Follow-up"/>
    <x v="1"/>
    <s v="Dr. Ada"/>
    <s v="New Patient"/>
    <s v="301"/>
    <x v="6"/>
    <x v="0"/>
    <s v="2024"/>
    <s v="Jan-2024"/>
    <n v="8"/>
  </r>
  <r>
    <x v="184"/>
    <x v="11"/>
    <d v="2024-02-02T00:00:00"/>
    <n v="1"/>
    <x v="0"/>
    <s v="Weekday"/>
    <x v="1"/>
    <n v="2"/>
    <x v="2"/>
    <x v="1"/>
    <n v="175400"/>
    <s v="Moderate Billing"/>
    <s v="Recovered"/>
    <x v="0"/>
    <s v="Dr. Kofi"/>
    <s v="New Patient"/>
    <s v="102"/>
    <x v="4"/>
    <x v="1"/>
    <s v="2024"/>
    <s v="Feb-2024"/>
    <n v="8"/>
  </r>
  <r>
    <x v="185"/>
    <x v="12"/>
    <d v="2024-02-15T00:00:00"/>
    <n v="12"/>
    <x v="0"/>
    <s v="Weekend"/>
    <x v="4"/>
    <n v="4"/>
    <x v="2"/>
    <x v="0"/>
    <n v="176370"/>
    <s v="Moderate Billing"/>
    <s v="Follow-up"/>
    <x v="1"/>
    <s v="Dr. Temi"/>
    <s v="New Patient"/>
    <s v="502"/>
    <x v="5"/>
    <x v="1"/>
    <s v="2024"/>
    <s v="Feb-2024"/>
    <n v="8"/>
  </r>
  <r>
    <x v="186"/>
    <x v="13"/>
    <d v="2024-02-06T00:00:00"/>
    <n v="1"/>
    <x v="0"/>
    <s v="Weekday"/>
    <x v="1"/>
    <n v="6"/>
    <x v="2"/>
    <x v="1"/>
    <n v="177340"/>
    <s v="Moderate Billing"/>
    <s v="Recovered"/>
    <x v="0"/>
    <s v="Dr. Kofi"/>
    <s v="New Patient"/>
    <s v="102"/>
    <x v="3"/>
    <x v="1"/>
    <s v="2024"/>
    <s v="Feb-2024"/>
    <n v="8"/>
  </r>
  <r>
    <x v="187"/>
    <x v="14"/>
    <m/>
    <n v="725"/>
    <x v="1"/>
    <s v="Weekend"/>
    <x v="2"/>
    <n v="8"/>
    <x v="2"/>
    <x v="1"/>
    <n v="178310"/>
    <s v="Moderate Billing"/>
    <s v="Pending"/>
    <x v="0"/>
    <s v="Dr. George"/>
    <s v="New Patient"/>
    <s v="405"/>
    <x v="5"/>
    <x v="1"/>
    <s v="2024"/>
    <s v="Feb-2024"/>
    <n v="8"/>
  </r>
  <r>
    <x v="188"/>
    <x v="10"/>
    <d v="2024-02-05T00:00:00"/>
    <n v="8"/>
    <x v="0"/>
    <s v="Weekend"/>
    <x v="0"/>
    <n v="10"/>
    <x v="2"/>
    <x v="0"/>
    <n v="179280"/>
    <s v="Moderate Billing"/>
    <s v="Follow-up"/>
    <x v="1"/>
    <s v="Dr. Ada"/>
    <s v="New Patient"/>
    <s v="301"/>
    <x v="6"/>
    <x v="0"/>
    <s v="2024"/>
    <s v="Jan-2024"/>
    <n v="8"/>
  </r>
  <r>
    <x v="189"/>
    <x v="11"/>
    <d v="2024-02-02T00:00:00"/>
    <n v="1"/>
    <x v="0"/>
    <s v="Weekday"/>
    <x v="1"/>
    <n v="12"/>
    <x v="2"/>
    <x v="1"/>
    <n v="180250"/>
    <s v="Moderate Billing"/>
    <s v="Recovered"/>
    <x v="0"/>
    <s v="Dr. Kofi"/>
    <s v="New Patient"/>
    <s v="102"/>
    <x v="4"/>
    <x v="1"/>
    <s v="2024"/>
    <s v="Feb-2024"/>
    <n v="8"/>
  </r>
  <r>
    <x v="190"/>
    <x v="12"/>
    <d v="2024-02-15T00:00:00"/>
    <n v="12"/>
    <x v="0"/>
    <s v="Weekend"/>
    <x v="4"/>
    <n v="14"/>
    <x v="2"/>
    <x v="0"/>
    <n v="181220"/>
    <s v="Moderate Billing"/>
    <s v="Follow-up"/>
    <x v="1"/>
    <s v="Dr. Temi"/>
    <s v="New Patient"/>
    <s v="502"/>
    <x v="5"/>
    <x v="1"/>
    <s v="2024"/>
    <s v="Feb-2024"/>
    <n v="8"/>
  </r>
  <r>
    <x v="191"/>
    <x v="13"/>
    <d v="2024-02-06T00:00:00"/>
    <n v="1"/>
    <x v="0"/>
    <s v="Weekday"/>
    <x v="1"/>
    <n v="16"/>
    <x v="2"/>
    <x v="1"/>
    <n v="182190"/>
    <s v="Moderate Billing"/>
    <s v="Recovered"/>
    <x v="0"/>
    <s v="Dr. Kofi"/>
    <s v="New Patient"/>
    <s v="102"/>
    <x v="3"/>
    <x v="1"/>
    <s v="2024"/>
    <s v="Feb-2024"/>
    <n v="8"/>
  </r>
  <r>
    <x v="192"/>
    <x v="14"/>
    <m/>
    <n v="725"/>
    <x v="1"/>
    <s v="Weekend"/>
    <x v="2"/>
    <n v="18"/>
    <x v="1"/>
    <x v="1"/>
    <n v="183160"/>
    <s v="Moderate Billing"/>
    <s v="Pending"/>
    <x v="0"/>
    <s v="Dr. George"/>
    <s v="New Patient"/>
    <s v="405"/>
    <x v="5"/>
    <x v="1"/>
    <s v="2024"/>
    <s v="Feb-2024"/>
    <n v="8"/>
  </r>
  <r>
    <x v="193"/>
    <x v="10"/>
    <d v="2024-02-05T00:00:00"/>
    <n v="8"/>
    <x v="0"/>
    <s v="Weekend"/>
    <x v="0"/>
    <n v="20"/>
    <x v="1"/>
    <x v="0"/>
    <n v="184130"/>
    <s v="Moderate Billing"/>
    <s v="Follow-up"/>
    <x v="1"/>
    <s v="Dr. Ada"/>
    <s v="New Patient"/>
    <s v="301"/>
    <x v="6"/>
    <x v="0"/>
    <s v="2024"/>
    <s v="Jan-2024"/>
    <n v="8"/>
  </r>
  <r>
    <x v="194"/>
    <x v="11"/>
    <d v="2024-02-02T00:00:00"/>
    <n v="1"/>
    <x v="0"/>
    <s v="Weekday"/>
    <x v="1"/>
    <n v="22"/>
    <x v="1"/>
    <x v="1"/>
    <n v="185100"/>
    <s v="Moderate Billing"/>
    <s v="Recovered"/>
    <x v="0"/>
    <s v="Dr. Kofi"/>
    <s v="New Patient"/>
    <s v="102"/>
    <x v="4"/>
    <x v="1"/>
    <s v="2024"/>
    <s v="Feb-2024"/>
    <n v="8"/>
  </r>
  <r>
    <x v="195"/>
    <x v="12"/>
    <d v="2024-02-15T00:00:00"/>
    <n v="12"/>
    <x v="0"/>
    <s v="Weekend"/>
    <x v="4"/>
    <n v="24"/>
    <x v="1"/>
    <x v="0"/>
    <n v="186070"/>
    <s v="Moderate Billing"/>
    <s v="Follow-up"/>
    <x v="1"/>
    <s v="Dr. Temi"/>
    <s v="New Patient"/>
    <s v="502"/>
    <x v="5"/>
    <x v="1"/>
    <s v="2024"/>
    <s v="Feb-2024"/>
    <n v="8"/>
  </r>
  <r>
    <x v="196"/>
    <x v="13"/>
    <d v="2024-02-06T00:00:00"/>
    <n v="1"/>
    <x v="0"/>
    <s v="Weekday"/>
    <x v="1"/>
    <n v="26"/>
    <x v="1"/>
    <x v="1"/>
    <n v="187040"/>
    <s v="Moderate Billing"/>
    <s v="Recovered"/>
    <x v="0"/>
    <s v="Dr. Kofi"/>
    <s v="New Patient"/>
    <s v="102"/>
    <x v="3"/>
    <x v="1"/>
    <s v="2024"/>
    <s v="Feb-2024"/>
    <n v="8"/>
  </r>
  <r>
    <x v="197"/>
    <x v="14"/>
    <m/>
    <n v="725"/>
    <x v="1"/>
    <s v="Weekend"/>
    <x v="2"/>
    <n v="28"/>
    <x v="1"/>
    <x v="1"/>
    <n v="188010"/>
    <s v="Moderate Billing"/>
    <s v="Pending"/>
    <x v="0"/>
    <s v="Dr. George"/>
    <s v="New Patient"/>
    <s v="405"/>
    <x v="5"/>
    <x v="1"/>
    <s v="2024"/>
    <s v="Feb-2024"/>
    <n v="8"/>
  </r>
  <r>
    <x v="198"/>
    <x v="11"/>
    <d v="2024-02-02T00:00:00"/>
    <n v="1"/>
    <x v="0"/>
    <s v="Weekday"/>
    <x v="1"/>
    <n v="52"/>
    <x v="0"/>
    <x v="1"/>
    <n v="199650"/>
    <s v="Moderate Billing"/>
    <s v="Recovered"/>
    <x v="0"/>
    <s v="Dr. Kofi"/>
    <s v="New Patient"/>
    <s v="102"/>
    <x v="4"/>
    <x v="1"/>
    <s v="2024"/>
    <s v="Feb-2024"/>
    <n v="8"/>
  </r>
  <r>
    <x v="199"/>
    <x v="12"/>
    <d v="2024-02-15T00:00:00"/>
    <n v="12"/>
    <x v="0"/>
    <s v="Weekend"/>
    <x v="4"/>
    <n v="54"/>
    <x v="0"/>
    <x v="0"/>
    <n v="200620"/>
    <s v="High Billing"/>
    <s v="Follow-up"/>
    <x v="1"/>
    <s v="Dr. Temi"/>
    <s v="New Patient"/>
    <s v="502"/>
    <x v="5"/>
    <x v="1"/>
    <s v="2024"/>
    <s v="Feb-2024"/>
    <n v="8"/>
  </r>
  <r>
    <x v="200"/>
    <x v="13"/>
    <d v="2024-02-06T00:00:00"/>
    <n v="1"/>
    <x v="0"/>
    <s v="Weekday"/>
    <x v="1"/>
    <n v="56"/>
    <x v="0"/>
    <x v="1"/>
    <n v="201590"/>
    <s v="High Billing"/>
    <s v="Recovered"/>
    <x v="0"/>
    <s v="Dr. Kofi"/>
    <s v="New Patient"/>
    <s v="102"/>
    <x v="3"/>
    <x v="1"/>
    <s v="2024"/>
    <s v="Feb-2024"/>
    <n v="8"/>
  </r>
  <r>
    <x v="201"/>
    <x v="14"/>
    <m/>
    <n v="725"/>
    <x v="1"/>
    <s v="Weekend"/>
    <x v="2"/>
    <n v="58"/>
    <x v="0"/>
    <x v="1"/>
    <n v="202560"/>
    <s v="High Billing"/>
    <s v="Pending"/>
    <x v="0"/>
    <s v="Dr. George"/>
    <s v="New Patient"/>
    <s v="405"/>
    <x v="5"/>
    <x v="1"/>
    <s v="2024"/>
    <s v="Feb-2024"/>
    <n v="8"/>
  </r>
  <r>
    <x v="202"/>
    <x v="10"/>
    <d v="2024-02-05T00:00:00"/>
    <n v="8"/>
    <x v="0"/>
    <s v="Weekend"/>
    <x v="0"/>
    <n v="60"/>
    <x v="0"/>
    <x v="0"/>
    <n v="203530"/>
    <s v="High Billing"/>
    <s v="Follow-up"/>
    <x v="1"/>
    <s v="Dr. Ada"/>
    <s v="New Patient"/>
    <s v="301"/>
    <x v="6"/>
    <x v="0"/>
    <s v="2024"/>
    <s v="Jan-2024"/>
    <n v="8"/>
  </r>
  <r>
    <x v="203"/>
    <x v="11"/>
    <d v="2024-02-02T00:00:00"/>
    <n v="1"/>
    <x v="0"/>
    <s v="Weekday"/>
    <x v="1"/>
    <n v="62"/>
    <x v="0"/>
    <x v="1"/>
    <n v="204500"/>
    <s v="High Billing"/>
    <s v="Recovered"/>
    <x v="0"/>
    <s v="Dr. Kofi"/>
    <s v="New Patient"/>
    <s v="102"/>
    <x v="4"/>
    <x v="1"/>
    <s v="2024"/>
    <s v="Feb-2024"/>
    <n v="8"/>
  </r>
  <r>
    <x v="204"/>
    <x v="12"/>
    <d v="2024-02-15T00:00:00"/>
    <n v="12"/>
    <x v="0"/>
    <s v="Weekend"/>
    <x v="4"/>
    <n v="64"/>
    <x v="0"/>
    <x v="0"/>
    <n v="205470"/>
    <s v="High Billing"/>
    <s v="Follow-up"/>
    <x v="1"/>
    <s v="Dr. Temi"/>
    <s v="New Patient"/>
    <s v="502"/>
    <x v="5"/>
    <x v="1"/>
    <s v="2024"/>
    <s v="Feb-2024"/>
    <n v="8"/>
  </r>
  <r>
    <x v="205"/>
    <x v="13"/>
    <d v="2024-02-06T00:00:00"/>
    <n v="1"/>
    <x v="0"/>
    <s v="Weekday"/>
    <x v="1"/>
    <n v="66"/>
    <x v="0"/>
    <x v="1"/>
    <n v="206440"/>
    <s v="High Billing"/>
    <s v="Recovered"/>
    <x v="0"/>
    <s v="Dr. Kofi"/>
    <s v="New Patient"/>
    <s v="102"/>
    <x v="3"/>
    <x v="1"/>
    <s v="2024"/>
    <s v="Feb-2024"/>
    <n v="8"/>
  </r>
  <r>
    <x v="206"/>
    <x v="14"/>
    <m/>
    <n v="725"/>
    <x v="1"/>
    <s v="Weekend"/>
    <x v="2"/>
    <n v="68"/>
    <x v="0"/>
    <x v="1"/>
    <n v="207410"/>
    <s v="High Billing"/>
    <s v="Pending"/>
    <x v="0"/>
    <s v="Dr. George"/>
    <s v="New Patient"/>
    <s v="405"/>
    <x v="5"/>
    <x v="1"/>
    <s v="2024"/>
    <s v="Feb-2024"/>
    <n v="8"/>
  </r>
  <r>
    <x v="207"/>
    <x v="10"/>
    <d v="2024-02-05T00:00:00"/>
    <n v="8"/>
    <x v="0"/>
    <s v="Weekend"/>
    <x v="0"/>
    <n v="70"/>
    <x v="0"/>
    <x v="0"/>
    <n v="208380"/>
    <s v="High Billing"/>
    <s v="Follow-up"/>
    <x v="1"/>
    <s v="Dr. Ada"/>
    <s v="New Patient"/>
    <s v="301"/>
    <x v="6"/>
    <x v="0"/>
    <s v="2024"/>
    <s v="Jan-2024"/>
    <n v="8"/>
  </r>
  <r>
    <x v="208"/>
    <x v="11"/>
    <d v="2024-02-02T00:00:00"/>
    <n v="1"/>
    <x v="0"/>
    <s v="Weekday"/>
    <x v="1"/>
    <n v="72"/>
    <x v="0"/>
    <x v="1"/>
    <n v="209350"/>
    <s v="High Billing"/>
    <s v="Recovered"/>
    <x v="0"/>
    <s v="Dr. Kofi"/>
    <s v="New Patient"/>
    <s v="102"/>
    <x v="4"/>
    <x v="1"/>
    <s v="2024"/>
    <s v="Feb-2024"/>
    <n v="8"/>
  </r>
  <r>
    <x v="209"/>
    <x v="12"/>
    <d v="2024-02-15T00:00:00"/>
    <n v="12"/>
    <x v="0"/>
    <s v="Weekend"/>
    <x v="4"/>
    <n v="74"/>
    <x v="0"/>
    <x v="0"/>
    <n v="210320"/>
    <s v="High Billing"/>
    <s v="Follow-up"/>
    <x v="1"/>
    <s v="Dr. Temi"/>
    <s v="New Patient"/>
    <s v="502"/>
    <x v="5"/>
    <x v="1"/>
    <s v="2024"/>
    <s v="Feb-2024"/>
    <n v="8"/>
  </r>
  <r>
    <x v="210"/>
    <x v="13"/>
    <d v="2024-02-06T00:00:00"/>
    <n v="1"/>
    <x v="0"/>
    <s v="Weekday"/>
    <x v="1"/>
    <n v="76"/>
    <x v="0"/>
    <x v="1"/>
    <n v="211290"/>
    <s v="High Billing"/>
    <s v="Recovered"/>
    <x v="0"/>
    <s v="Dr. Kofi"/>
    <s v="New Patient"/>
    <s v="102"/>
    <x v="3"/>
    <x v="1"/>
    <s v="2024"/>
    <s v="Feb-2024"/>
    <n v="8"/>
  </r>
  <r>
    <x v="211"/>
    <x v="14"/>
    <m/>
    <n v="725"/>
    <x v="1"/>
    <s v="Weekend"/>
    <x v="2"/>
    <n v="78"/>
    <x v="0"/>
    <x v="1"/>
    <n v="212260"/>
    <s v="High Billing"/>
    <s v="Pending"/>
    <x v="0"/>
    <s v="Dr. George"/>
    <s v="New Patient"/>
    <s v="405"/>
    <x v="5"/>
    <x v="1"/>
    <s v="2024"/>
    <s v="Feb-2024"/>
    <n v="8"/>
  </r>
  <r>
    <x v="212"/>
    <x v="10"/>
    <d v="2024-02-05T00:00:00"/>
    <n v="8"/>
    <x v="0"/>
    <s v="Weekend"/>
    <x v="0"/>
    <n v="80"/>
    <x v="0"/>
    <x v="0"/>
    <n v="213230"/>
    <s v="High Billing"/>
    <s v="Follow-up"/>
    <x v="1"/>
    <s v="Dr. Ada"/>
    <s v="New Patient"/>
    <s v="301"/>
    <x v="6"/>
    <x v="0"/>
    <s v="2024"/>
    <s v="Jan-2024"/>
    <n v="8"/>
  </r>
  <r>
    <x v="213"/>
    <x v="11"/>
    <d v="2024-02-02T00:00:00"/>
    <n v="1"/>
    <x v="0"/>
    <s v="Weekday"/>
    <x v="1"/>
    <n v="82"/>
    <x v="0"/>
    <x v="1"/>
    <n v="214200"/>
    <s v="High Billing"/>
    <s v="Recovered"/>
    <x v="0"/>
    <s v="Dr. Kofi"/>
    <s v="New Patient"/>
    <s v="102"/>
    <x v="4"/>
    <x v="1"/>
    <s v="2024"/>
    <s v="Feb-2024"/>
    <n v="8"/>
  </r>
  <r>
    <x v="214"/>
    <x v="12"/>
    <d v="2024-02-15T00:00:00"/>
    <n v="12"/>
    <x v="0"/>
    <s v="Weekend"/>
    <x v="4"/>
    <n v="84"/>
    <x v="0"/>
    <x v="0"/>
    <n v="215170"/>
    <s v="High Billing"/>
    <s v="Follow-up"/>
    <x v="1"/>
    <s v="Dr. Temi"/>
    <s v="New Patient"/>
    <s v="502"/>
    <x v="5"/>
    <x v="1"/>
    <s v="2024"/>
    <s v="Feb-2024"/>
    <n v="8"/>
  </r>
  <r>
    <x v="215"/>
    <x v="13"/>
    <d v="2024-02-06T00:00:00"/>
    <n v="1"/>
    <x v="0"/>
    <s v="Weekday"/>
    <x v="1"/>
    <n v="86"/>
    <x v="0"/>
    <x v="1"/>
    <n v="216140"/>
    <s v="High Billing"/>
    <s v="Recovered"/>
    <x v="0"/>
    <s v="Dr. Kofi"/>
    <s v="New Patient"/>
    <s v="102"/>
    <x v="3"/>
    <x v="1"/>
    <s v="2024"/>
    <s v="Feb-2024"/>
    <n v="8"/>
  </r>
  <r>
    <x v="216"/>
    <x v="14"/>
    <m/>
    <n v="725"/>
    <x v="1"/>
    <s v="Weekend"/>
    <x v="2"/>
    <n v="88"/>
    <x v="0"/>
    <x v="1"/>
    <n v="217110"/>
    <s v="High Billing"/>
    <s v="Pending"/>
    <x v="0"/>
    <s v="Dr. George"/>
    <s v="New Patient"/>
    <s v="405"/>
    <x v="5"/>
    <x v="1"/>
    <s v="2024"/>
    <s v="Feb-2024"/>
    <n v="8"/>
  </r>
  <r>
    <x v="217"/>
    <x v="10"/>
    <d v="2024-02-05T00:00:00"/>
    <n v="8"/>
    <x v="0"/>
    <s v="Weekend"/>
    <x v="0"/>
    <n v="90"/>
    <x v="0"/>
    <x v="0"/>
    <n v="218080"/>
    <s v="High Billing"/>
    <s v="Follow-up"/>
    <x v="1"/>
    <s v="Dr. Ada"/>
    <s v="New Patient"/>
    <s v="301"/>
    <x v="6"/>
    <x v="0"/>
    <s v="2024"/>
    <s v="Jan-2024"/>
    <n v="8"/>
  </r>
  <r>
    <x v="218"/>
    <x v="11"/>
    <d v="2024-02-02T00:00:00"/>
    <n v="1"/>
    <x v="0"/>
    <s v="Weekday"/>
    <x v="1"/>
    <n v="92"/>
    <x v="0"/>
    <x v="1"/>
    <n v="219050"/>
    <s v="High Billing"/>
    <s v="Recovered"/>
    <x v="0"/>
    <s v="Dr. Kofi"/>
    <s v="New Patient"/>
    <s v="102"/>
    <x v="4"/>
    <x v="1"/>
    <s v="2024"/>
    <s v="Feb-2024"/>
    <n v="8"/>
  </r>
  <r>
    <x v="219"/>
    <x v="12"/>
    <d v="2024-02-15T00:00:00"/>
    <n v="12"/>
    <x v="0"/>
    <s v="Weekend"/>
    <x v="4"/>
    <n v="94"/>
    <x v="0"/>
    <x v="0"/>
    <n v="220020"/>
    <s v="High Billing"/>
    <s v="Follow-up"/>
    <x v="1"/>
    <s v="Dr. Temi"/>
    <s v="New Patient"/>
    <s v="502"/>
    <x v="5"/>
    <x v="1"/>
    <s v="2024"/>
    <s v="Feb-2024"/>
    <n v="8"/>
  </r>
  <r>
    <x v="220"/>
    <x v="14"/>
    <m/>
    <n v="725"/>
    <x v="1"/>
    <s v="Weekend"/>
    <x v="2"/>
    <n v="98"/>
    <x v="0"/>
    <x v="1"/>
    <n v="221960"/>
    <s v="High Billing"/>
    <s v="Pending"/>
    <x v="0"/>
    <s v="Dr. George"/>
    <s v="New Patient"/>
    <s v="405"/>
    <x v="5"/>
    <x v="1"/>
    <s v="2024"/>
    <s v="Feb-2024"/>
    <n v="8"/>
  </r>
  <r>
    <x v="221"/>
    <x v="10"/>
    <d v="2024-02-05T00:00:00"/>
    <n v="8"/>
    <x v="0"/>
    <s v="Weekend"/>
    <x v="0"/>
    <n v="100"/>
    <x v="0"/>
    <x v="0"/>
    <n v="222930"/>
    <s v="High Billing"/>
    <s v="Follow-up"/>
    <x v="1"/>
    <s v="Dr. Ada"/>
    <s v="New Patient"/>
    <s v="301"/>
    <x v="6"/>
    <x v="0"/>
    <s v="2024"/>
    <s v="Jan-2024"/>
    <n v="8"/>
  </r>
  <r>
    <x v="222"/>
    <x v="11"/>
    <d v="2024-02-02T00:00:00"/>
    <n v="1"/>
    <x v="0"/>
    <s v="Weekday"/>
    <x v="1"/>
    <n v="2"/>
    <x v="2"/>
    <x v="1"/>
    <n v="223900"/>
    <s v="High Billing"/>
    <s v="Recovered"/>
    <x v="0"/>
    <s v="Dr. Kofi"/>
    <s v="New Patient"/>
    <s v="102"/>
    <x v="4"/>
    <x v="1"/>
    <s v="2024"/>
    <s v="Feb-2024"/>
    <n v="8"/>
  </r>
  <r>
    <x v="223"/>
    <x v="12"/>
    <d v="2024-02-15T00:00:00"/>
    <n v="12"/>
    <x v="0"/>
    <s v="Weekend"/>
    <x v="4"/>
    <n v="4"/>
    <x v="2"/>
    <x v="0"/>
    <n v="224870"/>
    <s v="High Billing"/>
    <s v="Follow-up"/>
    <x v="1"/>
    <s v="Dr. Temi"/>
    <s v="New Patient"/>
    <s v="502"/>
    <x v="5"/>
    <x v="1"/>
    <s v="2024"/>
    <s v="Feb-2024"/>
    <n v="8"/>
  </r>
  <r>
    <x v="224"/>
    <x v="13"/>
    <d v="2024-02-06T00:00:00"/>
    <n v="1"/>
    <x v="0"/>
    <s v="Weekday"/>
    <x v="1"/>
    <n v="6"/>
    <x v="2"/>
    <x v="1"/>
    <n v="225840"/>
    <s v="High Billing"/>
    <s v="Recovered"/>
    <x v="0"/>
    <s v="Dr. Kofi"/>
    <s v="New Patient"/>
    <s v="102"/>
    <x v="3"/>
    <x v="1"/>
    <s v="2024"/>
    <s v="Feb-2024"/>
    <n v="8"/>
  </r>
  <r>
    <x v="225"/>
    <x v="14"/>
    <m/>
    <n v="725"/>
    <x v="1"/>
    <s v="Weekend"/>
    <x v="2"/>
    <n v="8"/>
    <x v="2"/>
    <x v="1"/>
    <n v="226810"/>
    <s v="High Billing"/>
    <s v="Pending"/>
    <x v="0"/>
    <s v="Dr. George"/>
    <s v="New Patient"/>
    <s v="405"/>
    <x v="5"/>
    <x v="1"/>
    <s v="2024"/>
    <s v="Feb-2024"/>
    <n v="8"/>
  </r>
  <r>
    <x v="226"/>
    <x v="10"/>
    <d v="2024-02-05T00:00:00"/>
    <n v="8"/>
    <x v="0"/>
    <s v="Weekend"/>
    <x v="0"/>
    <n v="10"/>
    <x v="2"/>
    <x v="0"/>
    <n v="227780"/>
    <s v="High Billing"/>
    <s v="Follow-up"/>
    <x v="1"/>
    <s v="Dr. Ada"/>
    <s v="New Patient"/>
    <s v="301"/>
    <x v="6"/>
    <x v="0"/>
    <s v="2024"/>
    <s v="Jan-2024"/>
    <n v="8"/>
  </r>
  <r>
    <x v="227"/>
    <x v="11"/>
    <d v="2024-02-02T00:00:00"/>
    <n v="1"/>
    <x v="0"/>
    <s v="Weekday"/>
    <x v="1"/>
    <n v="12"/>
    <x v="2"/>
    <x v="1"/>
    <n v="228750"/>
    <s v="High Billing"/>
    <s v="Recovered"/>
    <x v="0"/>
    <s v="Dr. Kofi"/>
    <s v="New Patient"/>
    <s v="102"/>
    <x v="4"/>
    <x v="1"/>
    <s v="2024"/>
    <s v="Feb-2024"/>
    <n v="8"/>
  </r>
  <r>
    <x v="228"/>
    <x v="12"/>
    <d v="2024-02-15T00:00:00"/>
    <n v="12"/>
    <x v="0"/>
    <s v="Weekend"/>
    <x v="4"/>
    <n v="14"/>
    <x v="2"/>
    <x v="0"/>
    <n v="229720"/>
    <s v="High Billing"/>
    <s v="Follow-up"/>
    <x v="1"/>
    <s v="Dr. Temi"/>
    <s v="New Patient"/>
    <s v="502"/>
    <x v="5"/>
    <x v="1"/>
    <s v="2024"/>
    <s v="Feb-2024"/>
    <n v="8"/>
  </r>
  <r>
    <x v="229"/>
    <x v="13"/>
    <d v="2024-02-06T00:00:00"/>
    <n v="1"/>
    <x v="0"/>
    <s v="Weekday"/>
    <x v="1"/>
    <n v="16"/>
    <x v="2"/>
    <x v="1"/>
    <n v="230690"/>
    <s v="High Billing"/>
    <s v="Recovered"/>
    <x v="0"/>
    <s v="Dr. Kofi"/>
    <s v="New Patient"/>
    <s v="102"/>
    <x v="3"/>
    <x v="1"/>
    <s v="2024"/>
    <s v="Feb-2024"/>
    <n v="8"/>
  </r>
  <r>
    <x v="230"/>
    <x v="14"/>
    <m/>
    <n v="725"/>
    <x v="1"/>
    <s v="Weekend"/>
    <x v="2"/>
    <n v="18"/>
    <x v="1"/>
    <x v="1"/>
    <n v="231660"/>
    <s v="High Billing"/>
    <s v="Pending"/>
    <x v="0"/>
    <s v="Dr. George"/>
    <s v="New Patient"/>
    <s v="405"/>
    <x v="5"/>
    <x v="1"/>
    <s v="2024"/>
    <s v="Feb-2024"/>
    <n v="8"/>
  </r>
  <r>
    <x v="231"/>
    <x v="10"/>
    <d v="2024-02-05T00:00:00"/>
    <n v="8"/>
    <x v="0"/>
    <s v="Weekend"/>
    <x v="0"/>
    <n v="20"/>
    <x v="1"/>
    <x v="0"/>
    <n v="232630"/>
    <s v="High Billing"/>
    <s v="Follow-up"/>
    <x v="1"/>
    <s v="Dr. Ada"/>
    <s v="New Patient"/>
    <s v="301"/>
    <x v="6"/>
    <x v="0"/>
    <s v="2024"/>
    <s v="Jan-2024"/>
    <n v="8"/>
  </r>
  <r>
    <x v="232"/>
    <x v="11"/>
    <d v="2024-02-02T00:00:00"/>
    <n v="1"/>
    <x v="0"/>
    <s v="Weekday"/>
    <x v="1"/>
    <n v="22"/>
    <x v="1"/>
    <x v="1"/>
    <n v="233600"/>
    <s v="High Billing"/>
    <s v="Recovered"/>
    <x v="0"/>
    <s v="Dr. Kofi"/>
    <s v="New Patient"/>
    <s v="102"/>
    <x v="4"/>
    <x v="1"/>
    <s v="2024"/>
    <s v="Feb-2024"/>
    <n v="8"/>
  </r>
  <r>
    <x v="233"/>
    <x v="12"/>
    <d v="2024-02-15T00:00:00"/>
    <n v="12"/>
    <x v="0"/>
    <s v="Weekend"/>
    <x v="4"/>
    <n v="24"/>
    <x v="1"/>
    <x v="0"/>
    <n v="234570"/>
    <s v="High Billing"/>
    <s v="Follow-up"/>
    <x v="1"/>
    <s v="Dr. Temi"/>
    <s v="New Patient"/>
    <s v="502"/>
    <x v="5"/>
    <x v="1"/>
    <s v="2024"/>
    <s v="Feb-2024"/>
    <n v="8"/>
  </r>
  <r>
    <x v="234"/>
    <x v="13"/>
    <d v="2024-02-06T00:00:00"/>
    <n v="1"/>
    <x v="0"/>
    <s v="Weekday"/>
    <x v="1"/>
    <n v="26"/>
    <x v="1"/>
    <x v="1"/>
    <n v="235540"/>
    <s v="High Billing"/>
    <s v="Recovered"/>
    <x v="0"/>
    <s v="Dr. Kofi"/>
    <s v="New Patient"/>
    <s v="102"/>
    <x v="3"/>
    <x v="1"/>
    <s v="2024"/>
    <s v="Feb-2024"/>
    <n v="8"/>
  </r>
  <r>
    <x v="235"/>
    <x v="14"/>
    <m/>
    <n v="725"/>
    <x v="1"/>
    <s v="Weekend"/>
    <x v="2"/>
    <n v="28"/>
    <x v="1"/>
    <x v="1"/>
    <n v="236510"/>
    <s v="High Billing"/>
    <s v="Pending"/>
    <x v="0"/>
    <s v="Dr. George"/>
    <s v="New Patient"/>
    <s v="405"/>
    <x v="5"/>
    <x v="1"/>
    <s v="2024"/>
    <s v="Feb-2024"/>
    <n v="8"/>
  </r>
  <r>
    <x v="236"/>
    <x v="10"/>
    <d v="2024-02-05T00:00:00"/>
    <n v="8"/>
    <x v="0"/>
    <s v="Weekend"/>
    <x v="0"/>
    <n v="30"/>
    <x v="1"/>
    <x v="0"/>
    <n v="237480"/>
    <s v="High Billing"/>
    <s v="Follow-up"/>
    <x v="1"/>
    <s v="Dr. Ada"/>
    <s v="New Patient"/>
    <s v="301"/>
    <x v="6"/>
    <x v="0"/>
    <s v="2024"/>
    <s v="Jan-2024"/>
    <n v="8"/>
  </r>
  <r>
    <x v="237"/>
    <x v="11"/>
    <d v="2024-02-02T00:00:00"/>
    <n v="1"/>
    <x v="0"/>
    <s v="Weekday"/>
    <x v="1"/>
    <n v="32"/>
    <x v="1"/>
    <x v="1"/>
    <n v="238450"/>
    <s v="High Billing"/>
    <s v="Recovered"/>
    <x v="0"/>
    <s v="Dr. Kofi"/>
    <s v="New Patient"/>
    <s v="102"/>
    <x v="4"/>
    <x v="1"/>
    <s v="2024"/>
    <s v="Feb-2024"/>
    <n v="8"/>
  </r>
  <r>
    <x v="238"/>
    <x v="12"/>
    <d v="2024-02-15T00:00:00"/>
    <n v="12"/>
    <x v="0"/>
    <s v="Weekend"/>
    <x v="4"/>
    <n v="34"/>
    <x v="1"/>
    <x v="0"/>
    <n v="239420"/>
    <s v="High Billing"/>
    <s v="Follow-up"/>
    <x v="1"/>
    <s v="Dr. Temi"/>
    <s v="New Patient"/>
    <s v="502"/>
    <x v="5"/>
    <x v="1"/>
    <s v="2024"/>
    <s v="Feb-2024"/>
    <n v="8"/>
  </r>
  <r>
    <x v="239"/>
    <x v="13"/>
    <d v="2024-02-06T00:00:00"/>
    <n v="1"/>
    <x v="0"/>
    <s v="Weekday"/>
    <x v="1"/>
    <n v="36"/>
    <x v="1"/>
    <x v="1"/>
    <n v="240390"/>
    <s v="High Billing"/>
    <s v="Recovered"/>
    <x v="0"/>
    <s v="Dr. Kofi"/>
    <s v="New Patient"/>
    <s v="102"/>
    <x v="3"/>
    <x v="1"/>
    <s v="2024"/>
    <s v="Feb-2024"/>
    <n v="8"/>
  </r>
  <r>
    <x v="240"/>
    <x v="14"/>
    <m/>
    <n v="725"/>
    <x v="1"/>
    <s v="Weekend"/>
    <x v="2"/>
    <n v="38"/>
    <x v="1"/>
    <x v="1"/>
    <n v="241360"/>
    <s v="High Billing"/>
    <s v="Pending"/>
    <x v="0"/>
    <s v="Dr. George"/>
    <s v="New Patient"/>
    <s v="405"/>
    <x v="5"/>
    <x v="1"/>
    <s v="2024"/>
    <s v="Feb-2024"/>
    <n v="8"/>
  </r>
  <r>
    <x v="241"/>
    <x v="10"/>
    <d v="2024-02-05T00:00:00"/>
    <n v="8"/>
    <x v="0"/>
    <s v="Weekend"/>
    <x v="0"/>
    <n v="40"/>
    <x v="1"/>
    <x v="0"/>
    <n v="242330"/>
    <s v="High Billing"/>
    <s v="Follow-up"/>
    <x v="1"/>
    <s v="Dr. Ada"/>
    <s v="New Patient"/>
    <s v="301"/>
    <x v="6"/>
    <x v="0"/>
    <s v="2024"/>
    <s v="Jan-2024"/>
    <n v="8"/>
  </r>
  <r>
    <x v="242"/>
    <x v="11"/>
    <d v="2024-02-02T00:00:00"/>
    <n v="1"/>
    <x v="0"/>
    <s v="Weekday"/>
    <x v="1"/>
    <n v="42"/>
    <x v="1"/>
    <x v="1"/>
    <n v="243300"/>
    <s v="High Billing"/>
    <s v="Recovered"/>
    <x v="0"/>
    <s v="Dr. Kofi"/>
    <s v="New Patient"/>
    <s v="102"/>
    <x v="4"/>
    <x v="1"/>
    <s v="2024"/>
    <s v="Feb-2024"/>
    <n v="8"/>
  </r>
  <r>
    <x v="243"/>
    <x v="12"/>
    <d v="2024-02-15T00:00:00"/>
    <n v="12"/>
    <x v="0"/>
    <s v="Weekend"/>
    <x v="4"/>
    <n v="44"/>
    <x v="1"/>
    <x v="0"/>
    <n v="244270"/>
    <s v="High Billing"/>
    <s v="Follow-up"/>
    <x v="1"/>
    <s v="Dr. Temi"/>
    <s v="New Patient"/>
    <s v="502"/>
    <x v="5"/>
    <x v="1"/>
    <s v="2024"/>
    <s v="Feb-2024"/>
    <n v="8"/>
  </r>
  <r>
    <x v="244"/>
    <x v="13"/>
    <d v="2024-02-06T00:00:00"/>
    <n v="1"/>
    <x v="0"/>
    <s v="Weekday"/>
    <x v="1"/>
    <n v="46"/>
    <x v="1"/>
    <x v="1"/>
    <n v="245240"/>
    <s v="High Billing"/>
    <s v="Recovered"/>
    <x v="0"/>
    <s v="Dr. Kofi"/>
    <s v="New Patient"/>
    <s v="102"/>
    <x v="3"/>
    <x v="1"/>
    <s v="2024"/>
    <s v="Feb-2024"/>
    <n v="8"/>
  </r>
  <r>
    <x v="245"/>
    <x v="14"/>
    <m/>
    <n v="725"/>
    <x v="1"/>
    <s v="Weekend"/>
    <x v="2"/>
    <n v="48"/>
    <x v="1"/>
    <x v="1"/>
    <n v="246210"/>
    <s v="High Billing"/>
    <s v="Pending"/>
    <x v="0"/>
    <s v="Dr. George"/>
    <s v="New Patient"/>
    <s v="405"/>
    <x v="5"/>
    <x v="1"/>
    <s v="2024"/>
    <s v="Feb-2024"/>
    <n v="8"/>
  </r>
  <r>
    <x v="246"/>
    <x v="10"/>
    <d v="2024-02-05T00:00:00"/>
    <n v="8"/>
    <x v="0"/>
    <s v="Weekend"/>
    <x v="0"/>
    <n v="50"/>
    <x v="0"/>
    <x v="0"/>
    <n v="247180"/>
    <s v="High Billing"/>
    <s v="Follow-up"/>
    <x v="1"/>
    <s v="Dr. Ada"/>
    <s v="New Patient"/>
    <s v="301"/>
    <x v="6"/>
    <x v="0"/>
    <s v="2024"/>
    <s v="Jan-2024"/>
    <n v="8"/>
  </r>
  <r>
    <x v="247"/>
    <x v="11"/>
    <d v="2024-02-02T00:00:00"/>
    <n v="1"/>
    <x v="0"/>
    <s v="Weekday"/>
    <x v="1"/>
    <n v="52"/>
    <x v="0"/>
    <x v="1"/>
    <n v="248150"/>
    <s v="High Billing"/>
    <s v="Recovered"/>
    <x v="0"/>
    <s v="Dr. Kofi"/>
    <s v="New Patient"/>
    <s v="102"/>
    <x v="4"/>
    <x v="1"/>
    <s v="2024"/>
    <s v="Feb-2024"/>
    <n v="8"/>
  </r>
  <r>
    <x v="248"/>
    <x v="12"/>
    <d v="2024-02-15T00:00:00"/>
    <n v="12"/>
    <x v="0"/>
    <s v="Weekend"/>
    <x v="4"/>
    <n v="54"/>
    <x v="0"/>
    <x v="0"/>
    <n v="249120"/>
    <s v="High Billing"/>
    <s v="Follow-up"/>
    <x v="1"/>
    <s v="Dr. Temi"/>
    <s v="New Patient"/>
    <s v="502"/>
    <x v="5"/>
    <x v="1"/>
    <s v="2024"/>
    <s v="Feb-2024"/>
    <n v="8"/>
  </r>
  <r>
    <x v="249"/>
    <x v="13"/>
    <d v="2024-02-06T00:00:00"/>
    <n v="1"/>
    <x v="0"/>
    <s v="Weekday"/>
    <x v="1"/>
    <n v="56"/>
    <x v="0"/>
    <x v="1"/>
    <n v="250090"/>
    <s v="High Billing"/>
    <s v="Recovered"/>
    <x v="0"/>
    <s v="Dr. Kofi"/>
    <s v="New Patient"/>
    <s v="102"/>
    <x v="3"/>
    <x v="1"/>
    <s v="2024"/>
    <s v="Feb-2024"/>
    <n v="8"/>
  </r>
  <r>
    <x v="250"/>
    <x v="14"/>
    <m/>
    <n v="725"/>
    <x v="1"/>
    <s v="Weekend"/>
    <x v="2"/>
    <n v="58"/>
    <x v="0"/>
    <x v="1"/>
    <n v="251060"/>
    <s v="High Billing"/>
    <s v="Pending"/>
    <x v="0"/>
    <s v="Dr. George"/>
    <s v="New Patient"/>
    <s v="405"/>
    <x v="5"/>
    <x v="1"/>
    <s v="2024"/>
    <s v="Feb-2024"/>
    <n v="8"/>
  </r>
  <r>
    <x v="251"/>
    <x v="10"/>
    <d v="2024-02-05T00:00:00"/>
    <n v="8"/>
    <x v="0"/>
    <s v="Weekend"/>
    <x v="0"/>
    <n v="60"/>
    <x v="0"/>
    <x v="0"/>
    <n v="252030"/>
    <s v="High Billing"/>
    <s v="Follow-up"/>
    <x v="1"/>
    <s v="Dr. Ada"/>
    <s v="New Patient"/>
    <s v="301"/>
    <x v="6"/>
    <x v="0"/>
    <s v="2024"/>
    <s v="Jan-2024"/>
    <n v="8"/>
  </r>
  <r>
    <x v="252"/>
    <x v="11"/>
    <d v="2024-02-02T00:00:00"/>
    <n v="1"/>
    <x v="0"/>
    <s v="Weekday"/>
    <x v="1"/>
    <n v="62"/>
    <x v="0"/>
    <x v="1"/>
    <n v="253000"/>
    <s v="High Billing"/>
    <s v="Recovered"/>
    <x v="0"/>
    <s v="Dr. Kofi"/>
    <s v="New Patient"/>
    <s v="102"/>
    <x v="4"/>
    <x v="1"/>
    <s v="2024"/>
    <s v="Feb-2024"/>
    <n v="8"/>
  </r>
  <r>
    <x v="253"/>
    <x v="12"/>
    <d v="2024-02-15T00:00:00"/>
    <n v="12"/>
    <x v="0"/>
    <s v="Weekend"/>
    <x v="4"/>
    <n v="64"/>
    <x v="0"/>
    <x v="0"/>
    <n v="253970"/>
    <s v="High Billing"/>
    <s v="Follow-up"/>
    <x v="1"/>
    <s v="Dr. Temi"/>
    <s v="New Patient"/>
    <s v="502"/>
    <x v="5"/>
    <x v="1"/>
    <s v="2024"/>
    <s v="Feb-2024"/>
    <n v="8"/>
  </r>
  <r>
    <x v="254"/>
    <x v="13"/>
    <d v="2024-02-06T00:00:00"/>
    <n v="1"/>
    <x v="0"/>
    <s v="Weekday"/>
    <x v="1"/>
    <n v="66"/>
    <x v="0"/>
    <x v="1"/>
    <n v="254940"/>
    <s v="High Billing"/>
    <s v="Recovered"/>
    <x v="0"/>
    <s v="Dr. Kofi"/>
    <s v="New Patient"/>
    <s v="102"/>
    <x v="3"/>
    <x v="1"/>
    <s v="2024"/>
    <s v="Feb-2024"/>
    <n v="8"/>
  </r>
  <r>
    <x v="255"/>
    <x v="14"/>
    <m/>
    <n v="725"/>
    <x v="1"/>
    <s v="Weekend"/>
    <x v="2"/>
    <n v="68"/>
    <x v="0"/>
    <x v="1"/>
    <n v="255910"/>
    <s v="High Billing"/>
    <s v="Pending"/>
    <x v="0"/>
    <s v="Dr. George"/>
    <s v="New Patient"/>
    <s v="405"/>
    <x v="5"/>
    <x v="1"/>
    <s v="2024"/>
    <s v="Feb-2024"/>
    <n v="8"/>
  </r>
  <r>
    <x v="256"/>
    <x v="10"/>
    <d v="2024-02-05T00:00:00"/>
    <n v="8"/>
    <x v="0"/>
    <s v="Weekend"/>
    <x v="0"/>
    <n v="70"/>
    <x v="0"/>
    <x v="0"/>
    <n v="256880"/>
    <s v="High Billing"/>
    <s v="Follow-up"/>
    <x v="1"/>
    <s v="Dr. Ada"/>
    <s v="New Patient"/>
    <s v="301"/>
    <x v="6"/>
    <x v="0"/>
    <s v="2024"/>
    <s v="Jan-2024"/>
    <n v="8"/>
  </r>
  <r>
    <x v="257"/>
    <x v="11"/>
    <d v="2024-02-02T00:00:00"/>
    <n v="1"/>
    <x v="0"/>
    <s v="Weekday"/>
    <x v="1"/>
    <n v="72"/>
    <x v="0"/>
    <x v="1"/>
    <n v="257850"/>
    <s v="High Billing"/>
    <s v="Recovered"/>
    <x v="0"/>
    <s v="Dr. Kofi"/>
    <s v="New Patient"/>
    <s v="102"/>
    <x v="4"/>
    <x v="1"/>
    <s v="2024"/>
    <s v="Feb-2024"/>
    <n v="8"/>
  </r>
  <r>
    <x v="258"/>
    <x v="12"/>
    <d v="2024-02-15T00:00:00"/>
    <n v="12"/>
    <x v="0"/>
    <s v="Weekend"/>
    <x v="4"/>
    <n v="74"/>
    <x v="0"/>
    <x v="0"/>
    <n v="258820"/>
    <s v="High Billing"/>
    <s v="Follow-up"/>
    <x v="1"/>
    <s v="Dr. Temi"/>
    <s v="New Patient"/>
    <s v="502"/>
    <x v="5"/>
    <x v="1"/>
    <s v="2024"/>
    <s v="Feb-2024"/>
    <n v="8"/>
  </r>
  <r>
    <x v="259"/>
    <x v="13"/>
    <d v="2024-02-06T00:00:00"/>
    <n v="1"/>
    <x v="0"/>
    <s v="Weekday"/>
    <x v="1"/>
    <n v="76"/>
    <x v="0"/>
    <x v="1"/>
    <n v="259790"/>
    <s v="High Billing"/>
    <s v="Recovered"/>
    <x v="0"/>
    <s v="Dr. Kofi"/>
    <s v="New Patient"/>
    <s v="102"/>
    <x v="3"/>
    <x v="1"/>
    <s v="2024"/>
    <s v="Feb-2024"/>
    <n v="8"/>
  </r>
  <r>
    <x v="260"/>
    <x v="10"/>
    <d v="2024-02-05T00:00:00"/>
    <n v="8"/>
    <x v="0"/>
    <s v="Weekend"/>
    <x v="0"/>
    <n v="80"/>
    <x v="0"/>
    <x v="0"/>
    <n v="261730"/>
    <s v="High Billing"/>
    <s v="Follow-up"/>
    <x v="1"/>
    <s v="Dr. Ada"/>
    <s v="New Patient"/>
    <s v="301"/>
    <x v="6"/>
    <x v="0"/>
    <s v="2024"/>
    <s v="Jan-2024"/>
    <n v="8"/>
  </r>
  <r>
    <x v="261"/>
    <x v="11"/>
    <d v="2024-02-02T00:00:00"/>
    <n v="1"/>
    <x v="0"/>
    <s v="Weekday"/>
    <x v="1"/>
    <n v="82"/>
    <x v="0"/>
    <x v="1"/>
    <n v="262700"/>
    <s v="High Billing"/>
    <s v="Recovered"/>
    <x v="0"/>
    <s v="Dr. Kofi"/>
    <s v="New Patient"/>
    <s v="102"/>
    <x v="4"/>
    <x v="1"/>
    <s v="2024"/>
    <s v="Feb-2024"/>
    <n v="8"/>
  </r>
  <r>
    <x v="262"/>
    <x v="12"/>
    <d v="2024-02-15T00:00:00"/>
    <n v="12"/>
    <x v="0"/>
    <s v="Weekend"/>
    <x v="4"/>
    <n v="84"/>
    <x v="0"/>
    <x v="0"/>
    <n v="263670"/>
    <s v="High Billing"/>
    <s v="Follow-up"/>
    <x v="1"/>
    <s v="Dr. Temi"/>
    <s v="New Patient"/>
    <s v="502"/>
    <x v="5"/>
    <x v="1"/>
    <s v="2024"/>
    <s v="Feb-2024"/>
    <n v="8"/>
  </r>
  <r>
    <x v="263"/>
    <x v="13"/>
    <d v="2024-02-06T00:00:00"/>
    <n v="1"/>
    <x v="0"/>
    <s v="Weekday"/>
    <x v="1"/>
    <n v="86"/>
    <x v="0"/>
    <x v="1"/>
    <n v="264640"/>
    <s v="High Billing"/>
    <s v="Recovered"/>
    <x v="0"/>
    <s v="Dr. Kofi"/>
    <s v="New Patient"/>
    <s v="102"/>
    <x v="3"/>
    <x v="1"/>
    <s v="2024"/>
    <s v="Feb-2024"/>
    <n v="8"/>
  </r>
  <r>
    <x v="264"/>
    <x v="14"/>
    <m/>
    <n v="725"/>
    <x v="1"/>
    <s v="Weekend"/>
    <x v="2"/>
    <n v="88"/>
    <x v="0"/>
    <x v="1"/>
    <n v="265610"/>
    <s v="High Billing"/>
    <s v="Pending"/>
    <x v="0"/>
    <s v="Dr. George"/>
    <s v="New Patient"/>
    <s v="405"/>
    <x v="5"/>
    <x v="1"/>
    <s v="2024"/>
    <s v="Feb-2024"/>
    <n v="8"/>
  </r>
  <r>
    <x v="265"/>
    <x v="10"/>
    <d v="2024-02-05T00:00:00"/>
    <n v="8"/>
    <x v="0"/>
    <s v="Weekend"/>
    <x v="0"/>
    <n v="90"/>
    <x v="0"/>
    <x v="0"/>
    <n v="266580"/>
    <s v="High Billing"/>
    <s v="Follow-up"/>
    <x v="1"/>
    <s v="Dr. Ada"/>
    <s v="New Patient"/>
    <s v="301"/>
    <x v="6"/>
    <x v="0"/>
    <s v="2024"/>
    <s v="Jan-2024"/>
    <n v="8"/>
  </r>
  <r>
    <x v="266"/>
    <x v="11"/>
    <d v="2024-02-02T00:00:00"/>
    <n v="1"/>
    <x v="0"/>
    <s v="Weekday"/>
    <x v="1"/>
    <n v="92"/>
    <x v="0"/>
    <x v="1"/>
    <n v="267550"/>
    <s v="High Billing"/>
    <s v="Recovered"/>
    <x v="0"/>
    <s v="Dr. Kofi"/>
    <s v="New Patient"/>
    <s v="102"/>
    <x v="4"/>
    <x v="1"/>
    <s v="2024"/>
    <s v="Feb-2024"/>
    <n v="8"/>
  </r>
  <r>
    <x v="267"/>
    <x v="12"/>
    <d v="2024-02-15T00:00:00"/>
    <n v="12"/>
    <x v="0"/>
    <s v="Weekend"/>
    <x v="4"/>
    <n v="94"/>
    <x v="0"/>
    <x v="0"/>
    <n v="268520"/>
    <s v="High Billing"/>
    <s v="Follow-up"/>
    <x v="1"/>
    <s v="Dr. Temi"/>
    <s v="New Patient"/>
    <s v="502"/>
    <x v="5"/>
    <x v="1"/>
    <s v="2024"/>
    <s v="Feb-2024"/>
    <n v="8"/>
  </r>
  <r>
    <x v="268"/>
    <x v="13"/>
    <d v="2024-02-06T00:00:00"/>
    <n v="1"/>
    <x v="0"/>
    <s v="Weekday"/>
    <x v="1"/>
    <n v="96"/>
    <x v="0"/>
    <x v="1"/>
    <n v="269490"/>
    <s v="High Billing"/>
    <s v="Recovered"/>
    <x v="0"/>
    <s v="Dr. Kofi"/>
    <s v="New Patient"/>
    <s v="102"/>
    <x v="3"/>
    <x v="1"/>
    <s v="2024"/>
    <s v="Feb-2024"/>
    <n v="8"/>
  </r>
  <r>
    <x v="269"/>
    <x v="14"/>
    <m/>
    <n v="725"/>
    <x v="1"/>
    <s v="Weekend"/>
    <x v="2"/>
    <n v="98"/>
    <x v="0"/>
    <x v="1"/>
    <n v="270460"/>
    <s v="High Billing"/>
    <s v="Pending"/>
    <x v="0"/>
    <s v="Dr. George"/>
    <s v="New Patient"/>
    <s v="405"/>
    <x v="5"/>
    <x v="1"/>
    <s v="2024"/>
    <s v="Feb-2024"/>
    <n v="8"/>
  </r>
  <r>
    <x v="270"/>
    <x v="10"/>
    <d v="2024-02-05T00:00:00"/>
    <n v="8"/>
    <x v="0"/>
    <s v="Weekend"/>
    <x v="0"/>
    <n v="100"/>
    <x v="0"/>
    <x v="0"/>
    <n v="271430"/>
    <s v="High Billing"/>
    <s v="Follow-up"/>
    <x v="1"/>
    <s v="Dr. Ada"/>
    <s v="New Patient"/>
    <s v="301"/>
    <x v="6"/>
    <x v="0"/>
    <s v="2024"/>
    <s v="Jan-2024"/>
    <n v="8"/>
  </r>
  <r>
    <x v="271"/>
    <x v="11"/>
    <d v="2024-02-02T00:00:00"/>
    <n v="1"/>
    <x v="0"/>
    <s v="Weekday"/>
    <x v="1"/>
    <n v="2"/>
    <x v="2"/>
    <x v="1"/>
    <n v="272400"/>
    <s v="High Billing"/>
    <s v="Recovered"/>
    <x v="0"/>
    <s v="Dr. Kofi"/>
    <s v="New Patient"/>
    <s v="102"/>
    <x v="4"/>
    <x v="1"/>
    <s v="2024"/>
    <s v="Feb-2024"/>
    <n v="8"/>
  </r>
  <r>
    <x v="272"/>
    <x v="12"/>
    <d v="2024-02-15T00:00:00"/>
    <n v="12"/>
    <x v="0"/>
    <s v="Weekend"/>
    <x v="4"/>
    <n v="4"/>
    <x v="2"/>
    <x v="0"/>
    <n v="273370"/>
    <s v="High Billing"/>
    <s v="Follow-up"/>
    <x v="1"/>
    <s v="Dr. Temi"/>
    <s v="New Patient"/>
    <s v="502"/>
    <x v="5"/>
    <x v="1"/>
    <s v="2024"/>
    <s v="Feb-2024"/>
    <n v="8"/>
  </r>
  <r>
    <x v="273"/>
    <x v="13"/>
    <d v="2024-02-06T00:00:00"/>
    <n v="1"/>
    <x v="0"/>
    <s v="Weekday"/>
    <x v="1"/>
    <n v="6"/>
    <x v="2"/>
    <x v="1"/>
    <n v="274340"/>
    <s v="High Billing"/>
    <s v="Recovered"/>
    <x v="0"/>
    <s v="Dr. Kofi"/>
    <s v="New Patient"/>
    <s v="102"/>
    <x v="3"/>
    <x v="1"/>
    <s v="2024"/>
    <s v="Feb-2024"/>
    <n v="8"/>
  </r>
  <r>
    <x v="274"/>
    <x v="14"/>
    <m/>
    <n v="725"/>
    <x v="1"/>
    <s v="Weekend"/>
    <x v="2"/>
    <n v="8"/>
    <x v="2"/>
    <x v="1"/>
    <n v="275310"/>
    <s v="High Billing"/>
    <s v="Pending"/>
    <x v="0"/>
    <s v="Dr. George"/>
    <s v="New Patient"/>
    <s v="405"/>
    <x v="5"/>
    <x v="1"/>
    <s v="2024"/>
    <s v="Feb-2024"/>
    <n v="8"/>
  </r>
  <r>
    <x v="275"/>
    <x v="10"/>
    <d v="2024-02-05T00:00:00"/>
    <n v="8"/>
    <x v="0"/>
    <s v="Weekend"/>
    <x v="0"/>
    <n v="10"/>
    <x v="2"/>
    <x v="0"/>
    <n v="276280"/>
    <s v="High Billing"/>
    <s v="Follow-up"/>
    <x v="1"/>
    <s v="Dr. Ada"/>
    <s v="New Patient"/>
    <s v="301"/>
    <x v="6"/>
    <x v="0"/>
    <s v="2024"/>
    <s v="Jan-2024"/>
    <n v="8"/>
  </r>
  <r>
    <x v="276"/>
    <x v="11"/>
    <d v="2024-02-02T00:00:00"/>
    <n v="1"/>
    <x v="0"/>
    <s v="Weekday"/>
    <x v="1"/>
    <n v="12"/>
    <x v="2"/>
    <x v="1"/>
    <n v="277250"/>
    <s v="High Billing"/>
    <s v="Recovered"/>
    <x v="0"/>
    <s v="Dr. Kofi"/>
    <s v="New Patient"/>
    <s v="102"/>
    <x v="4"/>
    <x v="1"/>
    <s v="2024"/>
    <s v="Feb-2024"/>
    <n v="8"/>
  </r>
  <r>
    <x v="277"/>
    <x v="12"/>
    <d v="2024-02-15T00:00:00"/>
    <n v="12"/>
    <x v="0"/>
    <s v="Weekend"/>
    <x v="4"/>
    <n v="14"/>
    <x v="2"/>
    <x v="0"/>
    <n v="278220"/>
    <s v="High Billing"/>
    <s v="Follow-up"/>
    <x v="1"/>
    <s v="Dr. Temi"/>
    <s v="New Patient"/>
    <s v="502"/>
    <x v="5"/>
    <x v="1"/>
    <s v="2024"/>
    <s v="Feb-2024"/>
    <n v="8"/>
  </r>
  <r>
    <x v="278"/>
    <x v="13"/>
    <d v="2024-02-06T00:00:00"/>
    <n v="1"/>
    <x v="0"/>
    <s v="Weekday"/>
    <x v="1"/>
    <n v="16"/>
    <x v="2"/>
    <x v="1"/>
    <n v="279190"/>
    <s v="High Billing"/>
    <s v="Recovered"/>
    <x v="0"/>
    <s v="Dr. Kofi"/>
    <s v="New Patient"/>
    <s v="102"/>
    <x v="3"/>
    <x v="1"/>
    <s v="2024"/>
    <s v="Feb-2024"/>
    <n v="8"/>
  </r>
  <r>
    <x v="279"/>
    <x v="14"/>
    <m/>
    <n v="725"/>
    <x v="1"/>
    <s v="Weekend"/>
    <x v="2"/>
    <n v="18"/>
    <x v="1"/>
    <x v="1"/>
    <n v="280160"/>
    <s v="High Billing"/>
    <s v="Pending"/>
    <x v="0"/>
    <s v="Dr. George"/>
    <s v="New Patient"/>
    <s v="405"/>
    <x v="5"/>
    <x v="1"/>
    <s v="2024"/>
    <s v="Feb-2024"/>
    <n v="8"/>
  </r>
  <r>
    <x v="280"/>
    <x v="10"/>
    <d v="2024-02-05T00:00:00"/>
    <n v="8"/>
    <x v="0"/>
    <s v="Weekend"/>
    <x v="0"/>
    <n v="20"/>
    <x v="1"/>
    <x v="0"/>
    <n v="281130"/>
    <s v="High Billing"/>
    <s v="Follow-up"/>
    <x v="1"/>
    <s v="Dr. Ada"/>
    <s v="New Patient"/>
    <s v="301"/>
    <x v="6"/>
    <x v="0"/>
    <s v="2024"/>
    <s v="Jan-2024"/>
    <n v="8"/>
  </r>
  <r>
    <x v="281"/>
    <x v="11"/>
    <d v="2024-02-02T00:00:00"/>
    <n v="1"/>
    <x v="0"/>
    <s v="Weekday"/>
    <x v="1"/>
    <n v="22"/>
    <x v="1"/>
    <x v="1"/>
    <n v="282100"/>
    <s v="High Billing"/>
    <s v="Recovered"/>
    <x v="0"/>
    <s v="Dr. Kofi"/>
    <s v="New Patient"/>
    <s v="102"/>
    <x v="4"/>
    <x v="1"/>
    <s v="2024"/>
    <s v="Feb-2024"/>
    <n v="8"/>
  </r>
  <r>
    <x v="282"/>
    <x v="12"/>
    <d v="2024-02-15T00:00:00"/>
    <n v="12"/>
    <x v="0"/>
    <s v="Weekend"/>
    <x v="4"/>
    <n v="24"/>
    <x v="1"/>
    <x v="0"/>
    <n v="283070"/>
    <s v="High Billing"/>
    <s v="Follow-up"/>
    <x v="1"/>
    <s v="Dr. Temi"/>
    <s v="New Patient"/>
    <s v="502"/>
    <x v="5"/>
    <x v="1"/>
    <s v="2024"/>
    <s v="Feb-2024"/>
    <n v="8"/>
  </r>
  <r>
    <x v="283"/>
    <x v="13"/>
    <d v="2024-02-06T00:00:00"/>
    <n v="1"/>
    <x v="0"/>
    <s v="Weekday"/>
    <x v="1"/>
    <n v="26"/>
    <x v="1"/>
    <x v="1"/>
    <n v="284040"/>
    <s v="High Billing"/>
    <s v="Recovered"/>
    <x v="0"/>
    <s v="Dr. Kofi"/>
    <s v="New Patient"/>
    <s v="102"/>
    <x v="3"/>
    <x v="1"/>
    <s v="2024"/>
    <s v="Feb-2024"/>
    <n v="8"/>
  </r>
  <r>
    <x v="284"/>
    <x v="14"/>
    <m/>
    <n v="725"/>
    <x v="1"/>
    <s v="Weekend"/>
    <x v="2"/>
    <n v="28"/>
    <x v="1"/>
    <x v="1"/>
    <n v="285010"/>
    <s v="High Billing"/>
    <s v="Pending"/>
    <x v="0"/>
    <s v="Dr. George"/>
    <s v="New Patient"/>
    <s v="405"/>
    <x v="5"/>
    <x v="1"/>
    <s v="2024"/>
    <s v="Feb-2024"/>
    <n v="8"/>
  </r>
  <r>
    <x v="285"/>
    <x v="10"/>
    <d v="2024-02-05T00:00:00"/>
    <n v="8"/>
    <x v="0"/>
    <s v="Weekend"/>
    <x v="0"/>
    <n v="30"/>
    <x v="1"/>
    <x v="0"/>
    <n v="285980"/>
    <s v="High Billing"/>
    <s v="Follow-up"/>
    <x v="1"/>
    <s v="Dr. Ada"/>
    <s v="New Patient"/>
    <s v="301"/>
    <x v="6"/>
    <x v="0"/>
    <s v="2024"/>
    <s v="Jan-2024"/>
    <n v="8"/>
  </r>
  <r>
    <x v="286"/>
    <x v="11"/>
    <d v="2024-02-02T00:00:00"/>
    <n v="1"/>
    <x v="0"/>
    <s v="Weekday"/>
    <x v="1"/>
    <n v="32"/>
    <x v="1"/>
    <x v="1"/>
    <n v="286950"/>
    <s v="High Billing"/>
    <s v="Recovered"/>
    <x v="0"/>
    <s v="Dr. Kofi"/>
    <s v="New Patient"/>
    <s v="102"/>
    <x v="4"/>
    <x v="1"/>
    <s v="2024"/>
    <s v="Feb-2024"/>
    <n v="8"/>
  </r>
  <r>
    <x v="287"/>
    <x v="12"/>
    <d v="2024-02-15T00:00:00"/>
    <n v="12"/>
    <x v="0"/>
    <s v="Weekend"/>
    <x v="4"/>
    <n v="34"/>
    <x v="1"/>
    <x v="0"/>
    <n v="287920"/>
    <s v="High Billing"/>
    <s v="Follow-up"/>
    <x v="1"/>
    <s v="Dr. Temi"/>
    <s v="New Patient"/>
    <s v="502"/>
    <x v="5"/>
    <x v="1"/>
    <s v="2024"/>
    <s v="Feb-2024"/>
    <n v="8"/>
  </r>
  <r>
    <x v="288"/>
    <x v="13"/>
    <d v="2024-02-06T00:00:00"/>
    <n v="1"/>
    <x v="0"/>
    <s v="Weekday"/>
    <x v="1"/>
    <n v="36"/>
    <x v="1"/>
    <x v="1"/>
    <n v="288890"/>
    <s v="High Billing"/>
    <s v="Recovered"/>
    <x v="0"/>
    <s v="Dr. Kofi"/>
    <s v="New Patient"/>
    <s v="102"/>
    <x v="3"/>
    <x v="1"/>
    <s v="2024"/>
    <s v="Feb-2024"/>
    <n v="8"/>
  </r>
  <r>
    <x v="289"/>
    <x v="14"/>
    <m/>
    <n v="725"/>
    <x v="1"/>
    <s v="Weekend"/>
    <x v="2"/>
    <n v="38"/>
    <x v="1"/>
    <x v="1"/>
    <n v="289860"/>
    <s v="High Billing"/>
    <s v="Pending"/>
    <x v="0"/>
    <s v="Dr. George"/>
    <s v="New Patient"/>
    <s v="405"/>
    <x v="5"/>
    <x v="1"/>
    <s v="2024"/>
    <s v="Feb-2024"/>
    <n v="8"/>
  </r>
  <r>
    <x v="290"/>
    <x v="10"/>
    <d v="2024-02-05T00:00:00"/>
    <n v="8"/>
    <x v="0"/>
    <s v="Weekend"/>
    <x v="0"/>
    <n v="40"/>
    <x v="1"/>
    <x v="0"/>
    <n v="290830"/>
    <s v="High Billing"/>
    <s v="Follow-up"/>
    <x v="1"/>
    <s v="Dr. Ada"/>
    <s v="New Patient"/>
    <s v="301"/>
    <x v="6"/>
    <x v="0"/>
    <s v="2024"/>
    <s v="Jan-2024"/>
    <n v="8"/>
  </r>
  <r>
    <x v="291"/>
    <x v="11"/>
    <d v="2024-02-02T00:00:00"/>
    <n v="1"/>
    <x v="0"/>
    <s v="Weekday"/>
    <x v="1"/>
    <n v="42"/>
    <x v="1"/>
    <x v="1"/>
    <n v="291800"/>
    <s v="High Billing"/>
    <s v="Recovered"/>
    <x v="0"/>
    <s v="Dr. Kofi"/>
    <s v="New Patient"/>
    <s v="102"/>
    <x v="4"/>
    <x v="1"/>
    <s v="2024"/>
    <s v="Feb-2024"/>
    <n v="8"/>
  </r>
  <r>
    <x v="292"/>
    <x v="12"/>
    <d v="2024-02-15T00:00:00"/>
    <n v="12"/>
    <x v="0"/>
    <s v="Weekend"/>
    <x v="4"/>
    <n v="44"/>
    <x v="1"/>
    <x v="0"/>
    <n v="292770"/>
    <s v="High Billing"/>
    <s v="Follow-up"/>
    <x v="1"/>
    <s v="Dr. Temi"/>
    <s v="New Patient"/>
    <s v="502"/>
    <x v="5"/>
    <x v="1"/>
    <s v="2024"/>
    <s v="Feb-2024"/>
    <n v="8"/>
  </r>
  <r>
    <x v="293"/>
    <x v="13"/>
    <d v="2024-02-06T00:00:00"/>
    <n v="1"/>
    <x v="0"/>
    <s v="Weekday"/>
    <x v="1"/>
    <n v="46"/>
    <x v="1"/>
    <x v="1"/>
    <n v="293740"/>
    <s v="High Billing"/>
    <s v="Recovered"/>
    <x v="0"/>
    <s v="Dr. Kofi"/>
    <s v="New Patient"/>
    <s v="102"/>
    <x v="3"/>
    <x v="1"/>
    <s v="2024"/>
    <s v="Feb-2024"/>
    <n v="8"/>
  </r>
  <r>
    <x v="294"/>
    <x v="14"/>
    <m/>
    <n v="725"/>
    <x v="1"/>
    <s v="Weekend"/>
    <x v="2"/>
    <n v="48"/>
    <x v="1"/>
    <x v="1"/>
    <n v="294710"/>
    <s v="High Billing"/>
    <s v="Pending"/>
    <x v="0"/>
    <s v="Dr. George"/>
    <s v="New Patient"/>
    <s v="405"/>
    <x v="5"/>
    <x v="1"/>
    <s v="2024"/>
    <s v="Feb-2024"/>
    <n v="8"/>
  </r>
  <r>
    <x v="295"/>
    <x v="10"/>
    <d v="2024-02-05T00:00:00"/>
    <n v="8"/>
    <x v="0"/>
    <s v="Weekend"/>
    <x v="0"/>
    <n v="50"/>
    <x v="0"/>
    <x v="0"/>
    <n v="295680"/>
    <s v="High Billing"/>
    <s v="Follow-up"/>
    <x v="1"/>
    <s v="Dr. Ada"/>
    <s v="New Patient"/>
    <s v="301"/>
    <x v="6"/>
    <x v="0"/>
    <s v="2024"/>
    <s v="Jan-2024"/>
    <n v="8"/>
  </r>
  <r>
    <x v="296"/>
    <x v="11"/>
    <d v="2024-02-02T00:00:00"/>
    <n v="1"/>
    <x v="0"/>
    <s v="Weekday"/>
    <x v="1"/>
    <n v="52"/>
    <x v="0"/>
    <x v="1"/>
    <n v="296650"/>
    <s v="High Billing"/>
    <s v="Recovered"/>
    <x v="0"/>
    <s v="Dr. Kofi"/>
    <s v="New Patient"/>
    <s v="102"/>
    <x v="4"/>
    <x v="1"/>
    <s v="2024"/>
    <s v="Feb-2024"/>
    <n v="8"/>
  </r>
  <r>
    <x v="297"/>
    <x v="12"/>
    <d v="2024-02-15T00:00:00"/>
    <n v="12"/>
    <x v="0"/>
    <s v="Weekend"/>
    <x v="4"/>
    <n v="54"/>
    <x v="0"/>
    <x v="0"/>
    <n v="297620"/>
    <s v="High Billing"/>
    <s v="Follow-up"/>
    <x v="1"/>
    <s v="Dr. Temi"/>
    <s v="New Patient"/>
    <s v="502"/>
    <x v="5"/>
    <x v="1"/>
    <s v="2024"/>
    <s v="Feb-2024"/>
    <n v="8"/>
  </r>
  <r>
    <x v="298"/>
    <x v="13"/>
    <d v="2024-02-06T00:00:00"/>
    <n v="1"/>
    <x v="0"/>
    <s v="Weekday"/>
    <x v="1"/>
    <n v="56"/>
    <x v="0"/>
    <x v="1"/>
    <n v="298590"/>
    <s v="High Billing"/>
    <s v="Recovered"/>
    <x v="0"/>
    <s v="Dr. Kofi"/>
    <s v="New Patient"/>
    <s v="102"/>
    <x v="3"/>
    <x v="1"/>
    <s v="2024"/>
    <s v="Feb-2024"/>
    <n v="8"/>
  </r>
  <r>
    <x v="299"/>
    <x v="14"/>
    <m/>
    <n v="725"/>
    <x v="1"/>
    <s v="Weekend"/>
    <x v="2"/>
    <n v="58"/>
    <x v="0"/>
    <x v="1"/>
    <n v="299560"/>
    <s v="High Billing"/>
    <s v="Pending"/>
    <x v="0"/>
    <s v="Dr. George"/>
    <s v="New Patient"/>
    <s v="405"/>
    <x v="5"/>
    <x v="1"/>
    <s v="2024"/>
    <s v="Feb-2024"/>
    <n v="8"/>
  </r>
  <r>
    <x v="300"/>
    <x v="10"/>
    <d v="2024-02-05T00:00:00"/>
    <n v="8"/>
    <x v="0"/>
    <s v="Weekend"/>
    <x v="0"/>
    <n v="60"/>
    <x v="0"/>
    <x v="0"/>
    <n v="300530"/>
    <s v="High Billing"/>
    <s v="Follow-up"/>
    <x v="1"/>
    <s v="Dr. Ada"/>
    <s v="New Patient"/>
    <s v="301"/>
    <x v="6"/>
    <x v="0"/>
    <s v="2024"/>
    <s v="Jan-2024"/>
    <n v="8"/>
  </r>
  <r>
    <x v="301"/>
    <x v="11"/>
    <d v="2024-02-02T00:00:00"/>
    <n v="1"/>
    <x v="0"/>
    <s v="Weekday"/>
    <x v="1"/>
    <n v="62"/>
    <x v="0"/>
    <x v="1"/>
    <n v="301500"/>
    <s v="High Billing"/>
    <s v="Recovered"/>
    <x v="0"/>
    <s v="Dr. Kofi"/>
    <s v="New Patient"/>
    <s v="102"/>
    <x v="4"/>
    <x v="1"/>
    <s v="2024"/>
    <s v="Feb-2024"/>
    <n v="8"/>
  </r>
  <r>
    <x v="302"/>
    <x v="12"/>
    <d v="2024-02-15T00:00:00"/>
    <n v="12"/>
    <x v="0"/>
    <s v="Weekend"/>
    <x v="4"/>
    <n v="64"/>
    <x v="0"/>
    <x v="0"/>
    <n v="302470"/>
    <s v="High Billing"/>
    <s v="Follow-up"/>
    <x v="1"/>
    <s v="Dr. Temi"/>
    <s v="New Patient"/>
    <s v="502"/>
    <x v="5"/>
    <x v="1"/>
    <s v="2024"/>
    <s v="Feb-2024"/>
    <n v="8"/>
  </r>
  <r>
    <x v="303"/>
    <x v="13"/>
    <d v="2024-02-06T00:00:00"/>
    <n v="1"/>
    <x v="0"/>
    <s v="Weekday"/>
    <x v="1"/>
    <n v="66"/>
    <x v="0"/>
    <x v="1"/>
    <n v="303440"/>
    <s v="High Billing"/>
    <s v="Recovered"/>
    <x v="0"/>
    <s v="Dr. Kofi"/>
    <s v="New Patient"/>
    <s v="102"/>
    <x v="3"/>
    <x v="1"/>
    <s v="2024"/>
    <s v="Feb-2024"/>
    <n v="8"/>
  </r>
  <r>
    <x v="304"/>
    <x v="14"/>
    <m/>
    <n v="725"/>
    <x v="1"/>
    <s v="Weekend"/>
    <x v="2"/>
    <n v="68"/>
    <x v="0"/>
    <x v="1"/>
    <n v="304410"/>
    <s v="High Billing"/>
    <s v="Pending"/>
    <x v="0"/>
    <s v="Dr. George"/>
    <s v="New Patient"/>
    <s v="405"/>
    <x v="5"/>
    <x v="1"/>
    <s v="2024"/>
    <s v="Feb-2024"/>
    <n v="8"/>
  </r>
  <r>
    <x v="305"/>
    <x v="10"/>
    <d v="2024-02-05T00:00:00"/>
    <n v="8"/>
    <x v="0"/>
    <s v="Weekend"/>
    <x v="0"/>
    <n v="70"/>
    <x v="0"/>
    <x v="0"/>
    <n v="305380"/>
    <s v="High Billing"/>
    <s v="Follow-up"/>
    <x v="1"/>
    <s v="Dr. Ada"/>
    <s v="New Patient"/>
    <s v="301"/>
    <x v="6"/>
    <x v="0"/>
    <s v="2024"/>
    <s v="Jan-2024"/>
    <n v="8"/>
  </r>
  <r>
    <x v="306"/>
    <x v="11"/>
    <d v="2024-02-02T00:00:00"/>
    <n v="1"/>
    <x v="0"/>
    <s v="Weekday"/>
    <x v="1"/>
    <n v="72"/>
    <x v="0"/>
    <x v="1"/>
    <n v="306350"/>
    <s v="High Billing"/>
    <s v="Recovered"/>
    <x v="0"/>
    <s v="Dr. Kofi"/>
    <s v="New Patient"/>
    <s v="102"/>
    <x v="4"/>
    <x v="1"/>
    <s v="2024"/>
    <s v="Feb-2024"/>
    <n v="8"/>
  </r>
  <r>
    <x v="307"/>
    <x v="12"/>
    <d v="2024-02-15T00:00:00"/>
    <n v="12"/>
    <x v="0"/>
    <s v="Weekend"/>
    <x v="4"/>
    <n v="74"/>
    <x v="0"/>
    <x v="0"/>
    <n v="307320"/>
    <s v="High Billing"/>
    <s v="Follow-up"/>
    <x v="1"/>
    <s v="Dr. Temi"/>
    <s v="New Patient"/>
    <s v="502"/>
    <x v="5"/>
    <x v="1"/>
    <s v="2024"/>
    <s v="Feb-2024"/>
    <n v="8"/>
  </r>
  <r>
    <x v="308"/>
    <x v="13"/>
    <d v="2024-02-06T00:00:00"/>
    <n v="1"/>
    <x v="0"/>
    <s v="Weekday"/>
    <x v="1"/>
    <n v="76"/>
    <x v="0"/>
    <x v="1"/>
    <n v="308290"/>
    <s v="High Billing"/>
    <s v="Recovered"/>
    <x v="0"/>
    <s v="Dr. Kofi"/>
    <s v="New Patient"/>
    <s v="102"/>
    <x v="3"/>
    <x v="1"/>
    <s v="2024"/>
    <s v="Feb-2024"/>
    <n v="8"/>
  </r>
  <r>
    <x v="309"/>
    <x v="14"/>
    <m/>
    <n v="725"/>
    <x v="1"/>
    <s v="Weekend"/>
    <x v="2"/>
    <n v="78"/>
    <x v="0"/>
    <x v="1"/>
    <n v="309260"/>
    <s v="High Billing"/>
    <s v="Pending"/>
    <x v="0"/>
    <s v="Dr. George"/>
    <s v="New Patient"/>
    <s v="405"/>
    <x v="5"/>
    <x v="1"/>
    <s v="2024"/>
    <s v="Feb-2024"/>
    <n v="8"/>
  </r>
  <r>
    <x v="310"/>
    <x v="10"/>
    <d v="2024-02-05T00:00:00"/>
    <n v="8"/>
    <x v="0"/>
    <s v="Weekend"/>
    <x v="0"/>
    <n v="80"/>
    <x v="0"/>
    <x v="0"/>
    <n v="310230"/>
    <s v="High Billing"/>
    <s v="Follow-up"/>
    <x v="1"/>
    <s v="Dr. Ada"/>
    <s v="New Patient"/>
    <s v="301"/>
    <x v="6"/>
    <x v="0"/>
    <s v="2024"/>
    <s v="Jan-2024"/>
    <n v="8"/>
  </r>
  <r>
    <x v="311"/>
    <x v="11"/>
    <d v="2024-02-02T00:00:00"/>
    <n v="1"/>
    <x v="0"/>
    <s v="Weekday"/>
    <x v="1"/>
    <n v="82"/>
    <x v="0"/>
    <x v="1"/>
    <n v="311200"/>
    <s v="High Billing"/>
    <s v="Recovered"/>
    <x v="0"/>
    <s v="Dr. Kofi"/>
    <s v="New Patient"/>
    <s v="102"/>
    <x v="4"/>
    <x v="1"/>
    <s v="2024"/>
    <s v="Feb-2024"/>
    <n v="8"/>
  </r>
  <r>
    <x v="312"/>
    <x v="12"/>
    <d v="2024-02-15T00:00:00"/>
    <n v="12"/>
    <x v="0"/>
    <s v="Weekend"/>
    <x v="4"/>
    <n v="84"/>
    <x v="0"/>
    <x v="0"/>
    <n v="312170"/>
    <s v="High Billing"/>
    <s v="Follow-up"/>
    <x v="1"/>
    <s v="Dr. Temi"/>
    <s v="New Patient"/>
    <s v="502"/>
    <x v="5"/>
    <x v="1"/>
    <s v="2024"/>
    <s v="Feb-2024"/>
    <n v="8"/>
  </r>
  <r>
    <x v="313"/>
    <x v="13"/>
    <d v="2024-02-06T00:00:00"/>
    <n v="1"/>
    <x v="0"/>
    <s v="Weekday"/>
    <x v="1"/>
    <n v="86"/>
    <x v="0"/>
    <x v="1"/>
    <n v="313140"/>
    <s v="High Billing"/>
    <s v="Recovered"/>
    <x v="0"/>
    <s v="Dr. Kofi"/>
    <s v="New Patient"/>
    <s v="102"/>
    <x v="3"/>
    <x v="1"/>
    <s v="2024"/>
    <s v="Feb-2024"/>
    <n v="8"/>
  </r>
  <r>
    <x v="314"/>
    <x v="14"/>
    <m/>
    <n v="725"/>
    <x v="1"/>
    <s v="Weekend"/>
    <x v="2"/>
    <n v="88"/>
    <x v="0"/>
    <x v="1"/>
    <n v="314110"/>
    <s v="High Billing"/>
    <s v="Pending"/>
    <x v="0"/>
    <s v="Dr. George"/>
    <s v="New Patient"/>
    <s v="405"/>
    <x v="5"/>
    <x v="1"/>
    <s v="2024"/>
    <s v="Feb-2024"/>
    <n v="8"/>
  </r>
  <r>
    <x v="315"/>
    <x v="10"/>
    <d v="2024-02-05T00:00:00"/>
    <n v="8"/>
    <x v="0"/>
    <s v="Weekend"/>
    <x v="0"/>
    <n v="90"/>
    <x v="0"/>
    <x v="0"/>
    <n v="315080"/>
    <s v="High Billing"/>
    <s v="Follow-up"/>
    <x v="1"/>
    <s v="Dr. Ada"/>
    <s v="New Patient"/>
    <s v="301"/>
    <x v="6"/>
    <x v="0"/>
    <s v="2024"/>
    <s v="Jan-2024"/>
    <n v="8"/>
  </r>
  <r>
    <x v="316"/>
    <x v="11"/>
    <d v="2024-02-02T00:00:00"/>
    <n v="1"/>
    <x v="0"/>
    <s v="Weekday"/>
    <x v="1"/>
    <n v="92"/>
    <x v="0"/>
    <x v="1"/>
    <n v="316050"/>
    <s v="High Billing"/>
    <s v="Recovered"/>
    <x v="0"/>
    <s v="Dr. Kofi"/>
    <s v="New Patient"/>
    <s v="102"/>
    <x v="4"/>
    <x v="1"/>
    <s v="2024"/>
    <s v="Feb-2024"/>
    <n v="8"/>
  </r>
  <r>
    <x v="317"/>
    <x v="12"/>
    <d v="2024-02-15T00:00:00"/>
    <n v="12"/>
    <x v="0"/>
    <s v="Weekend"/>
    <x v="4"/>
    <n v="94"/>
    <x v="0"/>
    <x v="0"/>
    <n v="317020"/>
    <s v="High Billing"/>
    <s v="Follow-up"/>
    <x v="1"/>
    <s v="Dr. Temi"/>
    <s v="New Patient"/>
    <s v="502"/>
    <x v="5"/>
    <x v="1"/>
    <s v="2024"/>
    <s v="Feb-2024"/>
    <n v="8"/>
  </r>
  <r>
    <x v="318"/>
    <x v="13"/>
    <d v="2024-02-06T00:00:00"/>
    <n v="1"/>
    <x v="0"/>
    <s v="Weekday"/>
    <x v="1"/>
    <n v="96"/>
    <x v="0"/>
    <x v="1"/>
    <n v="317990"/>
    <s v="High Billing"/>
    <s v="Recovered"/>
    <x v="0"/>
    <s v="Dr. Kofi"/>
    <s v="New Patient"/>
    <s v="102"/>
    <x v="3"/>
    <x v="1"/>
    <s v="2024"/>
    <s v="Feb-2024"/>
    <n v="8"/>
  </r>
  <r>
    <x v="319"/>
    <x v="14"/>
    <m/>
    <n v="725"/>
    <x v="1"/>
    <s v="Weekend"/>
    <x v="2"/>
    <n v="98"/>
    <x v="0"/>
    <x v="1"/>
    <n v="318960"/>
    <s v="High Billing"/>
    <s v="Pending"/>
    <x v="0"/>
    <s v="Dr. George"/>
    <s v="New Patient"/>
    <s v="405"/>
    <x v="5"/>
    <x v="1"/>
    <s v="2024"/>
    <s v="Feb-2024"/>
    <n v="8"/>
  </r>
  <r>
    <x v="320"/>
    <x v="10"/>
    <d v="2024-02-05T00:00:00"/>
    <n v="8"/>
    <x v="0"/>
    <s v="Weekend"/>
    <x v="0"/>
    <n v="100"/>
    <x v="0"/>
    <x v="0"/>
    <n v="319930"/>
    <s v="High Billing"/>
    <s v="Follow-up"/>
    <x v="1"/>
    <s v="Dr. Ada"/>
    <s v="New Patient"/>
    <s v="301"/>
    <x v="6"/>
    <x v="0"/>
    <s v="2024"/>
    <s v="Jan-2024"/>
    <n v="8"/>
  </r>
  <r>
    <x v="321"/>
    <x v="11"/>
    <d v="2024-02-02T00:00:00"/>
    <n v="1"/>
    <x v="0"/>
    <s v="Weekday"/>
    <x v="1"/>
    <n v="2"/>
    <x v="2"/>
    <x v="1"/>
    <n v="320900"/>
    <s v="High Billing"/>
    <s v="Recovered"/>
    <x v="0"/>
    <s v="Dr. Kofi"/>
    <s v="New Patient"/>
    <s v="102"/>
    <x v="4"/>
    <x v="1"/>
    <s v="2024"/>
    <s v="Feb-2024"/>
    <n v="8"/>
  </r>
  <r>
    <x v="322"/>
    <x v="12"/>
    <d v="2024-02-15T00:00:00"/>
    <n v="12"/>
    <x v="0"/>
    <s v="Weekend"/>
    <x v="4"/>
    <n v="4"/>
    <x v="2"/>
    <x v="0"/>
    <n v="321870"/>
    <s v="High Billing"/>
    <s v="Follow-up"/>
    <x v="1"/>
    <s v="Dr. Temi"/>
    <s v="New Patient"/>
    <s v="502"/>
    <x v="5"/>
    <x v="1"/>
    <s v="2024"/>
    <s v="Feb-2024"/>
    <n v="8"/>
  </r>
  <r>
    <x v="323"/>
    <x v="13"/>
    <d v="2024-02-06T00:00:00"/>
    <n v="1"/>
    <x v="0"/>
    <s v="Weekday"/>
    <x v="1"/>
    <n v="6"/>
    <x v="2"/>
    <x v="1"/>
    <n v="322840"/>
    <s v="High Billing"/>
    <s v="Recovered"/>
    <x v="0"/>
    <s v="Dr. Kofi"/>
    <s v="New Patient"/>
    <s v="102"/>
    <x v="3"/>
    <x v="1"/>
    <s v="2024"/>
    <s v="Feb-2024"/>
    <n v="8"/>
  </r>
  <r>
    <x v="324"/>
    <x v="14"/>
    <m/>
    <n v="725"/>
    <x v="1"/>
    <s v="Weekend"/>
    <x v="2"/>
    <n v="8"/>
    <x v="2"/>
    <x v="1"/>
    <n v="323810"/>
    <s v="High Billing"/>
    <s v="Pending"/>
    <x v="0"/>
    <s v="Dr. George"/>
    <s v="New Patient"/>
    <s v="405"/>
    <x v="5"/>
    <x v="1"/>
    <s v="2024"/>
    <s v="Feb-2024"/>
    <n v="8"/>
  </r>
  <r>
    <x v="325"/>
    <x v="10"/>
    <d v="2024-02-05T00:00:00"/>
    <n v="8"/>
    <x v="0"/>
    <s v="Weekend"/>
    <x v="0"/>
    <n v="10"/>
    <x v="2"/>
    <x v="0"/>
    <n v="324780"/>
    <s v="High Billing"/>
    <s v="Follow-up"/>
    <x v="1"/>
    <s v="Dr. Ada"/>
    <s v="New Patient"/>
    <s v="301"/>
    <x v="6"/>
    <x v="0"/>
    <s v="2024"/>
    <s v="Jan-2024"/>
    <n v="8"/>
  </r>
  <r>
    <x v="326"/>
    <x v="11"/>
    <d v="2024-02-02T00:00:00"/>
    <n v="1"/>
    <x v="0"/>
    <s v="Weekday"/>
    <x v="1"/>
    <n v="12"/>
    <x v="2"/>
    <x v="1"/>
    <n v="325750"/>
    <s v="High Billing"/>
    <s v="Recovered"/>
    <x v="0"/>
    <s v="Dr. Kofi"/>
    <s v="New Patient"/>
    <s v="102"/>
    <x v="4"/>
    <x v="1"/>
    <s v="2024"/>
    <s v="Feb-2024"/>
    <n v="8"/>
  </r>
  <r>
    <x v="327"/>
    <x v="12"/>
    <d v="2024-02-15T00:00:00"/>
    <n v="12"/>
    <x v="0"/>
    <s v="Weekend"/>
    <x v="4"/>
    <n v="14"/>
    <x v="2"/>
    <x v="0"/>
    <n v="326720"/>
    <s v="High Billing"/>
    <s v="Follow-up"/>
    <x v="1"/>
    <s v="Dr. Temi"/>
    <s v="New Patient"/>
    <s v="502"/>
    <x v="5"/>
    <x v="1"/>
    <s v="2024"/>
    <s v="Feb-2024"/>
    <n v="8"/>
  </r>
  <r>
    <x v="328"/>
    <x v="13"/>
    <d v="2024-02-06T00:00:00"/>
    <n v="1"/>
    <x v="0"/>
    <s v="Weekday"/>
    <x v="1"/>
    <n v="16"/>
    <x v="2"/>
    <x v="1"/>
    <n v="327690"/>
    <s v="High Billing"/>
    <s v="Recovered"/>
    <x v="0"/>
    <s v="Dr. Kofi"/>
    <s v="New Patient"/>
    <s v="102"/>
    <x v="3"/>
    <x v="1"/>
    <s v="2024"/>
    <s v="Feb-2024"/>
    <n v="8"/>
  </r>
  <r>
    <x v="329"/>
    <x v="14"/>
    <m/>
    <n v="725"/>
    <x v="1"/>
    <s v="Weekend"/>
    <x v="2"/>
    <n v="18"/>
    <x v="1"/>
    <x v="1"/>
    <n v="328660"/>
    <s v="High Billing"/>
    <s v="Pending"/>
    <x v="0"/>
    <s v="Dr. George"/>
    <s v="New Patient"/>
    <s v="405"/>
    <x v="5"/>
    <x v="1"/>
    <s v="2024"/>
    <s v="Feb-2024"/>
    <n v="8"/>
  </r>
  <r>
    <x v="330"/>
    <x v="11"/>
    <d v="2024-02-02T00:00:00"/>
    <n v="1"/>
    <x v="0"/>
    <s v="Weekday"/>
    <x v="1"/>
    <n v="22"/>
    <x v="1"/>
    <x v="1"/>
    <n v="330600"/>
    <s v="High Billing"/>
    <s v="Recovered"/>
    <x v="0"/>
    <s v="Dr. Kofi"/>
    <s v="New Patient"/>
    <s v="102"/>
    <x v="4"/>
    <x v="1"/>
    <s v="2024"/>
    <s v="Feb-2024"/>
    <n v="8"/>
  </r>
  <r>
    <x v="331"/>
    <x v="12"/>
    <d v="2024-02-15T00:00:00"/>
    <n v="12"/>
    <x v="0"/>
    <s v="Weekend"/>
    <x v="4"/>
    <n v="24"/>
    <x v="1"/>
    <x v="0"/>
    <n v="331570"/>
    <s v="High Billing"/>
    <s v="Follow-up"/>
    <x v="1"/>
    <s v="Dr. Temi"/>
    <s v="New Patient"/>
    <s v="502"/>
    <x v="5"/>
    <x v="1"/>
    <s v="2024"/>
    <s v="Feb-2024"/>
    <n v="8"/>
  </r>
  <r>
    <x v="332"/>
    <x v="13"/>
    <d v="2024-02-06T00:00:00"/>
    <n v="1"/>
    <x v="0"/>
    <s v="Weekday"/>
    <x v="1"/>
    <n v="26"/>
    <x v="1"/>
    <x v="1"/>
    <n v="332540"/>
    <s v="High Billing"/>
    <s v="Recovered"/>
    <x v="0"/>
    <s v="Dr. Kofi"/>
    <s v="New Patient"/>
    <s v="102"/>
    <x v="3"/>
    <x v="1"/>
    <s v="2024"/>
    <s v="Feb-2024"/>
    <n v="8"/>
  </r>
  <r>
    <x v="333"/>
    <x v="14"/>
    <m/>
    <n v="725"/>
    <x v="1"/>
    <s v="Weekend"/>
    <x v="2"/>
    <n v="28"/>
    <x v="1"/>
    <x v="1"/>
    <n v="333510"/>
    <s v="High Billing"/>
    <s v="Pending"/>
    <x v="0"/>
    <s v="Dr. George"/>
    <s v="New Patient"/>
    <s v="405"/>
    <x v="5"/>
    <x v="1"/>
    <s v="2024"/>
    <s v="Feb-2024"/>
    <n v="8"/>
  </r>
  <r>
    <x v="334"/>
    <x v="10"/>
    <d v="2024-02-05T00:00:00"/>
    <n v="8"/>
    <x v="0"/>
    <s v="Weekend"/>
    <x v="0"/>
    <n v="30"/>
    <x v="1"/>
    <x v="0"/>
    <n v="334480"/>
    <s v="High Billing"/>
    <s v="Follow-up"/>
    <x v="1"/>
    <s v="Dr. Ada"/>
    <s v="New Patient"/>
    <s v="301"/>
    <x v="6"/>
    <x v="0"/>
    <s v="2024"/>
    <s v="Jan-2024"/>
    <n v="8"/>
  </r>
  <r>
    <x v="335"/>
    <x v="11"/>
    <d v="2024-02-02T00:00:00"/>
    <n v="1"/>
    <x v="0"/>
    <s v="Weekday"/>
    <x v="1"/>
    <n v="32"/>
    <x v="1"/>
    <x v="1"/>
    <n v="335450"/>
    <s v="High Billing"/>
    <s v="Recovered"/>
    <x v="0"/>
    <s v="Dr. Kofi"/>
    <s v="New Patient"/>
    <s v="102"/>
    <x v="4"/>
    <x v="1"/>
    <s v="2024"/>
    <s v="Feb-2024"/>
    <n v="8"/>
  </r>
  <r>
    <x v="336"/>
    <x v="12"/>
    <d v="2024-02-15T00:00:00"/>
    <n v="12"/>
    <x v="0"/>
    <s v="Weekend"/>
    <x v="4"/>
    <n v="34"/>
    <x v="1"/>
    <x v="0"/>
    <n v="336420"/>
    <s v="High Billing"/>
    <s v="Follow-up"/>
    <x v="1"/>
    <s v="Dr. Temi"/>
    <s v="New Patient"/>
    <s v="502"/>
    <x v="5"/>
    <x v="1"/>
    <s v="2024"/>
    <s v="Feb-2024"/>
    <n v="8"/>
  </r>
  <r>
    <x v="337"/>
    <x v="13"/>
    <d v="2024-02-06T00:00:00"/>
    <n v="1"/>
    <x v="0"/>
    <s v="Weekday"/>
    <x v="1"/>
    <n v="36"/>
    <x v="1"/>
    <x v="1"/>
    <n v="337390"/>
    <s v="High Billing"/>
    <s v="Recovered"/>
    <x v="0"/>
    <s v="Dr. Kofi"/>
    <s v="New Patient"/>
    <s v="102"/>
    <x v="3"/>
    <x v="1"/>
    <s v="2024"/>
    <s v="Feb-2024"/>
    <n v="8"/>
  </r>
  <r>
    <x v="338"/>
    <x v="14"/>
    <m/>
    <n v="725"/>
    <x v="1"/>
    <s v="Weekend"/>
    <x v="2"/>
    <n v="38"/>
    <x v="1"/>
    <x v="1"/>
    <n v="338360"/>
    <s v="High Billing"/>
    <s v="Pending"/>
    <x v="0"/>
    <s v="Dr. George"/>
    <s v="New Patient"/>
    <s v="405"/>
    <x v="5"/>
    <x v="1"/>
    <s v="2024"/>
    <s v="Feb-2024"/>
    <n v="8"/>
  </r>
  <r>
    <x v="339"/>
    <x v="10"/>
    <d v="2024-02-05T00:00:00"/>
    <n v="8"/>
    <x v="0"/>
    <s v="Weekend"/>
    <x v="0"/>
    <n v="40"/>
    <x v="1"/>
    <x v="0"/>
    <n v="339330"/>
    <s v="High Billing"/>
    <s v="Follow-up"/>
    <x v="1"/>
    <s v="Dr. Ada"/>
    <s v="New Patient"/>
    <s v="301"/>
    <x v="6"/>
    <x v="0"/>
    <s v="2024"/>
    <s v="Jan-2024"/>
    <n v="8"/>
  </r>
  <r>
    <x v="340"/>
    <x v="11"/>
    <d v="2024-02-02T00:00:00"/>
    <n v="1"/>
    <x v="0"/>
    <s v="Weekday"/>
    <x v="1"/>
    <n v="42"/>
    <x v="1"/>
    <x v="1"/>
    <n v="340300"/>
    <s v="High Billing"/>
    <s v="Recovered"/>
    <x v="0"/>
    <s v="Dr. Kofi"/>
    <s v="New Patient"/>
    <s v="102"/>
    <x v="4"/>
    <x v="1"/>
    <s v="2024"/>
    <s v="Feb-2024"/>
    <n v="8"/>
  </r>
  <r>
    <x v="341"/>
    <x v="12"/>
    <d v="2024-02-15T00:00:00"/>
    <n v="12"/>
    <x v="0"/>
    <s v="Weekend"/>
    <x v="4"/>
    <n v="44"/>
    <x v="1"/>
    <x v="0"/>
    <n v="341270"/>
    <s v="High Billing"/>
    <s v="Follow-up"/>
    <x v="1"/>
    <s v="Dr. Temi"/>
    <s v="New Patient"/>
    <s v="502"/>
    <x v="5"/>
    <x v="1"/>
    <s v="2024"/>
    <s v="Feb-2024"/>
    <n v="8"/>
  </r>
  <r>
    <x v="342"/>
    <x v="13"/>
    <d v="2024-02-06T00:00:00"/>
    <n v="1"/>
    <x v="0"/>
    <s v="Weekday"/>
    <x v="1"/>
    <n v="46"/>
    <x v="1"/>
    <x v="1"/>
    <n v="342240"/>
    <s v="High Billing"/>
    <s v="Recovered"/>
    <x v="0"/>
    <s v="Dr. Kofi"/>
    <s v="New Patient"/>
    <s v="102"/>
    <x v="3"/>
    <x v="1"/>
    <s v="2024"/>
    <s v="Feb-2024"/>
    <n v="8"/>
  </r>
  <r>
    <x v="343"/>
    <x v="14"/>
    <m/>
    <n v="725"/>
    <x v="1"/>
    <s v="Weekend"/>
    <x v="2"/>
    <n v="48"/>
    <x v="1"/>
    <x v="1"/>
    <n v="343210"/>
    <s v="High Billing"/>
    <s v="Pending"/>
    <x v="0"/>
    <s v="Dr. George"/>
    <s v="New Patient"/>
    <s v="405"/>
    <x v="5"/>
    <x v="1"/>
    <s v="2024"/>
    <s v="Feb-2024"/>
    <n v="8"/>
  </r>
  <r>
    <x v="344"/>
    <x v="10"/>
    <d v="2024-02-05T00:00:00"/>
    <n v="8"/>
    <x v="0"/>
    <s v="Weekend"/>
    <x v="0"/>
    <n v="50"/>
    <x v="0"/>
    <x v="0"/>
    <n v="344180"/>
    <s v="High Billing"/>
    <s v="Follow-up"/>
    <x v="1"/>
    <s v="Dr. Ada"/>
    <s v="New Patient"/>
    <s v="301"/>
    <x v="6"/>
    <x v="0"/>
    <s v="2024"/>
    <s v="Jan-2024"/>
    <n v="8"/>
  </r>
  <r>
    <x v="345"/>
    <x v="11"/>
    <d v="2024-02-02T00:00:00"/>
    <n v="1"/>
    <x v="0"/>
    <s v="Weekday"/>
    <x v="1"/>
    <n v="52"/>
    <x v="0"/>
    <x v="1"/>
    <n v="345150"/>
    <s v="High Billing"/>
    <s v="Recovered"/>
    <x v="0"/>
    <s v="Dr. Kofi"/>
    <s v="New Patient"/>
    <s v="102"/>
    <x v="4"/>
    <x v="1"/>
    <s v="2024"/>
    <s v="Feb-2024"/>
    <n v="8"/>
  </r>
  <r>
    <x v="346"/>
    <x v="12"/>
    <d v="2024-02-15T00:00:00"/>
    <n v="12"/>
    <x v="0"/>
    <s v="Weekend"/>
    <x v="4"/>
    <n v="54"/>
    <x v="0"/>
    <x v="0"/>
    <n v="346120"/>
    <s v="High Billing"/>
    <s v="Follow-up"/>
    <x v="1"/>
    <s v="Dr. Temi"/>
    <s v="New Patient"/>
    <s v="502"/>
    <x v="5"/>
    <x v="1"/>
    <s v="2024"/>
    <s v="Feb-2024"/>
    <n v="8"/>
  </r>
  <r>
    <x v="347"/>
    <x v="13"/>
    <d v="2024-02-06T00:00:00"/>
    <n v="1"/>
    <x v="0"/>
    <s v="Weekday"/>
    <x v="1"/>
    <n v="56"/>
    <x v="0"/>
    <x v="1"/>
    <n v="347090"/>
    <s v="High Billing"/>
    <s v="Recovered"/>
    <x v="0"/>
    <s v="Dr. Kofi"/>
    <s v="New Patient"/>
    <s v="102"/>
    <x v="3"/>
    <x v="1"/>
    <s v="2024"/>
    <s v="Feb-2024"/>
    <n v="8"/>
  </r>
  <r>
    <x v="348"/>
    <x v="14"/>
    <m/>
    <n v="725"/>
    <x v="1"/>
    <s v="Weekend"/>
    <x v="2"/>
    <n v="58"/>
    <x v="0"/>
    <x v="1"/>
    <n v="348060"/>
    <s v="High Billing"/>
    <s v="Pending"/>
    <x v="0"/>
    <s v="Dr. George"/>
    <s v="New Patient"/>
    <s v="405"/>
    <x v="5"/>
    <x v="1"/>
    <s v="2024"/>
    <s v="Feb-2024"/>
    <n v="8"/>
  </r>
  <r>
    <x v="349"/>
    <x v="10"/>
    <d v="2024-02-05T00:00:00"/>
    <n v="8"/>
    <x v="0"/>
    <s v="Weekend"/>
    <x v="0"/>
    <n v="60"/>
    <x v="0"/>
    <x v="0"/>
    <n v="349030"/>
    <s v="High Billing"/>
    <s v="Follow-up"/>
    <x v="1"/>
    <s v="Dr. Ada"/>
    <s v="New Patient"/>
    <s v="301"/>
    <x v="6"/>
    <x v="0"/>
    <s v="2024"/>
    <s v="Jan-2024"/>
    <n v="8"/>
  </r>
  <r>
    <x v="350"/>
    <x v="11"/>
    <d v="2024-02-02T00:00:00"/>
    <n v="1"/>
    <x v="0"/>
    <s v="Weekday"/>
    <x v="1"/>
    <n v="62"/>
    <x v="0"/>
    <x v="1"/>
    <n v="350000"/>
    <s v="High Billing"/>
    <s v="Recovered"/>
    <x v="0"/>
    <s v="Dr. Kofi"/>
    <s v="New Patient"/>
    <s v="102"/>
    <x v="4"/>
    <x v="1"/>
    <s v="2024"/>
    <s v="Feb-2024"/>
    <n v="8"/>
  </r>
  <r>
    <x v="351"/>
    <x v="12"/>
    <d v="2024-02-15T00:00:00"/>
    <n v="12"/>
    <x v="0"/>
    <s v="Weekend"/>
    <x v="4"/>
    <n v="64"/>
    <x v="0"/>
    <x v="0"/>
    <n v="350970"/>
    <s v="High Billing"/>
    <s v="Follow-up"/>
    <x v="1"/>
    <s v="Dr. Temi"/>
    <s v="New Patient"/>
    <s v="502"/>
    <x v="5"/>
    <x v="1"/>
    <s v="2024"/>
    <s v="Feb-2024"/>
    <n v="8"/>
  </r>
  <r>
    <x v="352"/>
    <x v="13"/>
    <d v="2024-02-06T00:00:00"/>
    <n v="1"/>
    <x v="0"/>
    <s v="Weekday"/>
    <x v="1"/>
    <n v="66"/>
    <x v="0"/>
    <x v="1"/>
    <n v="351940"/>
    <s v="High Billing"/>
    <s v="Recovered"/>
    <x v="0"/>
    <s v="Dr. Kofi"/>
    <s v="New Patient"/>
    <s v="102"/>
    <x v="3"/>
    <x v="1"/>
    <s v="2024"/>
    <s v="Feb-2024"/>
    <n v="8"/>
  </r>
  <r>
    <x v="353"/>
    <x v="14"/>
    <m/>
    <n v="725"/>
    <x v="1"/>
    <s v="Weekend"/>
    <x v="2"/>
    <n v="68"/>
    <x v="0"/>
    <x v="1"/>
    <n v="352910"/>
    <s v="High Billing"/>
    <s v="Pending"/>
    <x v="0"/>
    <s v="Dr. George"/>
    <s v="New Patient"/>
    <s v="405"/>
    <x v="5"/>
    <x v="1"/>
    <s v="2024"/>
    <s v="Feb-2024"/>
    <n v="8"/>
  </r>
  <r>
    <x v="354"/>
    <x v="10"/>
    <d v="2024-02-05T00:00:00"/>
    <n v="8"/>
    <x v="0"/>
    <s v="Weekend"/>
    <x v="0"/>
    <n v="70"/>
    <x v="0"/>
    <x v="0"/>
    <n v="353880"/>
    <s v="High Billing"/>
    <s v="Follow-up"/>
    <x v="1"/>
    <s v="Dr. Ada"/>
    <s v="New Patient"/>
    <s v="301"/>
    <x v="6"/>
    <x v="0"/>
    <s v="2024"/>
    <s v="Jan-2024"/>
    <n v="8"/>
  </r>
  <r>
    <x v="355"/>
    <x v="11"/>
    <d v="2024-02-02T00:00:00"/>
    <n v="1"/>
    <x v="0"/>
    <s v="Weekday"/>
    <x v="1"/>
    <n v="72"/>
    <x v="0"/>
    <x v="1"/>
    <n v="354850"/>
    <s v="High Billing"/>
    <s v="Recovered"/>
    <x v="0"/>
    <s v="Dr. Kofi"/>
    <s v="New Patient"/>
    <s v="102"/>
    <x v="4"/>
    <x v="1"/>
    <s v="2024"/>
    <s v="Feb-2024"/>
    <n v="8"/>
  </r>
  <r>
    <x v="356"/>
    <x v="12"/>
    <d v="2024-02-15T00:00:00"/>
    <n v="12"/>
    <x v="0"/>
    <s v="Weekend"/>
    <x v="4"/>
    <n v="74"/>
    <x v="0"/>
    <x v="0"/>
    <n v="355820"/>
    <s v="High Billing"/>
    <s v="Follow-up"/>
    <x v="1"/>
    <s v="Dr. Temi"/>
    <s v="New Patient"/>
    <s v="502"/>
    <x v="5"/>
    <x v="1"/>
    <s v="2024"/>
    <s v="Feb-2024"/>
    <n v="8"/>
  </r>
  <r>
    <x v="357"/>
    <x v="13"/>
    <d v="2024-02-06T00:00:00"/>
    <n v="1"/>
    <x v="0"/>
    <s v="Weekday"/>
    <x v="1"/>
    <n v="76"/>
    <x v="0"/>
    <x v="1"/>
    <n v="356790"/>
    <s v="High Billing"/>
    <s v="Recovered"/>
    <x v="0"/>
    <s v="Dr. Kofi"/>
    <s v="New Patient"/>
    <s v="102"/>
    <x v="3"/>
    <x v="1"/>
    <s v="2024"/>
    <s v="Feb-2024"/>
    <n v="8"/>
  </r>
  <r>
    <x v="358"/>
    <x v="14"/>
    <m/>
    <n v="725"/>
    <x v="1"/>
    <s v="Weekend"/>
    <x v="2"/>
    <n v="78"/>
    <x v="0"/>
    <x v="1"/>
    <n v="357760"/>
    <s v="High Billing"/>
    <s v="Pending"/>
    <x v="0"/>
    <s v="Dr. George"/>
    <s v="New Patient"/>
    <s v="405"/>
    <x v="5"/>
    <x v="1"/>
    <s v="2024"/>
    <s v="Feb-2024"/>
    <n v="8"/>
  </r>
  <r>
    <x v="359"/>
    <x v="10"/>
    <d v="2024-02-05T00:00:00"/>
    <n v="8"/>
    <x v="0"/>
    <s v="Weekend"/>
    <x v="0"/>
    <n v="80"/>
    <x v="0"/>
    <x v="0"/>
    <n v="358730"/>
    <s v="High Billing"/>
    <s v="Follow-up"/>
    <x v="1"/>
    <s v="Dr. Ada"/>
    <s v="New Patient"/>
    <s v="301"/>
    <x v="6"/>
    <x v="0"/>
    <s v="2024"/>
    <s v="Jan-2024"/>
    <n v="8"/>
  </r>
  <r>
    <x v="360"/>
    <x v="11"/>
    <d v="2024-02-02T00:00:00"/>
    <n v="1"/>
    <x v="0"/>
    <s v="Weekday"/>
    <x v="1"/>
    <n v="82"/>
    <x v="0"/>
    <x v="1"/>
    <n v="359700"/>
    <s v="High Billing"/>
    <s v="Recovered"/>
    <x v="0"/>
    <s v="Dr. Kofi"/>
    <s v="New Patient"/>
    <s v="102"/>
    <x v="4"/>
    <x v="1"/>
    <s v="2024"/>
    <s v="Feb-2024"/>
    <n v="8"/>
  </r>
  <r>
    <x v="361"/>
    <x v="12"/>
    <d v="2024-02-15T00:00:00"/>
    <n v="12"/>
    <x v="0"/>
    <s v="Weekend"/>
    <x v="4"/>
    <n v="84"/>
    <x v="0"/>
    <x v="0"/>
    <n v="360670"/>
    <s v="High Billing"/>
    <s v="Follow-up"/>
    <x v="1"/>
    <s v="Dr. Temi"/>
    <s v="New Patient"/>
    <s v="502"/>
    <x v="5"/>
    <x v="1"/>
    <s v="2024"/>
    <s v="Feb-2024"/>
    <n v="8"/>
  </r>
  <r>
    <x v="362"/>
    <x v="13"/>
    <d v="2024-02-06T00:00:00"/>
    <n v="1"/>
    <x v="0"/>
    <s v="Weekday"/>
    <x v="1"/>
    <n v="86"/>
    <x v="0"/>
    <x v="1"/>
    <n v="361640"/>
    <s v="High Billing"/>
    <s v="Recovered"/>
    <x v="0"/>
    <s v="Dr. Kofi"/>
    <s v="New Patient"/>
    <s v="102"/>
    <x v="3"/>
    <x v="1"/>
    <s v="2024"/>
    <s v="Feb-2024"/>
    <n v="8"/>
  </r>
  <r>
    <x v="363"/>
    <x v="14"/>
    <m/>
    <n v="725"/>
    <x v="1"/>
    <s v="Weekend"/>
    <x v="2"/>
    <n v="88"/>
    <x v="0"/>
    <x v="1"/>
    <n v="362610"/>
    <s v="High Billing"/>
    <s v="Pending"/>
    <x v="0"/>
    <s v="Dr. George"/>
    <s v="New Patient"/>
    <s v="405"/>
    <x v="5"/>
    <x v="1"/>
    <s v="2024"/>
    <s v="Feb-2024"/>
    <n v="8"/>
  </r>
  <r>
    <x v="364"/>
    <x v="10"/>
    <d v="2024-02-05T00:00:00"/>
    <n v="8"/>
    <x v="0"/>
    <s v="Weekend"/>
    <x v="0"/>
    <n v="90"/>
    <x v="0"/>
    <x v="0"/>
    <n v="363580"/>
    <s v="High Billing"/>
    <s v="Follow-up"/>
    <x v="1"/>
    <s v="Dr. Ada"/>
    <s v="New Patient"/>
    <s v="301"/>
    <x v="6"/>
    <x v="0"/>
    <s v="2024"/>
    <s v="Jan-2024"/>
    <n v="8"/>
  </r>
  <r>
    <x v="365"/>
    <x v="11"/>
    <d v="2024-02-02T00:00:00"/>
    <n v="1"/>
    <x v="0"/>
    <s v="Weekday"/>
    <x v="1"/>
    <n v="92"/>
    <x v="0"/>
    <x v="1"/>
    <n v="364550"/>
    <s v="High Billing"/>
    <s v="Recovered"/>
    <x v="0"/>
    <s v="Dr. Kofi"/>
    <s v="New Patient"/>
    <s v="102"/>
    <x v="4"/>
    <x v="1"/>
    <s v="2024"/>
    <s v="Feb-2024"/>
    <n v="8"/>
  </r>
  <r>
    <x v="366"/>
    <x v="12"/>
    <d v="2024-02-15T00:00:00"/>
    <n v="12"/>
    <x v="0"/>
    <s v="Weekend"/>
    <x v="4"/>
    <n v="94"/>
    <x v="0"/>
    <x v="0"/>
    <n v="365520"/>
    <s v="High Billing"/>
    <s v="Follow-up"/>
    <x v="1"/>
    <s v="Dr. Temi"/>
    <s v="New Patient"/>
    <s v="502"/>
    <x v="5"/>
    <x v="1"/>
    <s v="2024"/>
    <s v="Feb-2024"/>
    <n v="8"/>
  </r>
  <r>
    <x v="367"/>
    <x v="13"/>
    <d v="2024-02-06T00:00:00"/>
    <n v="1"/>
    <x v="0"/>
    <s v="Weekday"/>
    <x v="1"/>
    <n v="96"/>
    <x v="0"/>
    <x v="1"/>
    <n v="366490"/>
    <s v="High Billing"/>
    <s v="Recovered"/>
    <x v="0"/>
    <s v="Dr. Kofi"/>
    <s v="New Patient"/>
    <s v="102"/>
    <x v="3"/>
    <x v="1"/>
    <s v="2024"/>
    <s v="Feb-2024"/>
    <n v="8"/>
  </r>
  <r>
    <x v="368"/>
    <x v="14"/>
    <m/>
    <n v="725"/>
    <x v="1"/>
    <s v="Weekend"/>
    <x v="2"/>
    <n v="98"/>
    <x v="0"/>
    <x v="1"/>
    <n v="367460"/>
    <s v="High Billing"/>
    <s v="Pending"/>
    <x v="0"/>
    <s v="Dr. George"/>
    <s v="New Patient"/>
    <s v="405"/>
    <x v="5"/>
    <x v="1"/>
    <s v="2024"/>
    <s v="Feb-2024"/>
    <n v="8"/>
  </r>
  <r>
    <x v="369"/>
    <x v="10"/>
    <d v="2024-02-05T00:00:00"/>
    <n v="8"/>
    <x v="0"/>
    <s v="Weekend"/>
    <x v="0"/>
    <n v="100"/>
    <x v="0"/>
    <x v="0"/>
    <n v="368430"/>
    <s v="High Billing"/>
    <s v="Follow-up"/>
    <x v="1"/>
    <s v="Dr. Ada"/>
    <s v="New Patient"/>
    <s v="301"/>
    <x v="6"/>
    <x v="0"/>
    <s v="2024"/>
    <s v="Jan-2024"/>
    <n v="8"/>
  </r>
  <r>
    <x v="370"/>
    <x v="11"/>
    <d v="2024-02-02T00:00:00"/>
    <n v="1"/>
    <x v="0"/>
    <s v="Weekday"/>
    <x v="1"/>
    <n v="2"/>
    <x v="2"/>
    <x v="1"/>
    <n v="369400"/>
    <s v="High Billing"/>
    <s v="Recovered"/>
    <x v="0"/>
    <s v="Dr. Kofi"/>
    <s v="New Patient"/>
    <s v="102"/>
    <x v="4"/>
    <x v="1"/>
    <s v="2024"/>
    <s v="Feb-2024"/>
    <n v="8"/>
  </r>
  <r>
    <x v="371"/>
    <x v="12"/>
    <d v="2024-02-15T00:00:00"/>
    <n v="12"/>
    <x v="0"/>
    <s v="Weekend"/>
    <x v="4"/>
    <n v="4"/>
    <x v="2"/>
    <x v="0"/>
    <n v="370370"/>
    <s v="High Billing"/>
    <s v="Follow-up"/>
    <x v="1"/>
    <s v="Dr. Temi"/>
    <s v="New Patient"/>
    <s v="502"/>
    <x v="5"/>
    <x v="1"/>
    <s v="2024"/>
    <s v="Feb-2024"/>
    <n v="8"/>
  </r>
  <r>
    <x v="372"/>
    <x v="13"/>
    <d v="2024-02-06T00:00:00"/>
    <n v="1"/>
    <x v="0"/>
    <s v="Weekday"/>
    <x v="1"/>
    <n v="6"/>
    <x v="2"/>
    <x v="1"/>
    <n v="371340"/>
    <s v="High Billing"/>
    <s v="Recovered"/>
    <x v="0"/>
    <s v="Dr. Kofi"/>
    <s v="New Patient"/>
    <s v="102"/>
    <x v="3"/>
    <x v="1"/>
    <s v="2024"/>
    <s v="Feb-2024"/>
    <n v="8"/>
  </r>
  <r>
    <x v="373"/>
    <x v="14"/>
    <m/>
    <n v="725"/>
    <x v="1"/>
    <s v="Weekend"/>
    <x v="2"/>
    <n v="8"/>
    <x v="2"/>
    <x v="1"/>
    <n v="372310"/>
    <s v="High Billing"/>
    <s v="Pending"/>
    <x v="0"/>
    <s v="Dr. George"/>
    <s v="New Patient"/>
    <s v="405"/>
    <x v="5"/>
    <x v="1"/>
    <s v="2024"/>
    <s v="Feb-2024"/>
    <n v="8"/>
  </r>
  <r>
    <x v="374"/>
    <x v="10"/>
    <d v="2024-02-05T00:00:00"/>
    <n v="8"/>
    <x v="0"/>
    <s v="Weekend"/>
    <x v="0"/>
    <n v="10"/>
    <x v="2"/>
    <x v="0"/>
    <n v="373280"/>
    <s v="High Billing"/>
    <s v="Follow-up"/>
    <x v="1"/>
    <s v="Dr. Ada"/>
    <s v="New Patient"/>
    <s v="301"/>
    <x v="6"/>
    <x v="0"/>
    <s v="2024"/>
    <s v="Jan-2024"/>
    <n v="8"/>
  </r>
  <r>
    <x v="375"/>
    <x v="11"/>
    <d v="2024-02-02T00:00:00"/>
    <n v="1"/>
    <x v="0"/>
    <s v="Weekday"/>
    <x v="1"/>
    <n v="12"/>
    <x v="2"/>
    <x v="1"/>
    <n v="374250"/>
    <s v="High Billing"/>
    <s v="Recovered"/>
    <x v="0"/>
    <s v="Dr. Kofi"/>
    <s v="New Patient"/>
    <s v="102"/>
    <x v="4"/>
    <x v="1"/>
    <s v="2024"/>
    <s v="Feb-2024"/>
    <n v="8"/>
  </r>
  <r>
    <x v="376"/>
    <x v="12"/>
    <d v="2024-02-15T00:00:00"/>
    <n v="12"/>
    <x v="0"/>
    <s v="Weekend"/>
    <x v="4"/>
    <n v="14"/>
    <x v="2"/>
    <x v="0"/>
    <n v="375220"/>
    <s v="High Billing"/>
    <s v="Follow-up"/>
    <x v="1"/>
    <s v="Dr. Temi"/>
    <s v="New Patient"/>
    <s v="502"/>
    <x v="5"/>
    <x v="1"/>
    <s v="2024"/>
    <s v="Feb-2024"/>
    <n v="8"/>
  </r>
  <r>
    <x v="377"/>
    <x v="13"/>
    <d v="2024-02-06T00:00:00"/>
    <n v="1"/>
    <x v="0"/>
    <s v="Weekday"/>
    <x v="1"/>
    <n v="16"/>
    <x v="2"/>
    <x v="1"/>
    <n v="376190"/>
    <s v="High Billing"/>
    <s v="Recovered"/>
    <x v="0"/>
    <s v="Dr. Kofi"/>
    <s v="New Patient"/>
    <s v="102"/>
    <x v="3"/>
    <x v="1"/>
    <s v="2024"/>
    <s v="Feb-2024"/>
    <n v="8"/>
  </r>
  <r>
    <x v="378"/>
    <x v="14"/>
    <m/>
    <n v="725"/>
    <x v="1"/>
    <s v="Weekend"/>
    <x v="2"/>
    <n v="18"/>
    <x v="1"/>
    <x v="1"/>
    <n v="377160"/>
    <s v="High Billing"/>
    <s v="Pending"/>
    <x v="0"/>
    <s v="Dr. George"/>
    <s v="New Patient"/>
    <s v="405"/>
    <x v="5"/>
    <x v="1"/>
    <s v="2024"/>
    <s v="Feb-2024"/>
    <n v="8"/>
  </r>
  <r>
    <x v="379"/>
    <x v="10"/>
    <d v="2024-02-05T00:00:00"/>
    <n v="8"/>
    <x v="0"/>
    <s v="Weekend"/>
    <x v="0"/>
    <n v="20"/>
    <x v="1"/>
    <x v="0"/>
    <n v="378130"/>
    <s v="High Billing"/>
    <s v="Follow-up"/>
    <x v="1"/>
    <s v="Dr. Ada"/>
    <s v="New Patient"/>
    <s v="301"/>
    <x v="6"/>
    <x v="0"/>
    <s v="2024"/>
    <s v="Jan-2024"/>
    <n v="8"/>
  </r>
  <r>
    <x v="380"/>
    <x v="11"/>
    <d v="2024-02-02T00:00:00"/>
    <n v="1"/>
    <x v="0"/>
    <s v="Weekday"/>
    <x v="1"/>
    <n v="22"/>
    <x v="1"/>
    <x v="1"/>
    <n v="379100"/>
    <s v="High Billing"/>
    <s v="Recovered"/>
    <x v="0"/>
    <s v="Dr. Kofi"/>
    <s v="New Patient"/>
    <s v="102"/>
    <x v="4"/>
    <x v="1"/>
    <s v="2024"/>
    <s v="Feb-2024"/>
    <n v="8"/>
  </r>
  <r>
    <x v="381"/>
    <x v="12"/>
    <d v="2024-02-15T00:00:00"/>
    <n v="12"/>
    <x v="0"/>
    <s v="Weekend"/>
    <x v="4"/>
    <n v="24"/>
    <x v="1"/>
    <x v="0"/>
    <n v="380070"/>
    <s v="High Billing"/>
    <s v="Follow-up"/>
    <x v="1"/>
    <s v="Dr. Temi"/>
    <s v="New Patient"/>
    <s v="502"/>
    <x v="5"/>
    <x v="1"/>
    <s v="2024"/>
    <s v="Feb-2024"/>
    <n v="8"/>
  </r>
  <r>
    <x v="382"/>
    <x v="13"/>
    <d v="2024-02-06T00:00:00"/>
    <n v="1"/>
    <x v="0"/>
    <s v="Weekday"/>
    <x v="1"/>
    <n v="26"/>
    <x v="1"/>
    <x v="1"/>
    <n v="381040"/>
    <s v="High Billing"/>
    <s v="Recovered"/>
    <x v="0"/>
    <s v="Dr. Kofi"/>
    <s v="New Patient"/>
    <s v="102"/>
    <x v="3"/>
    <x v="1"/>
    <s v="2024"/>
    <s v="Feb-2024"/>
    <n v="8"/>
  </r>
  <r>
    <x v="383"/>
    <x v="14"/>
    <m/>
    <n v="725"/>
    <x v="1"/>
    <s v="Weekend"/>
    <x v="2"/>
    <n v="28"/>
    <x v="1"/>
    <x v="1"/>
    <n v="382010"/>
    <s v="High Billing"/>
    <s v="Pending"/>
    <x v="0"/>
    <s v="Dr. George"/>
    <s v="New Patient"/>
    <s v="405"/>
    <x v="5"/>
    <x v="1"/>
    <s v="2024"/>
    <s v="Feb-2024"/>
    <n v="8"/>
  </r>
  <r>
    <x v="384"/>
    <x v="10"/>
    <d v="2024-02-05T00:00:00"/>
    <n v="8"/>
    <x v="0"/>
    <s v="Weekend"/>
    <x v="0"/>
    <n v="30"/>
    <x v="1"/>
    <x v="0"/>
    <n v="382980"/>
    <s v="High Billing"/>
    <s v="Follow-up"/>
    <x v="1"/>
    <s v="Dr. Ada"/>
    <s v="New Patient"/>
    <s v="301"/>
    <x v="6"/>
    <x v="0"/>
    <s v="2024"/>
    <s v="Jan-2024"/>
    <n v="8"/>
  </r>
  <r>
    <x v="385"/>
    <x v="11"/>
    <d v="2024-02-02T00:00:00"/>
    <n v="1"/>
    <x v="0"/>
    <s v="Weekday"/>
    <x v="1"/>
    <n v="32"/>
    <x v="1"/>
    <x v="1"/>
    <n v="383950"/>
    <s v="High Billing"/>
    <s v="Recovered"/>
    <x v="0"/>
    <s v="Dr. Kofi"/>
    <s v="New Patient"/>
    <s v="102"/>
    <x v="4"/>
    <x v="1"/>
    <s v="2024"/>
    <s v="Feb-2024"/>
    <n v="8"/>
  </r>
  <r>
    <x v="386"/>
    <x v="12"/>
    <d v="2024-02-15T00:00:00"/>
    <n v="12"/>
    <x v="0"/>
    <s v="Weekend"/>
    <x v="4"/>
    <n v="34"/>
    <x v="1"/>
    <x v="0"/>
    <n v="384920"/>
    <s v="High Billing"/>
    <s v="Follow-up"/>
    <x v="1"/>
    <s v="Dr. Temi"/>
    <s v="New Patient"/>
    <s v="502"/>
    <x v="5"/>
    <x v="1"/>
    <s v="2024"/>
    <s v="Feb-2024"/>
    <n v="8"/>
  </r>
  <r>
    <x v="387"/>
    <x v="13"/>
    <d v="2024-02-06T00:00:00"/>
    <n v="1"/>
    <x v="0"/>
    <s v="Weekday"/>
    <x v="1"/>
    <n v="36"/>
    <x v="1"/>
    <x v="1"/>
    <n v="385890"/>
    <s v="High Billing"/>
    <s v="Recovered"/>
    <x v="0"/>
    <s v="Dr. Kofi"/>
    <s v="New Patient"/>
    <s v="102"/>
    <x v="3"/>
    <x v="1"/>
    <s v="2024"/>
    <s v="Feb-2024"/>
    <n v="8"/>
  </r>
  <r>
    <x v="388"/>
    <x v="14"/>
    <m/>
    <n v="725"/>
    <x v="1"/>
    <s v="Weekend"/>
    <x v="2"/>
    <n v="38"/>
    <x v="1"/>
    <x v="1"/>
    <n v="386860"/>
    <s v="High Billing"/>
    <s v="Pending"/>
    <x v="0"/>
    <s v="Dr. George"/>
    <s v="New Patient"/>
    <s v="405"/>
    <x v="5"/>
    <x v="1"/>
    <s v="2024"/>
    <s v="Feb-2024"/>
    <n v="8"/>
  </r>
  <r>
    <x v="389"/>
    <x v="10"/>
    <d v="2024-02-05T00:00:00"/>
    <n v="8"/>
    <x v="0"/>
    <s v="Weekend"/>
    <x v="0"/>
    <n v="40"/>
    <x v="1"/>
    <x v="0"/>
    <n v="387830"/>
    <s v="High Billing"/>
    <s v="Follow-up"/>
    <x v="1"/>
    <s v="Dr. Ada"/>
    <s v="New Patient"/>
    <s v="301"/>
    <x v="6"/>
    <x v="0"/>
    <s v="2024"/>
    <s v="Jan-2024"/>
    <n v="8"/>
  </r>
  <r>
    <x v="390"/>
    <x v="11"/>
    <d v="2024-02-02T00:00:00"/>
    <n v="1"/>
    <x v="0"/>
    <s v="Weekday"/>
    <x v="1"/>
    <n v="42"/>
    <x v="1"/>
    <x v="1"/>
    <n v="388800"/>
    <s v="High Billing"/>
    <s v="Recovered"/>
    <x v="0"/>
    <s v="Dr. Kofi"/>
    <s v="New Patient"/>
    <s v="102"/>
    <x v="4"/>
    <x v="1"/>
    <s v="2024"/>
    <s v="Feb-2024"/>
    <n v="8"/>
  </r>
  <r>
    <x v="391"/>
    <x v="12"/>
    <d v="2024-02-15T00:00:00"/>
    <n v="12"/>
    <x v="0"/>
    <s v="Weekend"/>
    <x v="4"/>
    <n v="44"/>
    <x v="1"/>
    <x v="0"/>
    <n v="389770"/>
    <s v="High Billing"/>
    <s v="Follow-up"/>
    <x v="1"/>
    <s v="Dr. Temi"/>
    <s v="New Patient"/>
    <s v="502"/>
    <x v="5"/>
    <x v="1"/>
    <s v="2024"/>
    <s v="Feb-2024"/>
    <n v="8"/>
  </r>
  <r>
    <x v="392"/>
    <x v="13"/>
    <d v="2024-02-06T00:00:00"/>
    <n v="1"/>
    <x v="0"/>
    <s v="Weekday"/>
    <x v="1"/>
    <n v="46"/>
    <x v="1"/>
    <x v="1"/>
    <n v="390740"/>
    <s v="High Billing"/>
    <s v="Recovered"/>
    <x v="0"/>
    <s v="Dr. Kofi"/>
    <s v="New Patient"/>
    <s v="102"/>
    <x v="3"/>
    <x v="1"/>
    <s v="2024"/>
    <s v="Feb-2024"/>
    <n v="8"/>
  </r>
  <r>
    <x v="393"/>
    <x v="14"/>
    <m/>
    <n v="725"/>
    <x v="1"/>
    <s v="Weekend"/>
    <x v="2"/>
    <n v="48"/>
    <x v="1"/>
    <x v="1"/>
    <n v="391710"/>
    <s v="High Billing"/>
    <s v="Pending"/>
    <x v="0"/>
    <s v="Dr. George"/>
    <s v="New Patient"/>
    <s v="405"/>
    <x v="5"/>
    <x v="1"/>
    <s v="2024"/>
    <s v="Feb-2024"/>
    <n v="8"/>
  </r>
  <r>
    <x v="394"/>
    <x v="10"/>
    <d v="2024-02-05T00:00:00"/>
    <n v="8"/>
    <x v="0"/>
    <s v="Weekend"/>
    <x v="0"/>
    <n v="50"/>
    <x v="0"/>
    <x v="0"/>
    <n v="392680"/>
    <s v="High Billing"/>
    <s v="Follow-up"/>
    <x v="1"/>
    <s v="Dr. Ada"/>
    <s v="New Patient"/>
    <s v="301"/>
    <x v="6"/>
    <x v="0"/>
    <s v="2024"/>
    <s v="Jan-2024"/>
    <n v="8"/>
  </r>
  <r>
    <x v="395"/>
    <x v="11"/>
    <d v="2024-02-02T00:00:00"/>
    <n v="1"/>
    <x v="0"/>
    <s v="Weekday"/>
    <x v="1"/>
    <n v="52"/>
    <x v="0"/>
    <x v="1"/>
    <n v="393650"/>
    <s v="High Billing"/>
    <s v="Recovered"/>
    <x v="0"/>
    <s v="Dr. Kofi"/>
    <s v="New Patient"/>
    <s v="102"/>
    <x v="4"/>
    <x v="1"/>
    <s v="2024"/>
    <s v="Feb-2024"/>
    <n v="8"/>
  </r>
  <r>
    <x v="396"/>
    <x v="12"/>
    <d v="2024-02-15T00:00:00"/>
    <n v="12"/>
    <x v="0"/>
    <s v="Weekend"/>
    <x v="4"/>
    <n v="54"/>
    <x v="0"/>
    <x v="0"/>
    <n v="394620"/>
    <s v="High Billing"/>
    <s v="Follow-up"/>
    <x v="1"/>
    <s v="Dr. Temi"/>
    <s v="New Patient"/>
    <s v="502"/>
    <x v="5"/>
    <x v="1"/>
    <s v="2024"/>
    <s v="Feb-2024"/>
    <n v="8"/>
  </r>
  <r>
    <x v="397"/>
    <x v="13"/>
    <d v="2024-02-06T00:00:00"/>
    <n v="1"/>
    <x v="0"/>
    <s v="Weekday"/>
    <x v="1"/>
    <n v="56"/>
    <x v="0"/>
    <x v="1"/>
    <n v="395590"/>
    <s v="High Billing"/>
    <s v="Recovered"/>
    <x v="0"/>
    <s v="Dr. Kofi"/>
    <s v="New Patient"/>
    <s v="102"/>
    <x v="3"/>
    <x v="1"/>
    <s v="2024"/>
    <s v="Feb-2024"/>
    <n v="8"/>
  </r>
  <r>
    <x v="398"/>
    <x v="14"/>
    <m/>
    <n v="725"/>
    <x v="1"/>
    <s v="Weekend"/>
    <x v="2"/>
    <n v="58"/>
    <x v="0"/>
    <x v="1"/>
    <n v="396560"/>
    <s v="High Billing"/>
    <s v="Pending"/>
    <x v="0"/>
    <s v="Dr. George"/>
    <s v="New Patient"/>
    <s v="405"/>
    <x v="5"/>
    <x v="1"/>
    <s v="2024"/>
    <s v="Feb-2024"/>
    <n v="8"/>
  </r>
  <r>
    <x v="399"/>
    <x v="10"/>
    <d v="2024-02-05T00:00:00"/>
    <n v="8"/>
    <x v="0"/>
    <s v="Weekend"/>
    <x v="0"/>
    <n v="60"/>
    <x v="0"/>
    <x v="0"/>
    <n v="397530"/>
    <s v="High Billing"/>
    <s v="Follow-up"/>
    <x v="1"/>
    <s v="Dr. Ada"/>
    <s v="New Patient"/>
    <s v="301"/>
    <x v="6"/>
    <x v="0"/>
    <s v="2024"/>
    <s v="Jan-2024"/>
    <n v="8"/>
  </r>
  <r>
    <x v="400"/>
    <x v="11"/>
    <d v="2024-02-02T00:00:00"/>
    <n v="1"/>
    <x v="0"/>
    <s v="Weekday"/>
    <x v="1"/>
    <n v="62"/>
    <x v="0"/>
    <x v="1"/>
    <n v="398500"/>
    <s v="High Billing"/>
    <s v="Recovered"/>
    <x v="0"/>
    <s v="Dr. Kofi"/>
    <s v="New Patient"/>
    <s v="102"/>
    <x v="4"/>
    <x v="1"/>
    <s v="2024"/>
    <s v="Feb-2024"/>
    <n v="8"/>
  </r>
  <r>
    <x v="401"/>
    <x v="12"/>
    <d v="2024-02-15T00:00:00"/>
    <n v="12"/>
    <x v="0"/>
    <s v="Weekend"/>
    <x v="4"/>
    <n v="64"/>
    <x v="0"/>
    <x v="0"/>
    <n v="399470"/>
    <s v="High Billing"/>
    <s v="Follow-up"/>
    <x v="1"/>
    <s v="Dr. Temi"/>
    <s v="New Patient"/>
    <s v="502"/>
    <x v="5"/>
    <x v="1"/>
    <s v="2024"/>
    <s v="Feb-2024"/>
    <n v="8"/>
  </r>
  <r>
    <x v="402"/>
    <x v="13"/>
    <d v="2024-02-06T00:00:00"/>
    <n v="1"/>
    <x v="0"/>
    <s v="Weekday"/>
    <x v="1"/>
    <n v="66"/>
    <x v="0"/>
    <x v="1"/>
    <n v="400440"/>
    <s v="High Billing"/>
    <s v="Recovered"/>
    <x v="0"/>
    <s v="Dr. Kofi"/>
    <s v="New Patient"/>
    <s v="102"/>
    <x v="3"/>
    <x v="1"/>
    <s v="2024"/>
    <s v="Feb-2024"/>
    <n v="8"/>
  </r>
  <r>
    <x v="403"/>
    <x v="14"/>
    <m/>
    <n v="725"/>
    <x v="1"/>
    <s v="Weekend"/>
    <x v="2"/>
    <n v="68"/>
    <x v="0"/>
    <x v="1"/>
    <n v="401410"/>
    <s v="High Billing"/>
    <s v="Pending"/>
    <x v="0"/>
    <s v="Dr. George"/>
    <s v="New Patient"/>
    <s v="405"/>
    <x v="5"/>
    <x v="1"/>
    <s v="2024"/>
    <s v="Feb-2024"/>
    <n v="8"/>
  </r>
  <r>
    <x v="404"/>
    <x v="10"/>
    <d v="2024-02-05T00:00:00"/>
    <n v="8"/>
    <x v="0"/>
    <s v="Weekend"/>
    <x v="0"/>
    <n v="70"/>
    <x v="0"/>
    <x v="0"/>
    <n v="402380"/>
    <s v="High Billing"/>
    <s v="Follow-up"/>
    <x v="1"/>
    <s v="Dr. Ada"/>
    <s v="New Patient"/>
    <s v="301"/>
    <x v="6"/>
    <x v="0"/>
    <s v="2024"/>
    <s v="Jan-2024"/>
    <n v="8"/>
  </r>
  <r>
    <x v="405"/>
    <x v="11"/>
    <d v="2024-02-02T00:00:00"/>
    <n v="1"/>
    <x v="0"/>
    <s v="Weekday"/>
    <x v="1"/>
    <n v="72"/>
    <x v="0"/>
    <x v="1"/>
    <n v="403350"/>
    <s v="High Billing"/>
    <s v="Recovered"/>
    <x v="0"/>
    <s v="Dr. Kofi"/>
    <s v="New Patient"/>
    <s v="102"/>
    <x v="4"/>
    <x v="1"/>
    <s v="2024"/>
    <s v="Feb-2024"/>
    <n v="8"/>
  </r>
  <r>
    <x v="406"/>
    <x v="12"/>
    <d v="2024-02-15T00:00:00"/>
    <n v="12"/>
    <x v="0"/>
    <s v="Weekend"/>
    <x v="4"/>
    <n v="74"/>
    <x v="0"/>
    <x v="0"/>
    <n v="404320"/>
    <s v="High Billing"/>
    <s v="Follow-up"/>
    <x v="1"/>
    <s v="Dr. Temi"/>
    <s v="New Patient"/>
    <s v="502"/>
    <x v="5"/>
    <x v="1"/>
    <s v="2024"/>
    <s v="Feb-2024"/>
    <n v="8"/>
  </r>
  <r>
    <x v="407"/>
    <x v="13"/>
    <d v="2024-02-06T00:00:00"/>
    <n v="1"/>
    <x v="0"/>
    <s v="Weekday"/>
    <x v="1"/>
    <n v="76"/>
    <x v="0"/>
    <x v="1"/>
    <n v="405290"/>
    <s v="High Billing"/>
    <s v="Recovered"/>
    <x v="0"/>
    <s v="Dr. Kofi"/>
    <s v="New Patient"/>
    <s v="102"/>
    <x v="3"/>
    <x v="1"/>
    <s v="2024"/>
    <s v="Feb-2024"/>
    <n v="8"/>
  </r>
  <r>
    <x v="408"/>
    <x v="14"/>
    <m/>
    <n v="725"/>
    <x v="1"/>
    <s v="Weekend"/>
    <x v="2"/>
    <n v="78"/>
    <x v="0"/>
    <x v="1"/>
    <n v="406260"/>
    <s v="High Billing"/>
    <s v="Pending"/>
    <x v="0"/>
    <s v="Dr. George"/>
    <s v="New Patient"/>
    <s v="405"/>
    <x v="5"/>
    <x v="1"/>
    <s v="2024"/>
    <s v="Feb-2024"/>
    <n v="8"/>
  </r>
  <r>
    <x v="409"/>
    <x v="10"/>
    <d v="2024-02-05T00:00:00"/>
    <n v="8"/>
    <x v="0"/>
    <s v="Weekend"/>
    <x v="0"/>
    <n v="80"/>
    <x v="0"/>
    <x v="0"/>
    <n v="407230"/>
    <s v="High Billing"/>
    <s v="Follow-up"/>
    <x v="1"/>
    <s v="Dr. Ada"/>
    <s v="New Patient"/>
    <s v="301"/>
    <x v="6"/>
    <x v="0"/>
    <s v="2024"/>
    <s v="Jan-2024"/>
    <n v="8"/>
  </r>
  <r>
    <x v="410"/>
    <x v="11"/>
    <d v="2024-02-02T00:00:00"/>
    <n v="1"/>
    <x v="0"/>
    <s v="Weekday"/>
    <x v="1"/>
    <n v="82"/>
    <x v="0"/>
    <x v="1"/>
    <n v="408200"/>
    <s v="High Billing"/>
    <s v="Recovered"/>
    <x v="0"/>
    <s v="Dr. Kofi"/>
    <s v="New Patient"/>
    <s v="102"/>
    <x v="4"/>
    <x v="1"/>
    <s v="2024"/>
    <s v="Feb-2024"/>
    <n v="8"/>
  </r>
  <r>
    <x v="411"/>
    <x v="12"/>
    <d v="2024-02-15T00:00:00"/>
    <n v="12"/>
    <x v="0"/>
    <s v="Weekend"/>
    <x v="4"/>
    <n v="84"/>
    <x v="0"/>
    <x v="0"/>
    <n v="409170"/>
    <s v="High Billing"/>
    <s v="Follow-up"/>
    <x v="1"/>
    <s v="Dr. Temi"/>
    <s v="New Patient"/>
    <s v="502"/>
    <x v="5"/>
    <x v="1"/>
    <s v="2024"/>
    <s v="Feb-2024"/>
    <n v="8"/>
  </r>
  <r>
    <x v="412"/>
    <x v="13"/>
    <d v="2024-02-06T00:00:00"/>
    <n v="1"/>
    <x v="0"/>
    <s v="Weekday"/>
    <x v="1"/>
    <n v="86"/>
    <x v="0"/>
    <x v="1"/>
    <n v="410140"/>
    <s v="High Billing"/>
    <s v="Recovered"/>
    <x v="0"/>
    <s v="Dr. Kofi"/>
    <s v="New Patient"/>
    <s v="102"/>
    <x v="3"/>
    <x v="1"/>
    <s v="2024"/>
    <s v="Feb-2024"/>
    <n v="8"/>
  </r>
  <r>
    <x v="413"/>
    <x v="14"/>
    <m/>
    <n v="725"/>
    <x v="1"/>
    <s v="Weekend"/>
    <x v="2"/>
    <n v="88"/>
    <x v="0"/>
    <x v="1"/>
    <n v="411110"/>
    <s v="High Billing"/>
    <s v="Pending"/>
    <x v="0"/>
    <s v="Dr. George"/>
    <s v="New Patient"/>
    <s v="405"/>
    <x v="5"/>
    <x v="1"/>
    <s v="2024"/>
    <s v="Feb-2024"/>
    <n v="8"/>
  </r>
  <r>
    <x v="414"/>
    <x v="10"/>
    <d v="2024-02-05T00:00:00"/>
    <n v="8"/>
    <x v="0"/>
    <s v="Weekend"/>
    <x v="0"/>
    <n v="90"/>
    <x v="0"/>
    <x v="0"/>
    <n v="412080"/>
    <s v="High Billing"/>
    <s v="Follow-up"/>
    <x v="1"/>
    <s v="Dr. Ada"/>
    <s v="New Patient"/>
    <s v="301"/>
    <x v="6"/>
    <x v="0"/>
    <s v="2024"/>
    <s v="Jan-2024"/>
    <n v="8"/>
  </r>
  <r>
    <x v="415"/>
    <x v="11"/>
    <d v="2024-02-02T00:00:00"/>
    <n v="1"/>
    <x v="0"/>
    <s v="Weekday"/>
    <x v="1"/>
    <n v="92"/>
    <x v="0"/>
    <x v="1"/>
    <n v="413050"/>
    <s v="High Billing"/>
    <s v="Recovered"/>
    <x v="0"/>
    <s v="Dr. Kofi"/>
    <s v="New Patient"/>
    <s v="102"/>
    <x v="4"/>
    <x v="1"/>
    <s v="2024"/>
    <s v="Feb-2024"/>
    <n v="8"/>
  </r>
  <r>
    <x v="416"/>
    <x v="12"/>
    <d v="2024-02-15T00:00:00"/>
    <n v="12"/>
    <x v="0"/>
    <s v="Weekend"/>
    <x v="4"/>
    <n v="94"/>
    <x v="0"/>
    <x v="0"/>
    <n v="414020"/>
    <s v="High Billing"/>
    <s v="Follow-up"/>
    <x v="1"/>
    <s v="Dr. Temi"/>
    <s v="New Patient"/>
    <s v="502"/>
    <x v="5"/>
    <x v="1"/>
    <s v="2024"/>
    <s v="Feb-2024"/>
    <n v="8"/>
  </r>
  <r>
    <x v="417"/>
    <x v="13"/>
    <d v="2024-02-06T00:00:00"/>
    <n v="1"/>
    <x v="0"/>
    <s v="Weekday"/>
    <x v="1"/>
    <n v="96"/>
    <x v="0"/>
    <x v="1"/>
    <n v="414990"/>
    <s v="High Billing"/>
    <s v="Recovered"/>
    <x v="0"/>
    <s v="Dr. Kofi"/>
    <s v="New Patient"/>
    <s v="102"/>
    <x v="3"/>
    <x v="1"/>
    <s v="2024"/>
    <s v="Feb-2024"/>
    <n v="8"/>
  </r>
  <r>
    <x v="418"/>
    <x v="14"/>
    <m/>
    <n v="725"/>
    <x v="1"/>
    <s v="Weekend"/>
    <x v="2"/>
    <n v="98"/>
    <x v="0"/>
    <x v="1"/>
    <n v="415960"/>
    <s v="High Billing"/>
    <s v="Pending"/>
    <x v="0"/>
    <s v="Dr. George"/>
    <s v="New Patient"/>
    <s v="405"/>
    <x v="5"/>
    <x v="1"/>
    <s v="2024"/>
    <s v="Feb-2024"/>
    <n v="8"/>
  </r>
  <r>
    <x v="419"/>
    <x v="10"/>
    <d v="2024-02-05T00:00:00"/>
    <n v="8"/>
    <x v="0"/>
    <s v="Weekend"/>
    <x v="0"/>
    <n v="100"/>
    <x v="0"/>
    <x v="0"/>
    <n v="416930"/>
    <s v="High Billing"/>
    <s v="Follow-up"/>
    <x v="1"/>
    <s v="Dr. Ada"/>
    <s v="New Patient"/>
    <s v="301"/>
    <x v="6"/>
    <x v="0"/>
    <s v="2024"/>
    <s v="Jan-2024"/>
    <n v="8"/>
  </r>
  <r>
    <x v="420"/>
    <x v="11"/>
    <d v="2024-02-02T00:00:00"/>
    <n v="1"/>
    <x v="0"/>
    <s v="Weekday"/>
    <x v="1"/>
    <n v="2"/>
    <x v="2"/>
    <x v="1"/>
    <n v="417900"/>
    <s v="High Billing"/>
    <s v="Recovered"/>
    <x v="0"/>
    <s v="Dr. Kofi"/>
    <s v="New Patient"/>
    <s v="102"/>
    <x v="4"/>
    <x v="1"/>
    <s v="2024"/>
    <s v="Feb-2024"/>
    <n v="8"/>
  </r>
  <r>
    <x v="421"/>
    <x v="12"/>
    <d v="2024-02-15T00:00:00"/>
    <n v="12"/>
    <x v="0"/>
    <s v="Weekend"/>
    <x v="4"/>
    <n v="4"/>
    <x v="2"/>
    <x v="0"/>
    <n v="418870"/>
    <s v="High Billing"/>
    <s v="Follow-up"/>
    <x v="1"/>
    <s v="Dr. Temi"/>
    <s v="New Patient"/>
    <s v="502"/>
    <x v="5"/>
    <x v="1"/>
    <s v="2024"/>
    <s v="Feb-2024"/>
    <n v="8"/>
  </r>
  <r>
    <x v="422"/>
    <x v="13"/>
    <d v="2024-02-06T00:00:00"/>
    <n v="1"/>
    <x v="0"/>
    <s v="Weekday"/>
    <x v="1"/>
    <n v="6"/>
    <x v="2"/>
    <x v="1"/>
    <n v="419840"/>
    <s v="High Billing"/>
    <s v="Recovered"/>
    <x v="0"/>
    <s v="Dr. Kofi"/>
    <s v="New Patient"/>
    <s v="102"/>
    <x v="3"/>
    <x v="1"/>
    <s v="2024"/>
    <s v="Feb-2024"/>
    <n v="8"/>
  </r>
  <r>
    <x v="423"/>
    <x v="14"/>
    <m/>
    <n v="725"/>
    <x v="1"/>
    <s v="Weekend"/>
    <x v="2"/>
    <n v="8"/>
    <x v="2"/>
    <x v="1"/>
    <n v="420810"/>
    <s v="High Billing"/>
    <s v="Pending"/>
    <x v="0"/>
    <s v="Dr. George"/>
    <s v="New Patient"/>
    <s v="405"/>
    <x v="5"/>
    <x v="1"/>
    <s v="2024"/>
    <s v="Feb-2024"/>
    <n v="8"/>
  </r>
  <r>
    <x v="424"/>
    <x v="10"/>
    <d v="2024-02-05T00:00:00"/>
    <n v="8"/>
    <x v="0"/>
    <s v="Weekend"/>
    <x v="0"/>
    <n v="10"/>
    <x v="2"/>
    <x v="0"/>
    <n v="421780"/>
    <s v="High Billing"/>
    <s v="Follow-up"/>
    <x v="1"/>
    <s v="Dr. Ada"/>
    <s v="New Patient"/>
    <s v="301"/>
    <x v="6"/>
    <x v="0"/>
    <s v="2024"/>
    <s v="Jan-2024"/>
    <n v="8"/>
  </r>
  <r>
    <x v="425"/>
    <x v="11"/>
    <d v="2024-02-02T00:00:00"/>
    <n v="1"/>
    <x v="0"/>
    <s v="Weekday"/>
    <x v="1"/>
    <n v="12"/>
    <x v="2"/>
    <x v="1"/>
    <n v="422750"/>
    <s v="High Billing"/>
    <s v="Recovered"/>
    <x v="0"/>
    <s v="Dr. Kofi"/>
    <s v="New Patient"/>
    <s v="102"/>
    <x v="4"/>
    <x v="1"/>
    <s v="2024"/>
    <s v="Feb-2024"/>
    <n v="8"/>
  </r>
  <r>
    <x v="426"/>
    <x v="12"/>
    <d v="2024-02-15T00:00:00"/>
    <n v="12"/>
    <x v="0"/>
    <s v="Weekend"/>
    <x v="4"/>
    <n v="14"/>
    <x v="2"/>
    <x v="0"/>
    <n v="423720"/>
    <s v="High Billing"/>
    <s v="Follow-up"/>
    <x v="1"/>
    <s v="Dr. Temi"/>
    <s v="New Patient"/>
    <s v="502"/>
    <x v="5"/>
    <x v="1"/>
    <s v="2024"/>
    <s v="Feb-2024"/>
    <n v="8"/>
  </r>
  <r>
    <x v="427"/>
    <x v="13"/>
    <d v="2024-02-06T00:00:00"/>
    <n v="1"/>
    <x v="0"/>
    <s v="Weekday"/>
    <x v="1"/>
    <n v="16"/>
    <x v="2"/>
    <x v="1"/>
    <n v="424690"/>
    <s v="High Billing"/>
    <s v="Recovered"/>
    <x v="0"/>
    <s v="Dr. Kofi"/>
    <s v="New Patient"/>
    <s v="102"/>
    <x v="3"/>
    <x v="1"/>
    <s v="2024"/>
    <s v="Feb-2024"/>
    <n v="8"/>
  </r>
  <r>
    <x v="428"/>
    <x v="14"/>
    <m/>
    <n v="725"/>
    <x v="1"/>
    <s v="Weekend"/>
    <x v="2"/>
    <n v="18"/>
    <x v="1"/>
    <x v="1"/>
    <n v="425660"/>
    <s v="High Billing"/>
    <s v="Pending"/>
    <x v="0"/>
    <s v="Dr. George"/>
    <s v="New Patient"/>
    <s v="405"/>
    <x v="5"/>
    <x v="1"/>
    <s v="2024"/>
    <s v="Feb-2024"/>
    <n v="8"/>
  </r>
  <r>
    <x v="429"/>
    <x v="10"/>
    <d v="2024-02-05T00:00:00"/>
    <n v="8"/>
    <x v="0"/>
    <s v="Weekend"/>
    <x v="0"/>
    <n v="20"/>
    <x v="1"/>
    <x v="0"/>
    <n v="426630"/>
    <s v="High Billing"/>
    <s v="Follow-up"/>
    <x v="1"/>
    <s v="Dr. Ada"/>
    <s v="New Patient"/>
    <s v="301"/>
    <x v="6"/>
    <x v="0"/>
    <s v="2024"/>
    <s v="Jan-2024"/>
    <n v="8"/>
  </r>
  <r>
    <x v="430"/>
    <x v="11"/>
    <d v="2024-02-02T00:00:00"/>
    <n v="1"/>
    <x v="0"/>
    <s v="Weekday"/>
    <x v="1"/>
    <n v="22"/>
    <x v="1"/>
    <x v="1"/>
    <n v="427600"/>
    <s v="High Billing"/>
    <s v="Recovered"/>
    <x v="0"/>
    <s v="Dr. Kofi"/>
    <s v="New Patient"/>
    <s v="102"/>
    <x v="4"/>
    <x v="1"/>
    <s v="2024"/>
    <s v="Feb-2024"/>
    <n v="8"/>
  </r>
  <r>
    <x v="431"/>
    <x v="12"/>
    <d v="2024-02-15T00:00:00"/>
    <n v="12"/>
    <x v="0"/>
    <s v="Weekend"/>
    <x v="4"/>
    <n v="24"/>
    <x v="1"/>
    <x v="0"/>
    <n v="428570"/>
    <s v="High Billing"/>
    <s v="Follow-up"/>
    <x v="1"/>
    <s v="Dr. Temi"/>
    <s v="New Patient"/>
    <s v="502"/>
    <x v="5"/>
    <x v="1"/>
    <s v="2024"/>
    <s v="Feb-2024"/>
    <n v="8"/>
  </r>
  <r>
    <x v="432"/>
    <x v="13"/>
    <d v="2024-02-06T00:00:00"/>
    <n v="1"/>
    <x v="0"/>
    <s v="Weekday"/>
    <x v="1"/>
    <n v="26"/>
    <x v="1"/>
    <x v="1"/>
    <n v="429540"/>
    <s v="High Billing"/>
    <s v="Recovered"/>
    <x v="0"/>
    <s v="Dr. Kofi"/>
    <s v="New Patient"/>
    <s v="102"/>
    <x v="3"/>
    <x v="1"/>
    <s v="2024"/>
    <s v="Feb-2024"/>
    <n v="8"/>
  </r>
  <r>
    <x v="433"/>
    <x v="14"/>
    <m/>
    <n v="725"/>
    <x v="1"/>
    <s v="Weekend"/>
    <x v="2"/>
    <n v="28"/>
    <x v="1"/>
    <x v="1"/>
    <n v="430510"/>
    <s v="High Billing"/>
    <s v="Pending"/>
    <x v="0"/>
    <s v="Dr. George"/>
    <s v="New Patient"/>
    <s v="405"/>
    <x v="5"/>
    <x v="1"/>
    <s v="2024"/>
    <s v="Feb-2024"/>
    <n v="8"/>
  </r>
  <r>
    <x v="434"/>
    <x v="10"/>
    <d v="2024-02-05T00:00:00"/>
    <n v="8"/>
    <x v="0"/>
    <s v="Weekend"/>
    <x v="0"/>
    <n v="30"/>
    <x v="1"/>
    <x v="0"/>
    <n v="431480"/>
    <s v="High Billing"/>
    <s v="Follow-up"/>
    <x v="1"/>
    <s v="Dr. Ada"/>
    <s v="New Patient"/>
    <s v="301"/>
    <x v="6"/>
    <x v="0"/>
    <s v="2024"/>
    <s v="Jan-2024"/>
    <n v="8"/>
  </r>
  <r>
    <x v="435"/>
    <x v="11"/>
    <d v="2024-02-02T00:00:00"/>
    <n v="1"/>
    <x v="0"/>
    <s v="Weekday"/>
    <x v="1"/>
    <n v="32"/>
    <x v="1"/>
    <x v="1"/>
    <n v="432450"/>
    <s v="High Billing"/>
    <s v="Recovered"/>
    <x v="0"/>
    <s v="Dr. Kofi"/>
    <s v="New Patient"/>
    <s v="102"/>
    <x v="4"/>
    <x v="1"/>
    <s v="2024"/>
    <s v="Feb-2024"/>
    <n v="8"/>
  </r>
  <r>
    <x v="436"/>
    <x v="12"/>
    <d v="2024-02-15T00:00:00"/>
    <n v="12"/>
    <x v="0"/>
    <s v="Weekend"/>
    <x v="4"/>
    <n v="34"/>
    <x v="1"/>
    <x v="0"/>
    <n v="433420"/>
    <s v="High Billing"/>
    <s v="Follow-up"/>
    <x v="1"/>
    <s v="Dr. Temi"/>
    <s v="New Patient"/>
    <s v="502"/>
    <x v="5"/>
    <x v="1"/>
    <s v="2024"/>
    <s v="Feb-2024"/>
    <n v="8"/>
  </r>
  <r>
    <x v="437"/>
    <x v="13"/>
    <d v="2024-02-06T00:00:00"/>
    <n v="1"/>
    <x v="0"/>
    <s v="Weekday"/>
    <x v="1"/>
    <n v="36"/>
    <x v="1"/>
    <x v="1"/>
    <n v="434390"/>
    <s v="High Billing"/>
    <s v="Recovered"/>
    <x v="0"/>
    <s v="Dr. Kofi"/>
    <s v="New Patient"/>
    <s v="102"/>
    <x v="3"/>
    <x v="1"/>
    <s v="2024"/>
    <s v="Feb-2024"/>
    <n v="8"/>
  </r>
  <r>
    <x v="438"/>
    <x v="14"/>
    <m/>
    <n v="725"/>
    <x v="1"/>
    <s v="Weekend"/>
    <x v="2"/>
    <n v="38"/>
    <x v="1"/>
    <x v="1"/>
    <n v="435360"/>
    <s v="High Billing"/>
    <s v="Pending"/>
    <x v="0"/>
    <s v="Dr. George"/>
    <s v="New Patient"/>
    <s v="405"/>
    <x v="5"/>
    <x v="1"/>
    <s v="2024"/>
    <s v="Feb-2024"/>
    <n v="8"/>
  </r>
  <r>
    <x v="439"/>
    <x v="10"/>
    <d v="2024-02-05T00:00:00"/>
    <n v="8"/>
    <x v="0"/>
    <s v="Weekend"/>
    <x v="0"/>
    <n v="40"/>
    <x v="1"/>
    <x v="0"/>
    <n v="436330"/>
    <s v="High Billing"/>
    <s v="Follow-up"/>
    <x v="1"/>
    <s v="Dr. Ada"/>
    <s v="New Patient"/>
    <s v="301"/>
    <x v="6"/>
    <x v="0"/>
    <s v="2024"/>
    <s v="Jan-2024"/>
    <n v="8"/>
  </r>
  <r>
    <x v="440"/>
    <x v="11"/>
    <d v="2024-02-02T00:00:00"/>
    <n v="1"/>
    <x v="0"/>
    <s v="Weekday"/>
    <x v="1"/>
    <n v="42"/>
    <x v="1"/>
    <x v="1"/>
    <n v="437300"/>
    <s v="High Billing"/>
    <s v="Recovered"/>
    <x v="0"/>
    <s v="Dr. Kofi"/>
    <s v="New Patient"/>
    <s v="102"/>
    <x v="4"/>
    <x v="1"/>
    <s v="2024"/>
    <s v="Feb-2024"/>
    <n v="8"/>
  </r>
  <r>
    <x v="441"/>
    <x v="12"/>
    <d v="2024-02-15T00:00:00"/>
    <n v="12"/>
    <x v="0"/>
    <s v="Weekend"/>
    <x v="4"/>
    <n v="44"/>
    <x v="1"/>
    <x v="0"/>
    <n v="438270"/>
    <s v="High Billing"/>
    <s v="Follow-up"/>
    <x v="1"/>
    <s v="Dr. Temi"/>
    <s v="New Patient"/>
    <s v="502"/>
    <x v="5"/>
    <x v="1"/>
    <s v="2024"/>
    <s v="Feb-2024"/>
    <n v="8"/>
  </r>
  <r>
    <x v="442"/>
    <x v="13"/>
    <d v="2024-02-06T00:00:00"/>
    <n v="1"/>
    <x v="0"/>
    <s v="Weekday"/>
    <x v="1"/>
    <n v="46"/>
    <x v="1"/>
    <x v="1"/>
    <n v="439240"/>
    <s v="High Billing"/>
    <s v="Recovered"/>
    <x v="0"/>
    <s v="Dr. Kofi"/>
    <s v="New Patient"/>
    <s v="102"/>
    <x v="3"/>
    <x v="1"/>
    <s v="2024"/>
    <s v="Feb-2024"/>
    <n v="8"/>
  </r>
  <r>
    <x v="443"/>
    <x v="14"/>
    <m/>
    <n v="725"/>
    <x v="1"/>
    <s v="Weekend"/>
    <x v="2"/>
    <n v="48"/>
    <x v="1"/>
    <x v="1"/>
    <n v="440210"/>
    <s v="High Billing"/>
    <s v="Pending"/>
    <x v="0"/>
    <s v="Dr. George"/>
    <s v="New Patient"/>
    <s v="405"/>
    <x v="5"/>
    <x v="1"/>
    <s v="2024"/>
    <s v="Feb-2024"/>
    <n v="8"/>
  </r>
  <r>
    <x v="444"/>
    <x v="10"/>
    <d v="2024-02-05T00:00:00"/>
    <n v="8"/>
    <x v="0"/>
    <s v="Weekend"/>
    <x v="0"/>
    <n v="50"/>
    <x v="0"/>
    <x v="0"/>
    <n v="441180"/>
    <s v="High Billing"/>
    <s v="Follow-up"/>
    <x v="1"/>
    <s v="Dr. Ada"/>
    <s v="New Patient"/>
    <s v="301"/>
    <x v="6"/>
    <x v="0"/>
    <s v="2024"/>
    <s v="Jan-2024"/>
    <n v="8"/>
  </r>
  <r>
    <x v="445"/>
    <x v="11"/>
    <d v="2024-02-02T00:00:00"/>
    <n v="1"/>
    <x v="0"/>
    <s v="Weekday"/>
    <x v="1"/>
    <n v="52"/>
    <x v="0"/>
    <x v="1"/>
    <n v="442150"/>
    <s v="High Billing"/>
    <s v="Recovered"/>
    <x v="0"/>
    <s v="Dr. Kofi"/>
    <s v="New Patient"/>
    <s v="102"/>
    <x v="4"/>
    <x v="1"/>
    <s v="2024"/>
    <s v="Feb-2024"/>
    <n v="8"/>
  </r>
  <r>
    <x v="446"/>
    <x v="12"/>
    <d v="2024-02-15T00:00:00"/>
    <n v="12"/>
    <x v="0"/>
    <s v="Weekend"/>
    <x v="4"/>
    <n v="54"/>
    <x v="0"/>
    <x v="0"/>
    <n v="443120"/>
    <s v="High Billing"/>
    <s v="Follow-up"/>
    <x v="1"/>
    <s v="Dr. Temi"/>
    <s v="New Patient"/>
    <s v="502"/>
    <x v="5"/>
    <x v="1"/>
    <s v="2024"/>
    <s v="Feb-2024"/>
    <n v="8"/>
  </r>
  <r>
    <x v="447"/>
    <x v="13"/>
    <d v="2024-02-06T00:00:00"/>
    <n v="1"/>
    <x v="0"/>
    <s v="Weekday"/>
    <x v="1"/>
    <n v="56"/>
    <x v="0"/>
    <x v="1"/>
    <n v="444090"/>
    <s v="High Billing"/>
    <s v="Recovered"/>
    <x v="0"/>
    <s v="Dr. Kofi"/>
    <s v="New Patient"/>
    <s v="102"/>
    <x v="3"/>
    <x v="1"/>
    <s v="2024"/>
    <s v="Feb-2024"/>
    <n v="8"/>
  </r>
  <r>
    <x v="448"/>
    <x v="14"/>
    <m/>
    <n v="725"/>
    <x v="1"/>
    <s v="Weekend"/>
    <x v="2"/>
    <n v="58"/>
    <x v="0"/>
    <x v="1"/>
    <n v="445060"/>
    <s v="High Billing"/>
    <s v="Pending"/>
    <x v="0"/>
    <s v="Dr. George"/>
    <s v="New Patient"/>
    <s v="405"/>
    <x v="5"/>
    <x v="1"/>
    <s v="2024"/>
    <s v="Feb-2024"/>
    <n v="8"/>
  </r>
  <r>
    <x v="449"/>
    <x v="10"/>
    <d v="2024-02-05T00:00:00"/>
    <n v="8"/>
    <x v="0"/>
    <s v="Weekend"/>
    <x v="0"/>
    <n v="60"/>
    <x v="0"/>
    <x v="0"/>
    <n v="446030"/>
    <s v="High Billing"/>
    <s v="Follow-up"/>
    <x v="1"/>
    <s v="Dr. Ada"/>
    <s v="New Patient"/>
    <s v="301"/>
    <x v="6"/>
    <x v="0"/>
    <s v="2024"/>
    <s v="Jan-2024"/>
    <n v="8"/>
  </r>
  <r>
    <x v="450"/>
    <x v="11"/>
    <d v="2024-02-02T00:00:00"/>
    <n v="1"/>
    <x v="0"/>
    <s v="Weekday"/>
    <x v="1"/>
    <n v="62"/>
    <x v="0"/>
    <x v="1"/>
    <n v="447000"/>
    <s v="High Billing"/>
    <s v="Recovered"/>
    <x v="0"/>
    <s v="Dr. Kofi"/>
    <s v="New Patient"/>
    <s v="102"/>
    <x v="4"/>
    <x v="1"/>
    <s v="2024"/>
    <s v="Feb-2024"/>
    <n v="8"/>
  </r>
  <r>
    <x v="451"/>
    <x v="12"/>
    <d v="2024-02-15T00:00:00"/>
    <n v="12"/>
    <x v="0"/>
    <s v="Weekend"/>
    <x v="4"/>
    <n v="64"/>
    <x v="0"/>
    <x v="0"/>
    <n v="447970"/>
    <s v="High Billing"/>
    <s v="Follow-up"/>
    <x v="1"/>
    <s v="Dr. Temi"/>
    <s v="New Patient"/>
    <s v="502"/>
    <x v="5"/>
    <x v="1"/>
    <s v="2024"/>
    <s v="Feb-2024"/>
    <n v="8"/>
  </r>
  <r>
    <x v="452"/>
    <x v="13"/>
    <d v="2024-02-06T00:00:00"/>
    <n v="1"/>
    <x v="0"/>
    <s v="Weekday"/>
    <x v="1"/>
    <n v="66"/>
    <x v="0"/>
    <x v="1"/>
    <n v="448940"/>
    <s v="High Billing"/>
    <s v="Recovered"/>
    <x v="0"/>
    <s v="Dr. Kofi"/>
    <s v="New Patient"/>
    <s v="102"/>
    <x v="3"/>
    <x v="1"/>
    <s v="2024"/>
    <s v="Feb-2024"/>
    <n v="8"/>
  </r>
  <r>
    <x v="453"/>
    <x v="14"/>
    <m/>
    <n v="725"/>
    <x v="1"/>
    <s v="Weekend"/>
    <x v="2"/>
    <n v="68"/>
    <x v="0"/>
    <x v="1"/>
    <n v="449910"/>
    <s v="High Billing"/>
    <s v="Pending"/>
    <x v="0"/>
    <s v="Dr. George"/>
    <s v="New Patient"/>
    <s v="405"/>
    <x v="5"/>
    <x v="1"/>
    <s v="2024"/>
    <s v="Feb-2024"/>
    <n v="8"/>
  </r>
  <r>
    <x v="454"/>
    <x v="10"/>
    <d v="2024-02-05T00:00:00"/>
    <n v="8"/>
    <x v="0"/>
    <s v="Weekend"/>
    <x v="0"/>
    <n v="70"/>
    <x v="0"/>
    <x v="0"/>
    <n v="450880"/>
    <s v="High Billing"/>
    <s v="Follow-up"/>
    <x v="1"/>
    <s v="Dr. Ada"/>
    <s v="New Patient"/>
    <s v="301"/>
    <x v="6"/>
    <x v="0"/>
    <s v="2024"/>
    <s v="Jan-2024"/>
    <n v="8"/>
  </r>
  <r>
    <x v="455"/>
    <x v="11"/>
    <d v="2024-02-02T00:00:00"/>
    <n v="1"/>
    <x v="0"/>
    <s v="Weekday"/>
    <x v="1"/>
    <n v="72"/>
    <x v="0"/>
    <x v="1"/>
    <n v="451850"/>
    <s v="High Billing"/>
    <s v="Recovered"/>
    <x v="0"/>
    <s v="Dr. Kofi"/>
    <s v="New Patient"/>
    <s v="102"/>
    <x v="4"/>
    <x v="1"/>
    <s v="2024"/>
    <s v="Feb-2024"/>
    <n v="8"/>
  </r>
  <r>
    <x v="456"/>
    <x v="12"/>
    <d v="2024-02-15T00:00:00"/>
    <n v="12"/>
    <x v="0"/>
    <s v="Weekend"/>
    <x v="4"/>
    <n v="74"/>
    <x v="0"/>
    <x v="0"/>
    <n v="452820"/>
    <s v="High Billing"/>
    <s v="Follow-up"/>
    <x v="1"/>
    <s v="Dr. Temi"/>
    <s v="New Patient"/>
    <s v="502"/>
    <x v="5"/>
    <x v="1"/>
    <s v="2024"/>
    <s v="Feb-2024"/>
    <n v="8"/>
  </r>
  <r>
    <x v="457"/>
    <x v="13"/>
    <d v="2024-02-06T00:00:00"/>
    <n v="1"/>
    <x v="0"/>
    <s v="Weekday"/>
    <x v="1"/>
    <n v="76"/>
    <x v="0"/>
    <x v="1"/>
    <n v="453790"/>
    <s v="High Billing"/>
    <s v="Recovered"/>
    <x v="0"/>
    <s v="Dr. Kofi"/>
    <s v="New Patient"/>
    <s v="102"/>
    <x v="3"/>
    <x v="1"/>
    <s v="2024"/>
    <s v="Feb-2024"/>
    <n v="8"/>
  </r>
  <r>
    <x v="458"/>
    <x v="14"/>
    <m/>
    <n v="725"/>
    <x v="1"/>
    <s v="Weekend"/>
    <x v="2"/>
    <n v="78"/>
    <x v="0"/>
    <x v="1"/>
    <n v="454760"/>
    <s v="High Billing"/>
    <s v="Pending"/>
    <x v="0"/>
    <s v="Dr. George"/>
    <s v="New Patient"/>
    <s v="405"/>
    <x v="5"/>
    <x v="1"/>
    <s v="2024"/>
    <s v="Feb-2024"/>
    <n v="8"/>
  </r>
  <r>
    <x v="459"/>
    <x v="10"/>
    <d v="2024-02-05T00:00:00"/>
    <n v="8"/>
    <x v="0"/>
    <s v="Weekend"/>
    <x v="0"/>
    <n v="80"/>
    <x v="0"/>
    <x v="0"/>
    <n v="455730"/>
    <s v="High Billing"/>
    <s v="Follow-up"/>
    <x v="1"/>
    <s v="Dr. Ada"/>
    <s v="New Patient"/>
    <s v="301"/>
    <x v="6"/>
    <x v="0"/>
    <s v="2024"/>
    <s v="Jan-2024"/>
    <n v="8"/>
  </r>
  <r>
    <x v="460"/>
    <x v="11"/>
    <d v="2024-02-02T00:00:00"/>
    <n v="1"/>
    <x v="0"/>
    <s v="Weekday"/>
    <x v="1"/>
    <n v="82"/>
    <x v="0"/>
    <x v="1"/>
    <n v="456700"/>
    <s v="High Billing"/>
    <s v="Recovered"/>
    <x v="0"/>
    <s v="Dr. Kofi"/>
    <s v="New Patient"/>
    <s v="102"/>
    <x v="4"/>
    <x v="1"/>
    <s v="2024"/>
    <s v="Feb-2024"/>
    <n v="8"/>
  </r>
  <r>
    <x v="461"/>
    <x v="12"/>
    <d v="2024-02-15T00:00:00"/>
    <n v="12"/>
    <x v="0"/>
    <s v="Weekend"/>
    <x v="4"/>
    <n v="84"/>
    <x v="0"/>
    <x v="0"/>
    <n v="457670"/>
    <s v="High Billing"/>
    <s v="Follow-up"/>
    <x v="1"/>
    <s v="Dr. Temi"/>
    <s v="New Patient"/>
    <s v="502"/>
    <x v="5"/>
    <x v="1"/>
    <s v="2024"/>
    <s v="Feb-2024"/>
    <n v="8"/>
  </r>
  <r>
    <x v="462"/>
    <x v="13"/>
    <d v="2024-02-06T00:00:00"/>
    <n v="1"/>
    <x v="0"/>
    <s v="Weekday"/>
    <x v="1"/>
    <n v="86"/>
    <x v="0"/>
    <x v="1"/>
    <n v="458640"/>
    <s v="High Billing"/>
    <s v="Recovered"/>
    <x v="0"/>
    <s v="Dr. Kofi"/>
    <s v="New Patient"/>
    <s v="102"/>
    <x v="3"/>
    <x v="1"/>
    <s v="2024"/>
    <s v="Feb-2024"/>
    <n v="8"/>
  </r>
  <r>
    <x v="463"/>
    <x v="10"/>
    <d v="2024-02-05T00:00:00"/>
    <n v="8"/>
    <x v="0"/>
    <s v="Weekend"/>
    <x v="0"/>
    <n v="90"/>
    <x v="0"/>
    <x v="0"/>
    <n v="460580"/>
    <s v="High Billing"/>
    <s v="Follow-up"/>
    <x v="1"/>
    <s v="Dr. Ada"/>
    <s v="New Patient"/>
    <s v="301"/>
    <x v="6"/>
    <x v="0"/>
    <s v="2024"/>
    <s v="Jan-2024"/>
    <n v="8"/>
  </r>
  <r>
    <x v="464"/>
    <x v="11"/>
    <d v="2024-02-02T00:00:00"/>
    <n v="1"/>
    <x v="0"/>
    <s v="Weekday"/>
    <x v="1"/>
    <n v="92"/>
    <x v="0"/>
    <x v="1"/>
    <n v="461550"/>
    <s v="High Billing"/>
    <s v="Recovered"/>
    <x v="0"/>
    <s v="Dr. Kofi"/>
    <s v="New Patient"/>
    <s v="102"/>
    <x v="4"/>
    <x v="1"/>
    <s v="2024"/>
    <s v="Feb-2024"/>
    <n v="8"/>
  </r>
  <r>
    <x v="465"/>
    <x v="12"/>
    <d v="2024-02-15T00:00:00"/>
    <n v="12"/>
    <x v="0"/>
    <s v="Weekend"/>
    <x v="4"/>
    <n v="94"/>
    <x v="0"/>
    <x v="0"/>
    <n v="462520"/>
    <s v="High Billing"/>
    <s v="Follow-up"/>
    <x v="1"/>
    <s v="Dr. Temi"/>
    <s v="New Patient"/>
    <s v="502"/>
    <x v="5"/>
    <x v="1"/>
    <s v="2024"/>
    <s v="Feb-2024"/>
    <n v="8"/>
  </r>
  <r>
    <x v="466"/>
    <x v="13"/>
    <d v="2024-02-06T00:00:00"/>
    <n v="1"/>
    <x v="0"/>
    <s v="Weekday"/>
    <x v="1"/>
    <n v="96"/>
    <x v="0"/>
    <x v="1"/>
    <n v="463490"/>
    <s v="High Billing"/>
    <s v="Recovered"/>
    <x v="0"/>
    <s v="Dr. Kofi"/>
    <s v="New Patient"/>
    <s v="102"/>
    <x v="3"/>
    <x v="1"/>
    <s v="2024"/>
    <s v="Feb-2024"/>
    <n v="8"/>
  </r>
  <r>
    <x v="467"/>
    <x v="14"/>
    <m/>
    <n v="725"/>
    <x v="1"/>
    <s v="Weekend"/>
    <x v="2"/>
    <n v="98"/>
    <x v="0"/>
    <x v="1"/>
    <n v="464460"/>
    <s v="High Billing"/>
    <s v="Pending"/>
    <x v="0"/>
    <s v="Dr. George"/>
    <s v="New Patient"/>
    <s v="405"/>
    <x v="5"/>
    <x v="1"/>
    <s v="2024"/>
    <s v="Feb-2024"/>
    <n v="8"/>
  </r>
  <r>
    <x v="468"/>
    <x v="10"/>
    <d v="2024-02-05T00:00:00"/>
    <n v="8"/>
    <x v="0"/>
    <s v="Weekend"/>
    <x v="0"/>
    <n v="100"/>
    <x v="0"/>
    <x v="0"/>
    <n v="465430"/>
    <s v="High Billing"/>
    <s v="Follow-up"/>
    <x v="1"/>
    <s v="Dr. Ada"/>
    <s v="New Patient"/>
    <s v="301"/>
    <x v="6"/>
    <x v="0"/>
    <s v="2024"/>
    <s v="Jan-2024"/>
    <n v="8"/>
  </r>
  <r>
    <x v="469"/>
    <x v="11"/>
    <d v="2024-02-02T00:00:00"/>
    <n v="1"/>
    <x v="0"/>
    <s v="Weekday"/>
    <x v="1"/>
    <n v="2"/>
    <x v="2"/>
    <x v="1"/>
    <n v="466400"/>
    <s v="High Billing"/>
    <s v="Recovered"/>
    <x v="0"/>
    <s v="Dr. Kofi"/>
    <s v="New Patient"/>
    <s v="102"/>
    <x v="4"/>
    <x v="1"/>
    <s v="2024"/>
    <s v="Feb-2024"/>
    <n v="8"/>
  </r>
  <r>
    <x v="470"/>
    <x v="12"/>
    <d v="2024-02-15T00:00:00"/>
    <n v="12"/>
    <x v="0"/>
    <s v="Weekend"/>
    <x v="4"/>
    <n v="4"/>
    <x v="2"/>
    <x v="0"/>
    <n v="467370"/>
    <s v="High Billing"/>
    <s v="Follow-up"/>
    <x v="1"/>
    <s v="Dr. Temi"/>
    <s v="New Patient"/>
    <s v="502"/>
    <x v="5"/>
    <x v="1"/>
    <s v="2024"/>
    <s v="Feb-2024"/>
    <n v="8"/>
  </r>
  <r>
    <x v="471"/>
    <x v="13"/>
    <d v="2024-02-06T00:00:00"/>
    <n v="1"/>
    <x v="0"/>
    <s v="Weekday"/>
    <x v="1"/>
    <n v="6"/>
    <x v="2"/>
    <x v="1"/>
    <n v="468340"/>
    <s v="High Billing"/>
    <s v="Recovered"/>
    <x v="0"/>
    <s v="Dr. Kofi"/>
    <s v="New Patient"/>
    <s v="102"/>
    <x v="3"/>
    <x v="1"/>
    <s v="2024"/>
    <s v="Feb-2024"/>
    <n v="8"/>
  </r>
  <r>
    <x v="472"/>
    <x v="14"/>
    <m/>
    <n v="725"/>
    <x v="1"/>
    <s v="Weekend"/>
    <x v="2"/>
    <n v="8"/>
    <x v="2"/>
    <x v="1"/>
    <n v="469310"/>
    <s v="High Billing"/>
    <s v="Pending"/>
    <x v="0"/>
    <s v="Dr. George"/>
    <s v="New Patient"/>
    <s v="405"/>
    <x v="5"/>
    <x v="1"/>
    <s v="2024"/>
    <s v="Feb-2024"/>
    <n v="8"/>
  </r>
  <r>
    <x v="473"/>
    <x v="10"/>
    <d v="2024-02-05T00:00:00"/>
    <n v="8"/>
    <x v="0"/>
    <s v="Weekend"/>
    <x v="0"/>
    <n v="10"/>
    <x v="2"/>
    <x v="0"/>
    <n v="470280"/>
    <s v="High Billing"/>
    <s v="Follow-up"/>
    <x v="1"/>
    <s v="Dr. Ada"/>
    <s v="New Patient"/>
    <s v="301"/>
    <x v="6"/>
    <x v="0"/>
    <s v="2024"/>
    <s v="Jan-2024"/>
    <n v="8"/>
  </r>
  <r>
    <x v="474"/>
    <x v="11"/>
    <d v="2024-02-02T00:00:00"/>
    <n v="1"/>
    <x v="0"/>
    <s v="Weekday"/>
    <x v="1"/>
    <n v="12"/>
    <x v="2"/>
    <x v="1"/>
    <n v="471250"/>
    <s v="High Billing"/>
    <s v="Recovered"/>
    <x v="0"/>
    <s v="Dr. Kofi"/>
    <s v="New Patient"/>
    <s v="102"/>
    <x v="4"/>
    <x v="1"/>
    <s v="2024"/>
    <s v="Feb-2024"/>
    <n v="8"/>
  </r>
  <r>
    <x v="475"/>
    <x v="12"/>
    <d v="2024-02-15T00:00:00"/>
    <n v="12"/>
    <x v="0"/>
    <s v="Weekend"/>
    <x v="4"/>
    <n v="14"/>
    <x v="2"/>
    <x v="0"/>
    <n v="472220"/>
    <s v="High Billing"/>
    <s v="Follow-up"/>
    <x v="1"/>
    <s v="Dr. Temi"/>
    <s v="New Patient"/>
    <s v="502"/>
    <x v="5"/>
    <x v="1"/>
    <s v="2024"/>
    <s v="Feb-2024"/>
    <n v="8"/>
  </r>
  <r>
    <x v="476"/>
    <x v="13"/>
    <d v="2024-02-06T00:00:00"/>
    <n v="1"/>
    <x v="0"/>
    <s v="Weekday"/>
    <x v="1"/>
    <n v="16"/>
    <x v="2"/>
    <x v="1"/>
    <n v="473190"/>
    <s v="High Billing"/>
    <s v="Recovered"/>
    <x v="0"/>
    <s v="Dr. Kofi"/>
    <s v="New Patient"/>
    <s v="102"/>
    <x v="3"/>
    <x v="1"/>
    <s v="2024"/>
    <s v="Feb-2024"/>
    <n v="8"/>
  </r>
  <r>
    <x v="477"/>
    <x v="14"/>
    <m/>
    <n v="725"/>
    <x v="1"/>
    <s v="Weekend"/>
    <x v="2"/>
    <n v="18"/>
    <x v="1"/>
    <x v="1"/>
    <n v="474160"/>
    <s v="High Billing"/>
    <s v="Pending"/>
    <x v="0"/>
    <s v="Dr. George"/>
    <s v="New Patient"/>
    <s v="405"/>
    <x v="5"/>
    <x v="1"/>
    <s v="2024"/>
    <s v="Feb-2024"/>
    <n v="8"/>
  </r>
  <r>
    <x v="478"/>
    <x v="10"/>
    <d v="2024-02-05T00:00:00"/>
    <n v="8"/>
    <x v="0"/>
    <s v="Weekend"/>
    <x v="0"/>
    <n v="20"/>
    <x v="1"/>
    <x v="0"/>
    <n v="475130"/>
    <s v="High Billing"/>
    <s v="Follow-up"/>
    <x v="1"/>
    <s v="Dr. Ada"/>
    <s v="New Patient"/>
    <s v="301"/>
    <x v="6"/>
    <x v="0"/>
    <s v="2024"/>
    <s v="Jan-2024"/>
    <n v="8"/>
  </r>
  <r>
    <x v="479"/>
    <x v="11"/>
    <d v="2024-02-02T00:00:00"/>
    <n v="1"/>
    <x v="0"/>
    <s v="Weekday"/>
    <x v="1"/>
    <n v="22"/>
    <x v="1"/>
    <x v="1"/>
    <n v="476100"/>
    <s v="High Billing"/>
    <s v="Recovered"/>
    <x v="0"/>
    <s v="Dr. Kofi"/>
    <s v="New Patient"/>
    <s v="102"/>
    <x v="4"/>
    <x v="1"/>
    <s v="2024"/>
    <s v="Feb-2024"/>
    <n v="8"/>
  </r>
  <r>
    <x v="480"/>
    <x v="12"/>
    <d v="2024-02-15T00:00:00"/>
    <n v="12"/>
    <x v="0"/>
    <s v="Weekend"/>
    <x v="4"/>
    <n v="24"/>
    <x v="1"/>
    <x v="0"/>
    <n v="477070"/>
    <s v="High Billing"/>
    <s v="Follow-up"/>
    <x v="1"/>
    <s v="Dr. Temi"/>
    <s v="New Patient"/>
    <s v="502"/>
    <x v="5"/>
    <x v="1"/>
    <s v="2024"/>
    <s v="Feb-2024"/>
    <n v="8"/>
  </r>
  <r>
    <x v="481"/>
    <x v="13"/>
    <d v="2024-02-06T00:00:00"/>
    <n v="1"/>
    <x v="0"/>
    <s v="Weekday"/>
    <x v="1"/>
    <n v="26"/>
    <x v="1"/>
    <x v="1"/>
    <n v="478040"/>
    <s v="High Billing"/>
    <s v="Recovered"/>
    <x v="0"/>
    <s v="Dr. Kofi"/>
    <s v="New Patient"/>
    <s v="102"/>
    <x v="3"/>
    <x v="1"/>
    <s v="2024"/>
    <s v="Feb-2024"/>
    <n v="8"/>
  </r>
  <r>
    <x v="482"/>
    <x v="14"/>
    <m/>
    <n v="725"/>
    <x v="1"/>
    <s v="Weekend"/>
    <x v="2"/>
    <n v="28"/>
    <x v="1"/>
    <x v="1"/>
    <n v="479010"/>
    <s v="High Billing"/>
    <s v="Pending"/>
    <x v="0"/>
    <s v="Dr. George"/>
    <s v="New Patient"/>
    <s v="405"/>
    <x v="5"/>
    <x v="1"/>
    <s v="2024"/>
    <s v="Feb-2024"/>
    <n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BE483B-AE6F-FD46-A734-0CF33AF71C8C}" name="Admission Trend by Weekda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33:G41" firstHeaderRow="1" firstDataRow="1" firstDataCol="1"/>
  <pivotFields count="24">
    <pivotField dataField="1" showAll="0"/>
    <pivotField numFmtId="165" showAll="0">
      <items count="16">
        <item x="1"/>
        <item x="2"/>
        <item x="3"/>
        <item x="5"/>
        <item x="6"/>
        <item x="7"/>
        <item x="8"/>
        <item x="9"/>
        <item x="10"/>
        <item x="4"/>
        <item x="0"/>
        <item x="11"/>
        <item x="12"/>
        <item x="13"/>
        <item x="14"/>
        <item t="default"/>
      </items>
    </pivotField>
    <pivotField showAll="0"/>
    <pivotField showAll="0"/>
    <pivotField showAll="0"/>
    <pivotField showAll="0"/>
    <pivotField showAll="0"/>
    <pivotField showAll="0"/>
    <pivotField showAll="0">
      <items count="4">
        <item x="1"/>
        <item x="2"/>
        <item x="0"/>
        <item t="default"/>
      </items>
    </pivotField>
    <pivotField showAll="0">
      <items count="3">
        <item x="1"/>
        <item x="0"/>
        <item t="default"/>
      </items>
    </pivotField>
    <pivotField numFmtId="166" showAll="0"/>
    <pivotField showAll="0"/>
    <pivotField showAll="0"/>
    <pivotField showAll="0"/>
    <pivotField showAll="0"/>
    <pivotField showAll="0"/>
    <pivotField showAll="0"/>
    <pivotField axis="axisRow" showAll="0">
      <items count="8">
        <item x="3"/>
        <item x="1"/>
        <item x="0"/>
        <item x="4"/>
        <item x="2"/>
        <item x="5"/>
        <item x="6"/>
        <item t="default"/>
      </items>
    </pivotField>
    <pivotField showAll="0">
      <items count="3">
        <item x="0"/>
        <item x="1"/>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8">
    <i>
      <x/>
    </i>
    <i>
      <x v="1"/>
    </i>
    <i>
      <x v="2"/>
    </i>
    <i>
      <x v="3"/>
    </i>
    <i>
      <x v="4"/>
    </i>
    <i>
      <x v="5"/>
    </i>
    <i>
      <x v="6"/>
    </i>
    <i t="grand">
      <x/>
    </i>
  </rowItems>
  <colItems count="1">
    <i/>
  </colItems>
  <dataFields count="1">
    <dataField name="Count of Patient ID" fld="0" subtotal="count"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466D27-BDAE-A644-B6F7-8497257D33D0}" name="Sum of Treatment Co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4">
    <pivotField showAll="0"/>
    <pivotField numFmtId="165" showAll="0">
      <items count="16">
        <item x="1"/>
        <item x="2"/>
        <item x="3"/>
        <item x="5"/>
        <item x="6"/>
        <item x="7"/>
        <item x="8"/>
        <item x="9"/>
        <item x="10"/>
        <item x="4"/>
        <item x="0"/>
        <item x="11"/>
        <item x="12"/>
        <item x="13"/>
        <item x="14"/>
        <item t="default"/>
      </items>
    </pivotField>
    <pivotField showAll="0"/>
    <pivotField showAll="0"/>
    <pivotField showAll="0"/>
    <pivotField showAll="0"/>
    <pivotField showAll="0"/>
    <pivotField showAll="0"/>
    <pivotField showAll="0">
      <items count="4">
        <item x="1"/>
        <item x="2"/>
        <item x="0"/>
        <item t="default"/>
      </items>
    </pivotField>
    <pivotField showAll="0">
      <items count="3">
        <item x="1"/>
        <item x="0"/>
        <item t="default"/>
      </items>
    </pivotField>
    <pivotField dataField="1" numFmtId="166"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reatment Cost" fld="10"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EBD7DC-36A1-A141-9C82-34AC0C7770FF}" name="Number of 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ow Labels">
  <location ref="A23:A29" firstHeaderRow="1" firstDataRow="1" firstDataCol="1"/>
  <pivotFields count="24">
    <pivotField showAll="0"/>
    <pivotField numFmtId="165" showAll="0">
      <items count="16">
        <item x="1"/>
        <item x="2"/>
        <item x="3"/>
        <item x="5"/>
        <item x="6"/>
        <item x="7"/>
        <item x="8"/>
        <item x="9"/>
        <item x="10"/>
        <item x="4"/>
        <item x="0"/>
        <item x="11"/>
        <item x="12"/>
        <item x="13"/>
        <item x="14"/>
        <item t="default"/>
      </items>
    </pivotField>
    <pivotField showAll="0"/>
    <pivotField showAll="0"/>
    <pivotField showAll="0"/>
    <pivotField showAll="0"/>
    <pivotField axis="axisRow" showAll="0">
      <items count="6">
        <item x="0"/>
        <item x="1"/>
        <item x="4"/>
        <item x="2"/>
        <item x="3"/>
        <item t="default"/>
      </items>
    </pivotField>
    <pivotField showAll="0"/>
    <pivotField showAll="0">
      <items count="4">
        <item x="1"/>
        <item x="2"/>
        <item x="0"/>
        <item t="default"/>
      </items>
    </pivotField>
    <pivotField showAll="0">
      <items count="3">
        <item x="1"/>
        <item x="0"/>
        <item t="default"/>
      </items>
    </pivotField>
    <pivotField numFmtId="166"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18B4CA-34BF-B345-87C7-93395CF922E3}" name="Total Unique Pati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A517" firstHeaderRow="1" firstDataRow="1" firstDataCol="1"/>
  <pivotFields count="24">
    <pivotField axis="axisRow" showAll="0">
      <items count="4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56"/>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t="default"/>
      </items>
    </pivotField>
    <pivotField numFmtId="165" showAll="0">
      <items count="16">
        <item x="1"/>
        <item x="2"/>
        <item x="3"/>
        <item x="5"/>
        <item x="6"/>
        <item x="7"/>
        <item x="8"/>
        <item x="9"/>
        <item x="10"/>
        <item x="4"/>
        <item x="0"/>
        <item x="11"/>
        <item x="12"/>
        <item x="13"/>
        <item x="14"/>
        <item t="default"/>
      </items>
    </pivotField>
    <pivotField showAll="0"/>
    <pivotField showAll="0"/>
    <pivotField showAll="0"/>
    <pivotField showAll="0"/>
    <pivotField showAll="0"/>
    <pivotField showAll="0"/>
    <pivotField showAll="0">
      <items count="4">
        <item x="1"/>
        <item x="2"/>
        <item x="0"/>
        <item t="default"/>
      </items>
    </pivotField>
    <pivotField showAll="0">
      <items count="3">
        <item x="1"/>
        <item x="0"/>
        <item t="default"/>
      </items>
    </pivotField>
    <pivotField numFmtId="166"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4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DD98CA-5ACC-0542-ADBE-31655B1E6D99}" name="Number of High Risk Pati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ow Labels">
  <location ref="A16:B19" firstHeaderRow="1" firstDataRow="1" firstDataCol="1"/>
  <pivotFields count="24">
    <pivotField showAll="0"/>
    <pivotField numFmtId="165" showAll="0">
      <items count="16">
        <item x="1"/>
        <item x="2"/>
        <item x="3"/>
        <item x="5"/>
        <item x="6"/>
        <item x="7"/>
        <item x="8"/>
        <item x="9"/>
        <item x="10"/>
        <item x="4"/>
        <item x="0"/>
        <item x="11"/>
        <item x="12"/>
        <item x="13"/>
        <item x="14"/>
        <item t="default"/>
      </items>
    </pivotField>
    <pivotField showAll="0"/>
    <pivotField showAll="0"/>
    <pivotField showAll="0"/>
    <pivotField showAll="0"/>
    <pivotField showAll="0"/>
    <pivotField showAll="0"/>
    <pivotField showAll="0">
      <items count="4">
        <item x="1"/>
        <item x="2"/>
        <item x="0"/>
        <item t="default"/>
      </items>
    </pivotField>
    <pivotField showAll="0">
      <items count="3">
        <item x="1"/>
        <item x="0"/>
        <item t="default"/>
      </items>
    </pivotField>
    <pivotField numFmtId="166" showAll="0"/>
    <pivotField showAll="0"/>
    <pivotField showAll="0"/>
    <pivotField axis="axisRow" dataField="1" showAll="0">
      <items count="3">
        <item x="1"/>
        <item x="0"/>
        <item t="default"/>
      </items>
    </pivotField>
    <pivotField showAll="0"/>
    <pivotField showAll="0"/>
    <pivotField showAll="0"/>
    <pivotField showAll="0"/>
    <pivotField showAll="0">
      <items count="3">
        <item x="0"/>
        <item x="1"/>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3">
    <i>
      <x/>
    </i>
    <i>
      <x v="1"/>
    </i>
    <i t="grand">
      <x/>
    </i>
  </rowItems>
  <colItems count="1">
    <i/>
  </colItems>
  <dataFields count="1">
    <dataField name="Count of Readmission Risk"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75AC54-CCCB-DF43-BFC3-32986480CF1C}" name="No. of Admiss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5:G8" firstHeaderRow="1" firstDataRow="1" firstDataCol="1"/>
  <pivotFields count="24">
    <pivotField dataField="1" showAll="0"/>
    <pivotField numFmtId="165" showAll="0">
      <items count="16">
        <item x="1"/>
        <item x="2"/>
        <item x="3"/>
        <item x="5"/>
        <item x="6"/>
        <item x="7"/>
        <item x="8"/>
        <item x="9"/>
        <item x="10"/>
        <item x="4"/>
        <item x="0"/>
        <item x="11"/>
        <item x="12"/>
        <item x="13"/>
        <item x="14"/>
        <item t="default"/>
      </items>
    </pivotField>
    <pivotField showAll="0"/>
    <pivotField showAll="0"/>
    <pivotField axis="axisRow" showAll="0">
      <items count="3">
        <item x="0"/>
        <item x="1"/>
        <item t="default"/>
      </items>
    </pivotField>
    <pivotField showAll="0"/>
    <pivotField showAll="0"/>
    <pivotField showAll="0"/>
    <pivotField showAll="0">
      <items count="4">
        <item x="1"/>
        <item x="2"/>
        <item x="0"/>
        <item t="default"/>
      </items>
    </pivotField>
    <pivotField showAll="0">
      <items count="3">
        <item x="1"/>
        <item x="0"/>
        <item t="default"/>
      </items>
    </pivotField>
    <pivotField numFmtId="166"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3">
    <i>
      <x/>
    </i>
    <i>
      <x v="1"/>
    </i>
    <i t="grand">
      <x/>
    </i>
  </rowItems>
  <colItems count="1">
    <i/>
  </colItems>
  <dataFields count="1">
    <dataField name="Count of Patient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B17902-4DA9-A240-A5FA-D1C476548C2E}" name="Median Length of Sta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4">
    <pivotField showAll="0"/>
    <pivotField numFmtId="165" showAll="0">
      <items count="16">
        <item x="1"/>
        <item x="2"/>
        <item x="3"/>
        <item x="5"/>
        <item x="6"/>
        <item x="7"/>
        <item x="8"/>
        <item x="9"/>
        <item x="10"/>
        <item x="4"/>
        <item x="0"/>
        <item x="11"/>
        <item x="12"/>
        <item x="13"/>
        <item x="14"/>
        <item t="default"/>
      </items>
    </pivotField>
    <pivotField showAll="0"/>
    <pivotField showAll="0"/>
    <pivotField showAll="0"/>
    <pivotField showAll="0"/>
    <pivotField showAll="0"/>
    <pivotField showAll="0"/>
    <pivotField showAll="0">
      <items count="4">
        <item x="1"/>
        <item x="2"/>
        <item x="0"/>
        <item t="default"/>
      </items>
    </pivotField>
    <pivotField showAll="0">
      <items count="3">
        <item x="1"/>
        <item x="0"/>
        <item t="default"/>
      </items>
    </pivotField>
    <pivotField numFmtId="166"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Median Length of Stay" fld="2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F56DC2-8E57-EA48-822A-95556E87D2C6}" name="Revenue by 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22:G28" firstHeaderRow="1" firstDataRow="1" firstDataCol="1"/>
  <pivotFields count="24">
    <pivotField showAll="0"/>
    <pivotField numFmtId="165" showAll="0">
      <items count="16">
        <item x="1"/>
        <item x="2"/>
        <item x="3"/>
        <item x="5"/>
        <item x="6"/>
        <item x="7"/>
        <item x="8"/>
        <item x="9"/>
        <item x="10"/>
        <item x="4"/>
        <item x="0"/>
        <item x="11"/>
        <item x="12"/>
        <item x="13"/>
        <item x="14"/>
        <item t="default"/>
      </items>
    </pivotField>
    <pivotField showAll="0"/>
    <pivotField showAll="0"/>
    <pivotField showAll="0"/>
    <pivotField showAll="0"/>
    <pivotField axis="axisRow" showAll="0" sortType="descending">
      <items count="6">
        <item x="0"/>
        <item x="1"/>
        <item x="4"/>
        <item x="2"/>
        <item x="3"/>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items count="3">
        <item x="1"/>
        <item x="0"/>
        <item t="default"/>
      </items>
    </pivotField>
    <pivotField dataField="1" numFmtId="166"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6">
    <i>
      <x v="1"/>
    </i>
    <i>
      <x v="2"/>
    </i>
    <i>
      <x v="3"/>
    </i>
    <i>
      <x/>
    </i>
    <i>
      <x v="4"/>
    </i>
    <i t="grand">
      <x/>
    </i>
  </rowItems>
  <colItems count="1">
    <i/>
  </colItems>
  <dataFields count="1">
    <dataField name="Sum of Treatment Cost" fld="10" baseField="0" baseItem="0" numFmtId="166"/>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0" format="2">
      <pivotArea type="data" outline="0" fieldPosition="0">
        <references count="2">
          <reference field="4294967294" count="1" selected="0">
            <x v="0"/>
          </reference>
          <reference field="6" count="1" selected="0">
            <x v="3"/>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0"/>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6" count="1" selected="0">
            <x v="1"/>
          </reference>
        </references>
      </pivotArea>
    </chartFormat>
    <chartFormat chart="3" format="14">
      <pivotArea type="data" outline="0" fieldPosition="0">
        <references count="2">
          <reference field="4294967294" count="1" selected="0">
            <x v="0"/>
          </reference>
          <reference field="6" count="1" selected="0">
            <x v="2"/>
          </reference>
        </references>
      </pivotArea>
    </chartFormat>
    <chartFormat chart="3" format="15">
      <pivotArea type="data" outline="0" fieldPosition="0">
        <references count="2">
          <reference field="4294967294" count="1" selected="0">
            <x v="0"/>
          </reference>
          <reference field="6" count="1" selected="0">
            <x v="3"/>
          </reference>
        </references>
      </pivotArea>
    </chartFormat>
    <chartFormat chart="3" format="16">
      <pivotArea type="data" outline="0" fieldPosition="0">
        <references count="2">
          <reference field="4294967294" count="1" selected="0">
            <x v="0"/>
          </reference>
          <reference field="6" count="1" selected="0">
            <x v="0"/>
          </reference>
        </references>
      </pivotArea>
    </chartFormat>
    <chartFormat chart="3" format="1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281FAD-DA51-8043-AA33-65CE5140F450}" name="Numbe of Patient Discharg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14:G17" firstHeaderRow="1" firstDataRow="1" firstDataCol="1"/>
  <pivotFields count="24">
    <pivotField dataField="1" showAll="0"/>
    <pivotField numFmtId="165" showAll="0">
      <items count="16">
        <item x="1"/>
        <item x="2"/>
        <item x="3"/>
        <item x="5"/>
        <item x="6"/>
        <item x="7"/>
        <item x="8"/>
        <item x="9"/>
        <item x="10"/>
        <item x="4"/>
        <item x="0"/>
        <item x="11"/>
        <item x="12"/>
        <item x="13"/>
        <item x="14"/>
        <item t="default"/>
      </items>
    </pivotField>
    <pivotField showAll="0"/>
    <pivotField showAll="0"/>
    <pivotField axis="axisRow" showAll="0">
      <items count="3">
        <item x="0"/>
        <item x="1"/>
        <item t="default"/>
      </items>
    </pivotField>
    <pivotField showAll="0"/>
    <pivotField showAll="0"/>
    <pivotField showAll="0"/>
    <pivotField showAll="0">
      <items count="4">
        <item x="1"/>
        <item x="2"/>
        <item x="0"/>
        <item t="default"/>
      </items>
    </pivotField>
    <pivotField showAll="0">
      <items count="3">
        <item x="1"/>
        <item x="0"/>
        <item t="default"/>
      </items>
    </pivotField>
    <pivotField numFmtId="166"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3">
    <i>
      <x/>
    </i>
    <i>
      <x v="1"/>
    </i>
    <i t="grand">
      <x/>
    </i>
  </rowItems>
  <colItems count="1">
    <i/>
  </colItems>
  <dataFields count="1">
    <dataField name="Count of Patient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4" count="1" selected="0">
            <x v="0"/>
          </reference>
        </references>
      </pivotArea>
    </chartFormat>
    <chartFormat chart="7"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97F9F32E-ECC5-AF45-8E3B-CB41198AEC7C}" sourceName="Age Group">
  <pivotTables>
    <pivotTable tabId="12" name="No. of Admission"/>
    <pivotTable tabId="12" name="Admission Trend by Weekday"/>
    <pivotTable tabId="12" name="Median Length of Stay"/>
    <pivotTable tabId="12" name="Numbe of Patient Discharged"/>
    <pivotTable tabId="12" name="Number of Department"/>
    <pivotTable tabId="12" name="Number of High Risk Patient"/>
    <pivotTable tabId="12" name="Revenue by Department"/>
    <pivotTable tabId="12" name="Sum of Treatment Cost"/>
    <pivotTable tabId="12" name="Total Unique Patient"/>
  </pivotTables>
  <data>
    <tabular pivotCacheId="165403461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A24CBAB-367A-D643-A9A9-6CA0C9DF1226}" sourceName="Gender">
  <pivotTables>
    <pivotTable tabId="12" name="No. of Admission"/>
    <pivotTable tabId="12" name="Admission Trend by Weekday"/>
    <pivotTable tabId="12" name="Median Length of Stay"/>
    <pivotTable tabId="12" name="Numbe of Patient Discharged"/>
    <pivotTable tabId="12" name="Number of Department"/>
    <pivotTable tabId="12" name="Number of High Risk Patient"/>
    <pivotTable tabId="12" name="Revenue by Department"/>
    <pivotTable tabId="12" name="Sum of Treatment Cost"/>
    <pivotTable tabId="12" name="Total Unique Patient"/>
  </pivotTables>
  <data>
    <tabular pivotCacheId="165403461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1F9797F7-D2B0-0848-8DF7-29B6666B66D4}" sourceName="Months">
  <pivotTables>
    <pivotTable tabId="12" name="No. of Admission"/>
    <pivotTable tabId="12" name="Admission Trend by Weekday"/>
    <pivotTable tabId="12" name="Median Length of Stay"/>
    <pivotTable tabId="12" name="Numbe of Patient Discharged"/>
    <pivotTable tabId="12" name="Number of Department"/>
    <pivotTable tabId="12" name="Number of High Risk Patient"/>
    <pivotTable tabId="12" name="Revenue by Department"/>
    <pivotTable tabId="12" name="Sum of Treatment Cost"/>
    <pivotTable tabId="12" name="Total Unique Patient"/>
  </pivotTables>
  <data>
    <tabular pivotCacheId="165403461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1" xr10:uid="{D2F485AA-111D-9A4F-924A-5CF9207F7DE5}" cache="Slicer_Age_Group" caption="Age Group" columnCount="3" showCaption="0" rowHeight="230716"/>
  <slicer name="Gender 1" xr10:uid="{32C11125-628F-9B41-AD3F-D837D48486B4}" cache="Slicer_Gender" caption="Gender" columnCount="2" showCaption="0" rowHeight="230716"/>
  <slicer name="Months 1" xr10:uid="{0C2D76DE-D375-E040-B32D-D1DFE511C5EA}" cache="Slicer_Months" caption="Months" columnCount="2" showCaption="0"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49C75106-FB7A-F84B-87B2-26370790CD36}" cache="Slicer_Age_Group" caption="Age Group" rowHeight="230716"/>
  <slicer name="Gender" xr10:uid="{A3E45293-7F2F-7141-B7FD-A746DB61B26D}" cache="Slicer_Gender" caption="Gender" rowHeight="230716"/>
  <slicer name="Months" xr10:uid="{6DD68C29-392F-9546-B65C-F1441815D099}" cache="Slicer_Months" caption="Months"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1F9554-1A8C-5341-97A0-DEC17EA950E8}" name="Table14" displayName="Table14" ref="A1:V484" totalsRowShown="0">
  <autoFilter ref="A1:V484" xr:uid="{91939E77-13F6-A744-9D0F-4BB8543D25AC}"/>
  <tableColumns count="22">
    <tableColumn id="1" xr3:uid="{C5D54FEA-F542-E448-A5D4-ECA9E0D8A04D}" name="Patient ID"/>
    <tableColumn id="2" xr3:uid="{08059ADF-0006-6A47-962F-BF848C5EA380}" name="Admission Date" dataDxfId="27"/>
    <tableColumn id="3" xr3:uid="{C6462A7F-E72F-184C-9532-F39D1C0961DC}" name="Discharge Date" dataDxfId="26"/>
    <tableColumn id="12" xr3:uid="{19CF125F-E44E-144D-AD85-4B82C4E10C8E}" name="Length of Stay" dataDxfId="25">
      <calculatedColumnFormula>IF(ISBLANK(Table14[[#This Row],[Discharge Date]]),TODAY()-Table14[[#This Row],[Admission Date]], Table14[[#This Row],[Discharge Date]]-Table14[[#This Row],[Admission Date]])</calculatedColumnFormula>
    </tableColumn>
    <tableColumn id="13" xr3:uid="{53EF52DD-27D3-514E-8F9B-510E58F7DFD6}" name="Admission Status" dataDxfId="24">
      <calculatedColumnFormula>IF(Table14[[#This Row],[Discharge Date]]="","Still Admitted","Patient Discharged")</calculatedColumnFormula>
    </tableColumn>
    <tableColumn id="16" xr3:uid="{7608D671-35ED-9F44-9687-5F8C1FB66229}" name="Admission Category" dataDxfId="23">
      <calculatedColumnFormula>IF(WEEKDAY(Table14[[#This Row],[Admission Date]],2)&gt;5,"Weekend","Weekday")</calculatedColumnFormula>
    </tableColumn>
    <tableColumn id="15" xr3:uid="{4A85670F-B1CA-4F46-A21C-825E15DB43D5}" name="Department" dataDxfId="22"/>
    <tableColumn id="5" xr3:uid="{30DD69E9-916D-0C48-8FA9-0B2806A76005}" name="Age"/>
    <tableColumn id="14" xr3:uid="{43B77FED-5827-2E40-AA71-DF111F926E6F}" name="Age Group" dataDxfId="21">
      <calculatedColumnFormula array="1">_xlfn.IFS(Table14[[#This Row],[Age]]&lt;18,"Children",Table14[[#This Row],[Age]]&lt;50,"Adult",Table14[[#This Row],[Age]]&gt;=50,"Elderly")</calculatedColumnFormula>
    </tableColumn>
    <tableColumn id="7" xr3:uid="{492F1B34-9B17-CC4A-8468-6A16E2A15750}" name="Gender"/>
    <tableColumn id="8" xr3:uid="{6F71AFEE-C6FE-7E4F-BB2F-E9587AF29FF3}" name="Treatment Cost" dataDxfId="20"/>
    <tableColumn id="17" xr3:uid="{9F49393A-1C6C-7C4D-A356-56C848A08757}" name="Billing Category" dataDxfId="19">
      <calculatedColumnFormula array="1">_xlfn.IFS(Table14[[#This Row],[Treatment Cost]]&lt;50000,"Low Billing",Table14[[#This Row],[Treatment Cost]]&lt;200000,"Moderate Billing",Table14[[#This Row],[Treatment Cost]]&gt;=200000,"High Billing")</calculatedColumnFormula>
    </tableColumn>
    <tableColumn id="9" xr3:uid="{F8524F4A-5938-ED4C-A5B0-101B682AD101}" name="Outcome"/>
    <tableColumn id="18" xr3:uid="{11183E6C-753C-0B42-B814-664E56B4864E}" name="Readmission Risk" dataDxfId="18">
      <calculatedColumnFormula>IF(AND(Table14[[#This Row],[Outcome]]="Follow-up",Table14[[#This Row],[Admission Status]]="Patient Discharged"),"High Risk Patient","Low Risk Patient")</calculatedColumnFormula>
    </tableColumn>
    <tableColumn id="10" xr3:uid="{18ED462B-DADE-564A-AEAD-95F14F2859A1}" name="Doctor" dataDxfId="17">
      <calculatedColumnFormula>IFERROR(VLOOKUP(Table14[[#This Row],[Department]],Doctor_Info!A:D,2,FALSE), "")</calculatedColumnFormula>
    </tableColumn>
    <tableColumn id="19" xr3:uid="{27077016-CD3C-524B-A17E-B3248A8D8674}" name="Patient Type" dataDxfId="16">
      <calculatedColumnFormula>IF(COUNTIF(A:A,Table14[[#This Row],[Patient ID]]&gt;1),"Returning Patient","New Patient")</calculatedColumnFormula>
    </tableColumn>
    <tableColumn id="11" xr3:uid="{7263CC27-CDD0-7741-9646-F2AF591EDD25}" name="Room Number" dataDxfId="15">
      <calculatedColumnFormula>_xlfn.XLOOKUP(Table14[[#This Row],[Department]], Doctor_Info!A:A, Doctor_Info!C:C, "")&amp;""</calculatedColumnFormula>
    </tableColumn>
    <tableColumn id="21" xr3:uid="{84DD4AE5-5777-294F-9122-4271184F3CDF}" name="Day" dataDxfId="14">
      <calculatedColumnFormula>TEXT(Table14[[#This Row],[Admission Date]],"ddd")</calculatedColumnFormula>
    </tableColumn>
    <tableColumn id="20" xr3:uid="{7F954008-31DD-5540-9816-6EC711BEF1A5}" name="Months" dataDxfId="13">
      <calculatedColumnFormula>TEXT(Table14[[#This Row],[Admission Date]],"mmm")</calculatedColumnFormula>
    </tableColumn>
    <tableColumn id="22" xr3:uid="{753A5A8D-E241-684F-B42D-28C64C863216}" name="Year" dataDxfId="12">
      <calculatedColumnFormula>TEXT(Table14[[#This Row],[Admission Date]],"yyyy")</calculatedColumnFormula>
    </tableColumn>
    <tableColumn id="23" xr3:uid="{ED52E23F-4B2A-0743-B49D-A89AB1D61E06}" name="Month and Year" dataDxfId="11">
      <calculatedColumnFormula>TEXT(Table14[[#This Row],[Admission Date]],"mmm-yyyy")</calculatedColumnFormula>
    </tableColumn>
    <tableColumn id="6" xr3:uid="{3EF52CB5-72F1-2546-ACBE-96818F2F89C4}" name="Calculated Median" dataDxfId="10">
      <calculatedColumnFormula>MEDIAN($D$2:$D$484)</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939E77-13F6-A744-9D0F-4BB8543D25AC}" name="Table1" displayName="Table1" ref="A1:J484" totalsRowShown="0">
  <autoFilter ref="A1:J484" xr:uid="{91939E77-13F6-A744-9D0F-4BB8543D25AC}"/>
  <tableColumns count="10">
    <tableColumn id="1" xr3:uid="{F69E28CE-4304-7042-B78A-6FD7F046D98B}" name="Patient ID"/>
    <tableColumn id="2" xr3:uid="{1B3639AD-0D0C-F946-92F0-8C8B1F129C86}" name="Admission Date" dataDxfId="9"/>
    <tableColumn id="3" xr3:uid="{754103E5-3740-5C43-BB1F-4B2FB64AE2BA}" name="Discharge Date" dataDxfId="8"/>
    <tableColumn id="15" xr3:uid="{C6C70B27-E0F3-A649-AD95-5129E57DA83B}" name="Department" dataDxfId="7"/>
    <tableColumn id="5" xr3:uid="{47CD6160-872D-114F-A161-6D258DA63519}" name="Age"/>
    <tableColumn id="7" xr3:uid="{2A913808-9D6C-714C-B253-6B90CABC5ADF}" name="Gender"/>
    <tableColumn id="8" xr3:uid="{A5FE4949-E0A7-1448-B074-CC72D8888122}" name="Treatment Cost" dataDxfId="6"/>
    <tableColumn id="9" xr3:uid="{9B498FE1-11E0-E14F-927C-D2627F45BAB2}" name="Outcome"/>
    <tableColumn id="10" xr3:uid="{F22D4A09-0FF1-5E48-BA21-B1FE71AC2B02}" name="Doctor" dataDxfId="5">
      <calculatedColumnFormula>IFERROR(VLOOKUP(Table1[[#This Row],[Department]],Doctor_Info!A:D,2,FALSE), "")</calculatedColumnFormula>
    </tableColumn>
    <tableColumn id="11" xr3:uid="{726D5969-F927-9545-B91C-320710DE1173}" name="Room Number" dataDxfId="4">
      <calculatedColumnFormula>_xlfn.XLOOKUP(Table1[[#This Row],[Department]], Doctor_Info!A:A, Doctor_Info!C:C, "")&amp;""</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68CBD-3508-B24B-BA3A-0DEADED772AE}">
  <dimension ref="A1:U16"/>
  <sheetViews>
    <sheetView zoomScaleNormal="100" workbookViewId="0">
      <selection activeCell="Q32" sqref="Q32"/>
    </sheetView>
  </sheetViews>
  <sheetFormatPr baseColWidth="10" defaultRowHeight="15" x14ac:dyDescent="0.2"/>
  <cols>
    <col min="1" max="21" width="10.83203125" style="11"/>
  </cols>
  <sheetData>
    <row r="1" spans="1:21" x14ac:dyDescent="0.2">
      <c r="A1" s="16"/>
      <c r="B1" s="16"/>
      <c r="C1" s="16"/>
      <c r="D1" s="16"/>
      <c r="E1" s="16"/>
      <c r="F1" s="16"/>
      <c r="G1" s="16"/>
      <c r="H1" s="16"/>
      <c r="I1" s="16"/>
      <c r="J1" s="16"/>
      <c r="K1" s="16"/>
      <c r="L1" s="16"/>
      <c r="M1" s="16"/>
      <c r="N1" s="16"/>
      <c r="O1" s="16"/>
      <c r="P1" s="16"/>
      <c r="Q1" s="16"/>
      <c r="R1" s="16"/>
      <c r="S1" s="16"/>
      <c r="T1" s="16"/>
      <c r="U1" s="16"/>
    </row>
    <row r="2" spans="1:21" x14ac:dyDescent="0.2">
      <c r="A2" s="16"/>
      <c r="B2" s="16"/>
      <c r="C2" s="16"/>
      <c r="D2" s="16"/>
      <c r="E2" s="16"/>
      <c r="F2" s="16"/>
      <c r="G2" s="16"/>
      <c r="H2" s="16"/>
      <c r="I2" s="16"/>
      <c r="J2" s="16"/>
      <c r="K2" s="16"/>
      <c r="L2" s="16"/>
      <c r="M2" s="16"/>
      <c r="N2" s="16"/>
      <c r="O2" s="16"/>
      <c r="P2" s="16"/>
      <c r="Q2" s="16"/>
      <c r="R2" s="16"/>
      <c r="S2" s="16"/>
      <c r="T2" s="16"/>
      <c r="U2" s="16"/>
    </row>
    <row r="3" spans="1:21" x14ac:dyDescent="0.2">
      <c r="A3" s="16"/>
      <c r="B3" s="16"/>
      <c r="C3" s="16"/>
      <c r="D3" s="16"/>
      <c r="E3" s="16"/>
      <c r="F3" s="16"/>
      <c r="G3" s="16"/>
      <c r="H3" s="16"/>
      <c r="I3" s="16"/>
      <c r="J3" s="16"/>
      <c r="K3" s="16"/>
      <c r="L3" s="16"/>
      <c r="M3" s="16"/>
      <c r="N3" s="16"/>
      <c r="O3" s="16"/>
      <c r="P3" s="16"/>
      <c r="Q3" s="16"/>
      <c r="R3" s="16"/>
      <c r="S3" s="16"/>
      <c r="T3" s="16"/>
      <c r="U3" s="16"/>
    </row>
    <row r="4" spans="1:21" x14ac:dyDescent="0.2">
      <c r="A4" s="16"/>
      <c r="B4" s="16"/>
      <c r="C4" s="16"/>
      <c r="D4" s="16"/>
      <c r="E4" s="16"/>
      <c r="F4" s="16"/>
      <c r="G4" s="16"/>
      <c r="H4" s="16"/>
      <c r="I4" s="16"/>
      <c r="J4" s="16"/>
      <c r="K4" s="16"/>
      <c r="L4" s="16"/>
      <c r="M4" s="16"/>
      <c r="N4" s="16"/>
      <c r="O4" s="16"/>
      <c r="P4" s="16"/>
      <c r="Q4" s="16"/>
      <c r="R4" s="16"/>
      <c r="S4" s="16"/>
      <c r="T4" s="16"/>
      <c r="U4" s="16"/>
    </row>
    <row r="5" spans="1:21" x14ac:dyDescent="0.2">
      <c r="A5" s="16"/>
      <c r="B5" s="16"/>
      <c r="C5" s="16"/>
      <c r="D5" s="16"/>
      <c r="E5" s="16"/>
      <c r="F5" s="16"/>
      <c r="G5" s="16"/>
      <c r="H5" s="16"/>
      <c r="I5" s="16"/>
      <c r="J5" s="16"/>
      <c r="K5" s="16"/>
      <c r="L5" s="16"/>
      <c r="M5" s="16"/>
      <c r="N5" s="16"/>
      <c r="O5" s="16"/>
      <c r="P5" s="16"/>
      <c r="Q5" s="16"/>
      <c r="R5" s="16"/>
      <c r="S5" s="16"/>
      <c r="T5" s="16"/>
      <c r="U5" s="16"/>
    </row>
    <row r="6" spans="1:21" x14ac:dyDescent="0.2">
      <c r="A6" s="16"/>
      <c r="B6" s="16"/>
      <c r="C6" s="16"/>
      <c r="D6" s="16"/>
      <c r="E6" s="16"/>
      <c r="F6" s="16"/>
      <c r="G6" s="16"/>
      <c r="H6" s="16"/>
      <c r="I6" s="16"/>
      <c r="J6" s="16"/>
      <c r="K6" s="16"/>
      <c r="L6" s="16"/>
      <c r="M6" s="16"/>
      <c r="N6" s="16"/>
      <c r="O6" s="16"/>
      <c r="P6" s="16"/>
      <c r="Q6" s="16"/>
      <c r="R6" s="16"/>
      <c r="S6" s="16"/>
      <c r="T6" s="16"/>
      <c r="U6" s="16"/>
    </row>
    <row r="7" spans="1:21" x14ac:dyDescent="0.2">
      <c r="A7" s="16"/>
      <c r="B7" s="16"/>
      <c r="C7" s="16"/>
      <c r="D7" s="16"/>
      <c r="E7" s="16"/>
      <c r="F7" s="16"/>
      <c r="G7" s="16"/>
      <c r="H7" s="16"/>
      <c r="I7" s="16"/>
      <c r="J7" s="16"/>
      <c r="K7" s="16"/>
      <c r="L7" s="16"/>
      <c r="M7" s="16"/>
      <c r="N7" s="16"/>
      <c r="O7" s="16"/>
      <c r="P7" s="16"/>
      <c r="Q7" s="16"/>
      <c r="R7" s="16"/>
      <c r="S7" s="16"/>
      <c r="T7" s="16"/>
      <c r="U7" s="16"/>
    </row>
    <row r="8" spans="1:21" x14ac:dyDescent="0.2">
      <c r="A8" s="16"/>
      <c r="B8" s="16"/>
      <c r="C8" s="16"/>
      <c r="D8" s="16"/>
      <c r="E8" s="16"/>
      <c r="F8" s="16"/>
      <c r="G8" s="16"/>
      <c r="H8" s="16"/>
      <c r="I8" s="16"/>
      <c r="J8" s="16"/>
      <c r="K8" s="16"/>
      <c r="L8" s="16"/>
      <c r="M8" s="16"/>
      <c r="N8" s="16"/>
      <c r="O8" s="16"/>
      <c r="P8" s="16"/>
      <c r="Q8" s="16"/>
      <c r="R8" s="16"/>
      <c r="S8" s="16"/>
      <c r="T8" s="16"/>
      <c r="U8" s="16"/>
    </row>
    <row r="16" spans="1:21" x14ac:dyDescent="0.2">
      <c r="R16"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579D0-5C5D-E842-850D-CD9938D190FD}">
  <dimension ref="A3:L18"/>
  <sheetViews>
    <sheetView workbookViewId="0">
      <selection activeCell="A16" sqref="A16"/>
    </sheetView>
  </sheetViews>
  <sheetFormatPr baseColWidth="10" defaultRowHeight="15" x14ac:dyDescent="0.2"/>
  <cols>
    <col min="1" max="1" width="203.83203125" style="17" bestFit="1" customWidth="1"/>
  </cols>
  <sheetData>
    <row r="3" spans="1:12" ht="21" x14ac:dyDescent="0.25">
      <c r="A3" s="19" t="s">
        <v>578</v>
      </c>
    </row>
    <row r="4" spans="1:12" ht="19" x14ac:dyDescent="0.25">
      <c r="A4" s="18" t="s">
        <v>579</v>
      </c>
      <c r="B4" s="20"/>
      <c r="C4" s="20"/>
      <c r="D4" s="20"/>
      <c r="E4" s="20"/>
      <c r="F4" s="20"/>
      <c r="G4" s="20"/>
      <c r="H4" s="20"/>
      <c r="I4" s="20"/>
      <c r="J4" s="20"/>
      <c r="K4" s="20"/>
      <c r="L4" s="20"/>
    </row>
    <row r="5" spans="1:12" ht="19" x14ac:dyDescent="0.25">
      <c r="A5" s="18" t="s">
        <v>581</v>
      </c>
      <c r="B5" s="20"/>
      <c r="C5" s="20"/>
      <c r="D5" s="20"/>
      <c r="E5" s="20"/>
      <c r="F5" s="20"/>
      <c r="G5" s="20"/>
      <c r="H5" s="20"/>
      <c r="I5" s="20"/>
      <c r="J5" s="20"/>
      <c r="K5" s="20"/>
      <c r="L5" s="20"/>
    </row>
    <row r="6" spans="1:12" ht="19" x14ac:dyDescent="0.25">
      <c r="A6" s="18" t="s">
        <v>580</v>
      </c>
      <c r="B6" s="20"/>
      <c r="C6" s="20"/>
      <c r="D6" s="20"/>
      <c r="E6" s="20"/>
      <c r="F6" s="20"/>
      <c r="G6" s="20"/>
      <c r="H6" s="20"/>
      <c r="I6" s="20"/>
      <c r="J6" s="20"/>
      <c r="K6" s="20"/>
      <c r="L6" s="20"/>
    </row>
    <row r="7" spans="1:12" ht="19" x14ac:dyDescent="0.25">
      <c r="A7" s="18" t="s">
        <v>588</v>
      </c>
      <c r="B7" s="20"/>
      <c r="C7" s="20"/>
      <c r="D7" s="20"/>
      <c r="E7" s="20"/>
      <c r="F7" s="20"/>
      <c r="G7" s="20"/>
      <c r="H7" s="20"/>
      <c r="I7" s="20"/>
      <c r="J7" s="20"/>
      <c r="K7" s="20"/>
      <c r="L7" s="20"/>
    </row>
    <row r="8" spans="1:12" ht="19" x14ac:dyDescent="0.25">
      <c r="A8" s="18" t="s">
        <v>587</v>
      </c>
      <c r="B8" s="20"/>
      <c r="C8" s="20"/>
      <c r="D8" s="20"/>
      <c r="E8" s="20"/>
      <c r="F8" s="20"/>
      <c r="G8" s="20"/>
      <c r="H8" s="20"/>
      <c r="I8" s="20"/>
      <c r="J8" s="20"/>
      <c r="K8" s="20"/>
      <c r="L8" s="20"/>
    </row>
    <row r="9" spans="1:12" ht="19" x14ac:dyDescent="0.25">
      <c r="A9" s="18"/>
      <c r="B9" s="20"/>
      <c r="C9" s="20"/>
      <c r="D9" s="20"/>
      <c r="E9" s="20"/>
      <c r="F9" s="20"/>
      <c r="G9" s="20"/>
      <c r="H9" s="20"/>
      <c r="I9" s="20"/>
      <c r="J9" s="20"/>
      <c r="K9" s="20"/>
      <c r="L9" s="20"/>
    </row>
    <row r="13" spans="1:12" ht="21" x14ac:dyDescent="0.25">
      <c r="A13" s="19" t="s">
        <v>582</v>
      </c>
    </row>
    <row r="14" spans="1:12" ht="19" x14ac:dyDescent="0.25">
      <c r="A14" s="18" t="s">
        <v>583</v>
      </c>
    </row>
    <row r="15" spans="1:12" ht="19" x14ac:dyDescent="0.25">
      <c r="A15" s="18" t="s">
        <v>589</v>
      </c>
    </row>
    <row r="16" spans="1:12" ht="19" x14ac:dyDescent="0.25">
      <c r="A16" s="18" t="s">
        <v>584</v>
      </c>
    </row>
    <row r="17" spans="1:1" ht="19" x14ac:dyDescent="0.25">
      <c r="A17" s="18" t="s">
        <v>585</v>
      </c>
    </row>
    <row r="18" spans="1:1" ht="19" x14ac:dyDescent="0.25">
      <c r="A18" s="18" t="s">
        <v>586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E633D-35AF-B046-872D-ED11C70912E6}">
  <dimension ref="A1:AL517"/>
  <sheetViews>
    <sheetView zoomScale="75" zoomScaleNormal="100" workbookViewId="0"/>
  </sheetViews>
  <sheetFormatPr baseColWidth="10" defaultRowHeight="15" x14ac:dyDescent="0.2"/>
  <cols>
    <col min="1" max="1" width="22.5" bestFit="1" customWidth="1"/>
    <col min="2" max="2" width="21.1640625" bestFit="1" customWidth="1"/>
    <col min="6" max="6" width="26" bestFit="1" customWidth="1"/>
    <col min="7" max="7" width="18.6640625" bestFit="1" customWidth="1"/>
    <col min="23" max="23" width="10.83203125" style="14"/>
    <col min="24" max="24" width="15.83203125" style="14" bestFit="1" customWidth="1"/>
    <col min="25" max="28" width="10.83203125" style="14"/>
    <col min="29" max="33" width="10.83203125" style="13"/>
  </cols>
  <sheetData>
    <row r="1" spans="1:38" x14ac:dyDescent="0.2">
      <c r="A1" s="9" t="s">
        <v>552</v>
      </c>
      <c r="F1" s="9" t="s">
        <v>574</v>
      </c>
      <c r="M1" s="9" t="s">
        <v>573</v>
      </c>
      <c r="X1" s="9" t="s">
        <v>575</v>
      </c>
      <c r="AL1" t="s">
        <v>577</v>
      </c>
    </row>
    <row r="4" spans="1:38" x14ac:dyDescent="0.2">
      <c r="F4" s="10" t="s">
        <v>563</v>
      </c>
    </row>
    <row r="5" spans="1:38" x14ac:dyDescent="0.2">
      <c r="A5" s="10" t="s">
        <v>553</v>
      </c>
      <c r="F5" s="8" t="s">
        <v>549</v>
      </c>
      <c r="G5" t="s">
        <v>548</v>
      </c>
    </row>
    <row r="6" spans="1:38" x14ac:dyDescent="0.2">
      <c r="A6" t="s">
        <v>553</v>
      </c>
      <c r="F6" s="6" t="s">
        <v>561</v>
      </c>
      <c r="G6">
        <v>389</v>
      </c>
      <c r="H6">
        <f>GETPIVOTDATA("Patient ID",$F$5,"Admission Status","Still Admitted")</f>
        <v>94</v>
      </c>
      <c r="I6" s="12">
        <f>GETPIVOTDATA("Patient ID",$F$5,"Admission Status","Still Admitted")/GETPIVOTDATA("Patient ID",$F$5)</f>
        <v>0.19461697722567287</v>
      </c>
    </row>
    <row r="7" spans="1:38" x14ac:dyDescent="0.2">
      <c r="A7">
        <v>8</v>
      </c>
      <c r="B7">
        <f>GETPIVOTDATA("Calculated Median",$A$6)</f>
        <v>8</v>
      </c>
      <c r="F7" s="6" t="s">
        <v>562</v>
      </c>
      <c r="G7">
        <v>94</v>
      </c>
    </row>
    <row r="8" spans="1:38" x14ac:dyDescent="0.2">
      <c r="F8" s="6" t="s">
        <v>550</v>
      </c>
      <c r="G8">
        <v>483</v>
      </c>
    </row>
    <row r="10" spans="1:38" x14ac:dyDescent="0.2">
      <c r="A10" s="10" t="s">
        <v>554</v>
      </c>
    </row>
    <row r="11" spans="1:38" x14ac:dyDescent="0.2">
      <c r="A11" t="s">
        <v>554</v>
      </c>
    </row>
    <row r="12" spans="1:38" x14ac:dyDescent="0.2">
      <c r="A12" s="7">
        <v>115382590</v>
      </c>
      <c r="B12" s="7">
        <f>GETPIVOTDATA("Treatment Cost",$A$11)</f>
        <v>115382590</v>
      </c>
    </row>
    <row r="13" spans="1:38" x14ac:dyDescent="0.2">
      <c r="F13" s="10" t="s">
        <v>576</v>
      </c>
    </row>
    <row r="14" spans="1:38" x14ac:dyDescent="0.2">
      <c r="F14" s="8" t="s">
        <v>549</v>
      </c>
      <c r="G14" t="s">
        <v>548</v>
      </c>
    </row>
    <row r="15" spans="1:38" x14ac:dyDescent="0.2">
      <c r="A15" s="10" t="s">
        <v>558</v>
      </c>
      <c r="F15" s="6" t="s">
        <v>561</v>
      </c>
      <c r="G15">
        <v>389</v>
      </c>
      <c r="H15">
        <f>GETPIVOTDATA("Patient ID",$F$14,"Admission Status","Patient Discharged")</f>
        <v>389</v>
      </c>
      <c r="I15" s="12">
        <f>GETPIVOTDATA("Patient ID",$F$14,"Admission Status","Patient Discharged")/GETPIVOTDATA("Patient ID",$F$14)</f>
        <v>0.80538302277432716</v>
      </c>
    </row>
    <row r="16" spans="1:38" x14ac:dyDescent="0.2">
      <c r="A16" s="8" t="s">
        <v>549</v>
      </c>
      <c r="B16" t="s">
        <v>557</v>
      </c>
      <c r="F16" s="6" t="s">
        <v>562</v>
      </c>
      <c r="G16">
        <v>94</v>
      </c>
    </row>
    <row r="17" spans="1:8" x14ac:dyDescent="0.2">
      <c r="A17" s="6" t="s">
        <v>555</v>
      </c>
      <c r="B17">
        <v>192</v>
      </c>
      <c r="C17">
        <f>GETPIVOTDATA("Readmission Risk",$A$16,"Readmission Risk","High Risk Patient")</f>
        <v>192</v>
      </c>
      <c r="F17" s="6" t="s">
        <v>550</v>
      </c>
      <c r="G17">
        <v>483</v>
      </c>
    </row>
    <row r="18" spans="1:8" x14ac:dyDescent="0.2">
      <c r="A18" s="6" t="s">
        <v>556</v>
      </c>
      <c r="B18">
        <v>291</v>
      </c>
    </row>
    <row r="19" spans="1:8" x14ac:dyDescent="0.2">
      <c r="A19" s="6" t="s">
        <v>550</v>
      </c>
      <c r="B19">
        <v>483</v>
      </c>
    </row>
    <row r="21" spans="1:8" x14ac:dyDescent="0.2">
      <c r="F21" s="10" t="s">
        <v>564</v>
      </c>
    </row>
    <row r="22" spans="1:8" x14ac:dyDescent="0.2">
      <c r="A22" s="10" t="s">
        <v>559</v>
      </c>
      <c r="F22" s="8" t="s">
        <v>549</v>
      </c>
      <c r="G22" t="s">
        <v>554</v>
      </c>
    </row>
    <row r="23" spans="1:8" x14ac:dyDescent="0.2">
      <c r="A23" s="8" t="s">
        <v>549</v>
      </c>
      <c r="F23" s="6" t="s">
        <v>528</v>
      </c>
      <c r="G23" s="7">
        <v>46398860</v>
      </c>
      <c r="H23" s="12"/>
    </row>
    <row r="24" spans="1:8" x14ac:dyDescent="0.2">
      <c r="A24" s="6" t="s">
        <v>7</v>
      </c>
      <c r="B24">
        <f>COUNTA(A24:A28)</f>
        <v>5</v>
      </c>
      <c r="C24">
        <f>B24</f>
        <v>5</v>
      </c>
      <c r="F24" s="6" t="s">
        <v>12</v>
      </c>
      <c r="G24" s="7">
        <v>23323000</v>
      </c>
    </row>
    <row r="25" spans="1:8" x14ac:dyDescent="0.2">
      <c r="A25" s="6" t="s">
        <v>528</v>
      </c>
      <c r="F25" s="6" t="s">
        <v>10</v>
      </c>
      <c r="G25" s="7">
        <v>22712220</v>
      </c>
    </row>
    <row r="26" spans="1:8" x14ac:dyDescent="0.2">
      <c r="A26" s="6" t="s">
        <v>12</v>
      </c>
      <c r="F26" s="6" t="s">
        <v>7</v>
      </c>
      <c r="G26" s="7">
        <v>22518510</v>
      </c>
    </row>
    <row r="27" spans="1:8" x14ac:dyDescent="0.2">
      <c r="A27" s="6" t="s">
        <v>10</v>
      </c>
      <c r="F27" s="6" t="s">
        <v>11</v>
      </c>
      <c r="G27" s="7">
        <v>430000</v>
      </c>
    </row>
    <row r="28" spans="1:8" x14ac:dyDescent="0.2">
      <c r="A28" s="6" t="s">
        <v>11</v>
      </c>
      <c r="F28" s="6" t="s">
        <v>550</v>
      </c>
      <c r="G28" s="7">
        <v>115382590</v>
      </c>
    </row>
    <row r="29" spans="1:8" x14ac:dyDescent="0.2">
      <c r="A29" s="6" t="s">
        <v>550</v>
      </c>
    </row>
    <row r="32" spans="1:8" x14ac:dyDescent="0.2">
      <c r="A32" s="15" t="s">
        <v>560</v>
      </c>
      <c r="F32" s="10" t="s">
        <v>572</v>
      </c>
    </row>
    <row r="33" spans="1:7" x14ac:dyDescent="0.2">
      <c r="A33" s="8" t="s">
        <v>549</v>
      </c>
      <c r="F33" s="8" t="s">
        <v>549</v>
      </c>
      <c r="G33" t="s">
        <v>548</v>
      </c>
    </row>
    <row r="34" spans="1:7" x14ac:dyDescent="0.2">
      <c r="A34" s="6" t="s">
        <v>14</v>
      </c>
      <c r="B34">
        <f>COUNTA(A34:A516)</f>
        <v>483</v>
      </c>
      <c r="C34">
        <f>B34</f>
        <v>483</v>
      </c>
      <c r="F34" s="6" t="s">
        <v>566</v>
      </c>
      <c r="G34">
        <v>97</v>
      </c>
    </row>
    <row r="35" spans="1:7" x14ac:dyDescent="0.2">
      <c r="A35" s="6" t="s">
        <v>15</v>
      </c>
      <c r="F35" s="6" t="s">
        <v>567</v>
      </c>
      <c r="G35">
        <v>2</v>
      </c>
    </row>
    <row r="36" spans="1:7" x14ac:dyDescent="0.2">
      <c r="A36" s="6" t="s">
        <v>16</v>
      </c>
      <c r="F36" s="6" t="s">
        <v>568</v>
      </c>
      <c r="G36">
        <v>2</v>
      </c>
    </row>
    <row r="37" spans="1:7" x14ac:dyDescent="0.2">
      <c r="A37" s="6" t="s">
        <v>17</v>
      </c>
      <c r="F37" s="6" t="s">
        <v>569</v>
      </c>
      <c r="G37">
        <v>98</v>
      </c>
    </row>
    <row r="38" spans="1:7" x14ac:dyDescent="0.2">
      <c r="A38" s="6" t="s">
        <v>18</v>
      </c>
      <c r="F38" s="6" t="s">
        <v>570</v>
      </c>
      <c r="G38">
        <v>1</v>
      </c>
    </row>
    <row r="39" spans="1:7" x14ac:dyDescent="0.2">
      <c r="A39" s="6" t="s">
        <v>19</v>
      </c>
      <c r="F39" s="6" t="s">
        <v>571</v>
      </c>
      <c r="G39">
        <v>190</v>
      </c>
    </row>
    <row r="40" spans="1:7" x14ac:dyDescent="0.2">
      <c r="A40" s="6" t="s">
        <v>20</v>
      </c>
      <c r="F40" s="6" t="s">
        <v>565</v>
      </c>
      <c r="G40">
        <v>93</v>
      </c>
    </row>
    <row r="41" spans="1:7" x14ac:dyDescent="0.2">
      <c r="A41" s="6" t="s">
        <v>21</v>
      </c>
      <c r="F41" s="6" t="s">
        <v>550</v>
      </c>
      <c r="G41">
        <v>483</v>
      </c>
    </row>
    <row r="42" spans="1:7" x14ac:dyDescent="0.2">
      <c r="A42" s="6" t="s">
        <v>22</v>
      </c>
    </row>
    <row r="43" spans="1:7" x14ac:dyDescent="0.2">
      <c r="A43" s="6" t="s">
        <v>23</v>
      </c>
    </row>
    <row r="44" spans="1:7" x14ac:dyDescent="0.2">
      <c r="A44" s="6" t="s">
        <v>24</v>
      </c>
    </row>
    <row r="45" spans="1:7" x14ac:dyDescent="0.2">
      <c r="A45" s="6" t="s">
        <v>25</v>
      </c>
    </row>
    <row r="46" spans="1:7" x14ac:dyDescent="0.2">
      <c r="A46" s="6" t="s">
        <v>26</v>
      </c>
    </row>
    <row r="47" spans="1:7" x14ac:dyDescent="0.2">
      <c r="A47" s="6" t="s">
        <v>27</v>
      </c>
    </row>
    <row r="48" spans="1:7" x14ac:dyDescent="0.2">
      <c r="A48" s="6" t="s">
        <v>28</v>
      </c>
    </row>
    <row r="49" spans="1:1" x14ac:dyDescent="0.2">
      <c r="A49" s="6" t="s">
        <v>29</v>
      </c>
    </row>
    <row r="50" spans="1:1" x14ac:dyDescent="0.2">
      <c r="A50" s="6" t="s">
        <v>30</v>
      </c>
    </row>
    <row r="51" spans="1:1" x14ac:dyDescent="0.2">
      <c r="A51" s="6" t="s">
        <v>31</v>
      </c>
    </row>
    <row r="52" spans="1:1" x14ac:dyDescent="0.2">
      <c r="A52" s="6" t="s">
        <v>32</v>
      </c>
    </row>
    <row r="53" spans="1:1" x14ac:dyDescent="0.2">
      <c r="A53" s="6" t="s">
        <v>33</v>
      </c>
    </row>
    <row r="54" spans="1:1" x14ac:dyDescent="0.2">
      <c r="A54" s="6" t="s">
        <v>34</v>
      </c>
    </row>
    <row r="55" spans="1:1" x14ac:dyDescent="0.2">
      <c r="A55" s="6" t="s">
        <v>35</v>
      </c>
    </row>
    <row r="56" spans="1:1" x14ac:dyDescent="0.2">
      <c r="A56" s="6" t="s">
        <v>36</v>
      </c>
    </row>
    <row r="57" spans="1:1" x14ac:dyDescent="0.2">
      <c r="A57" s="6" t="s">
        <v>37</v>
      </c>
    </row>
    <row r="58" spans="1:1" x14ac:dyDescent="0.2">
      <c r="A58" s="6" t="s">
        <v>38</v>
      </c>
    </row>
    <row r="59" spans="1:1" x14ac:dyDescent="0.2">
      <c r="A59" s="6" t="s">
        <v>39</v>
      </c>
    </row>
    <row r="60" spans="1:1" x14ac:dyDescent="0.2">
      <c r="A60" s="6" t="s">
        <v>40</v>
      </c>
    </row>
    <row r="61" spans="1:1" x14ac:dyDescent="0.2">
      <c r="A61" s="6" t="s">
        <v>41</v>
      </c>
    </row>
    <row r="62" spans="1:1" x14ac:dyDescent="0.2">
      <c r="A62" s="6" t="s">
        <v>42</v>
      </c>
    </row>
    <row r="63" spans="1:1" x14ac:dyDescent="0.2">
      <c r="A63" s="6" t="s">
        <v>43</v>
      </c>
    </row>
    <row r="64" spans="1:1" x14ac:dyDescent="0.2">
      <c r="A64" s="6" t="s">
        <v>44</v>
      </c>
    </row>
    <row r="65" spans="1:1" x14ac:dyDescent="0.2">
      <c r="A65" s="6" t="s">
        <v>45</v>
      </c>
    </row>
    <row r="66" spans="1:1" x14ac:dyDescent="0.2">
      <c r="A66" s="6" t="s">
        <v>46</v>
      </c>
    </row>
    <row r="67" spans="1:1" x14ac:dyDescent="0.2">
      <c r="A67" s="6" t="s">
        <v>47</v>
      </c>
    </row>
    <row r="68" spans="1:1" x14ac:dyDescent="0.2">
      <c r="A68" s="6" t="s">
        <v>48</v>
      </c>
    </row>
    <row r="69" spans="1:1" x14ac:dyDescent="0.2">
      <c r="A69" s="6" t="s">
        <v>49</v>
      </c>
    </row>
    <row r="70" spans="1:1" x14ac:dyDescent="0.2">
      <c r="A70" s="6" t="s">
        <v>50</v>
      </c>
    </row>
    <row r="71" spans="1:1" x14ac:dyDescent="0.2">
      <c r="A71" s="6" t="s">
        <v>51</v>
      </c>
    </row>
    <row r="72" spans="1:1" x14ac:dyDescent="0.2">
      <c r="A72" s="6" t="s">
        <v>52</v>
      </c>
    </row>
    <row r="73" spans="1:1" x14ac:dyDescent="0.2">
      <c r="A73" s="6" t="s">
        <v>53</v>
      </c>
    </row>
    <row r="74" spans="1:1" x14ac:dyDescent="0.2">
      <c r="A74" s="6" t="s">
        <v>54</v>
      </c>
    </row>
    <row r="75" spans="1:1" x14ac:dyDescent="0.2">
      <c r="A75" s="6" t="s">
        <v>55</v>
      </c>
    </row>
    <row r="76" spans="1:1" x14ac:dyDescent="0.2">
      <c r="A76" s="6" t="s">
        <v>56</v>
      </c>
    </row>
    <row r="77" spans="1:1" x14ac:dyDescent="0.2">
      <c r="A77" s="6" t="s">
        <v>57</v>
      </c>
    </row>
    <row r="78" spans="1:1" x14ac:dyDescent="0.2">
      <c r="A78" s="6" t="s">
        <v>58</v>
      </c>
    </row>
    <row r="79" spans="1:1" x14ac:dyDescent="0.2">
      <c r="A79" s="6" t="s">
        <v>59</v>
      </c>
    </row>
    <row r="80" spans="1:1" x14ac:dyDescent="0.2">
      <c r="A80" s="6" t="s">
        <v>60</v>
      </c>
    </row>
    <row r="81" spans="1:1" x14ac:dyDescent="0.2">
      <c r="A81" s="6" t="s">
        <v>61</v>
      </c>
    </row>
    <row r="82" spans="1:1" x14ac:dyDescent="0.2">
      <c r="A82" s="6" t="s">
        <v>62</v>
      </c>
    </row>
    <row r="83" spans="1:1" x14ac:dyDescent="0.2">
      <c r="A83" s="6" t="s">
        <v>63</v>
      </c>
    </row>
    <row r="84" spans="1:1" x14ac:dyDescent="0.2">
      <c r="A84" s="6" t="s">
        <v>64</v>
      </c>
    </row>
    <row r="85" spans="1:1" x14ac:dyDescent="0.2">
      <c r="A85" s="6" t="s">
        <v>65</v>
      </c>
    </row>
    <row r="86" spans="1:1" x14ac:dyDescent="0.2">
      <c r="A86" s="6" t="s">
        <v>66</v>
      </c>
    </row>
    <row r="87" spans="1:1" x14ac:dyDescent="0.2">
      <c r="A87" s="6" t="s">
        <v>67</v>
      </c>
    </row>
    <row r="88" spans="1:1" x14ac:dyDescent="0.2">
      <c r="A88" s="6" t="s">
        <v>68</v>
      </c>
    </row>
    <row r="89" spans="1:1" x14ac:dyDescent="0.2">
      <c r="A89" s="6" t="s">
        <v>69</v>
      </c>
    </row>
    <row r="90" spans="1:1" x14ac:dyDescent="0.2">
      <c r="A90" s="6" t="s">
        <v>70</v>
      </c>
    </row>
    <row r="91" spans="1:1" x14ac:dyDescent="0.2">
      <c r="A91" s="6" t="s">
        <v>71</v>
      </c>
    </row>
    <row r="92" spans="1:1" x14ac:dyDescent="0.2">
      <c r="A92" s="6" t="s">
        <v>72</v>
      </c>
    </row>
    <row r="93" spans="1:1" x14ac:dyDescent="0.2">
      <c r="A93" s="6" t="s">
        <v>73</v>
      </c>
    </row>
    <row r="94" spans="1:1" x14ac:dyDescent="0.2">
      <c r="A94" s="6" t="s">
        <v>74</v>
      </c>
    </row>
    <row r="95" spans="1:1" x14ac:dyDescent="0.2">
      <c r="A95" s="6" t="s">
        <v>75</v>
      </c>
    </row>
    <row r="96" spans="1:1" x14ac:dyDescent="0.2">
      <c r="A96" s="6" t="s">
        <v>76</v>
      </c>
    </row>
    <row r="97" spans="1:1" x14ac:dyDescent="0.2">
      <c r="A97" s="6" t="s">
        <v>77</v>
      </c>
    </row>
    <row r="98" spans="1:1" x14ac:dyDescent="0.2">
      <c r="A98" s="6" t="s">
        <v>78</v>
      </c>
    </row>
    <row r="99" spans="1:1" x14ac:dyDescent="0.2">
      <c r="A99" s="6" t="s">
        <v>79</v>
      </c>
    </row>
    <row r="100" spans="1:1" x14ac:dyDescent="0.2">
      <c r="A100" s="6" t="s">
        <v>80</v>
      </c>
    </row>
    <row r="101" spans="1:1" x14ac:dyDescent="0.2">
      <c r="A101" s="6" t="s">
        <v>81</v>
      </c>
    </row>
    <row r="102" spans="1:1" x14ac:dyDescent="0.2">
      <c r="A102" s="6" t="s">
        <v>82</v>
      </c>
    </row>
    <row r="103" spans="1:1" x14ac:dyDescent="0.2">
      <c r="A103" s="6" t="s">
        <v>83</v>
      </c>
    </row>
    <row r="104" spans="1:1" x14ac:dyDescent="0.2">
      <c r="A104" s="6" t="s">
        <v>84</v>
      </c>
    </row>
    <row r="105" spans="1:1" x14ac:dyDescent="0.2">
      <c r="A105" s="6" t="s">
        <v>85</v>
      </c>
    </row>
    <row r="106" spans="1:1" x14ac:dyDescent="0.2">
      <c r="A106" s="6" t="s">
        <v>86</v>
      </c>
    </row>
    <row r="107" spans="1:1" x14ac:dyDescent="0.2">
      <c r="A107" s="6" t="s">
        <v>87</v>
      </c>
    </row>
    <row r="108" spans="1:1" x14ac:dyDescent="0.2">
      <c r="A108" s="6" t="s">
        <v>88</v>
      </c>
    </row>
    <row r="109" spans="1:1" x14ac:dyDescent="0.2">
      <c r="A109" s="6" t="s">
        <v>89</v>
      </c>
    </row>
    <row r="110" spans="1:1" x14ac:dyDescent="0.2">
      <c r="A110" s="6" t="s">
        <v>90</v>
      </c>
    </row>
    <row r="111" spans="1:1" x14ac:dyDescent="0.2">
      <c r="A111" s="6" t="s">
        <v>91</v>
      </c>
    </row>
    <row r="112" spans="1:1" x14ac:dyDescent="0.2">
      <c r="A112" s="6" t="s">
        <v>92</v>
      </c>
    </row>
    <row r="113" spans="1:1" x14ac:dyDescent="0.2">
      <c r="A113" s="6" t="s">
        <v>93</v>
      </c>
    </row>
    <row r="114" spans="1:1" x14ac:dyDescent="0.2">
      <c r="A114" s="6" t="s">
        <v>94</v>
      </c>
    </row>
    <row r="115" spans="1:1" x14ac:dyDescent="0.2">
      <c r="A115" s="6" t="s">
        <v>95</v>
      </c>
    </row>
    <row r="116" spans="1:1" x14ac:dyDescent="0.2">
      <c r="A116" s="6" t="s">
        <v>96</v>
      </c>
    </row>
    <row r="117" spans="1:1" x14ac:dyDescent="0.2">
      <c r="A117" s="6" t="s">
        <v>97</v>
      </c>
    </row>
    <row r="118" spans="1:1" x14ac:dyDescent="0.2">
      <c r="A118" s="6" t="s">
        <v>98</v>
      </c>
    </row>
    <row r="119" spans="1:1" x14ac:dyDescent="0.2">
      <c r="A119" s="6" t="s">
        <v>99</v>
      </c>
    </row>
    <row r="120" spans="1:1" x14ac:dyDescent="0.2">
      <c r="A120" s="6" t="s">
        <v>100</v>
      </c>
    </row>
    <row r="121" spans="1:1" x14ac:dyDescent="0.2">
      <c r="A121" s="6" t="s">
        <v>101</v>
      </c>
    </row>
    <row r="122" spans="1:1" x14ac:dyDescent="0.2">
      <c r="A122" s="6" t="s">
        <v>102</v>
      </c>
    </row>
    <row r="123" spans="1:1" x14ac:dyDescent="0.2">
      <c r="A123" s="6" t="s">
        <v>103</v>
      </c>
    </row>
    <row r="124" spans="1:1" x14ac:dyDescent="0.2">
      <c r="A124" s="6" t="s">
        <v>104</v>
      </c>
    </row>
    <row r="125" spans="1:1" x14ac:dyDescent="0.2">
      <c r="A125" s="6" t="s">
        <v>105</v>
      </c>
    </row>
    <row r="126" spans="1:1" x14ac:dyDescent="0.2">
      <c r="A126" s="6" t="s">
        <v>106</v>
      </c>
    </row>
    <row r="127" spans="1:1" x14ac:dyDescent="0.2">
      <c r="A127" s="6" t="s">
        <v>107</v>
      </c>
    </row>
    <row r="128" spans="1:1" x14ac:dyDescent="0.2">
      <c r="A128" s="6" t="s">
        <v>108</v>
      </c>
    </row>
    <row r="129" spans="1:1" x14ac:dyDescent="0.2">
      <c r="A129" s="6" t="s">
        <v>109</v>
      </c>
    </row>
    <row r="130" spans="1:1" x14ac:dyDescent="0.2">
      <c r="A130" s="6" t="s">
        <v>110</v>
      </c>
    </row>
    <row r="131" spans="1:1" x14ac:dyDescent="0.2">
      <c r="A131" s="6" t="s">
        <v>111</v>
      </c>
    </row>
    <row r="132" spans="1:1" x14ac:dyDescent="0.2">
      <c r="A132" s="6" t="s">
        <v>112</v>
      </c>
    </row>
    <row r="133" spans="1:1" x14ac:dyDescent="0.2">
      <c r="A133" s="6" t="s">
        <v>113</v>
      </c>
    </row>
    <row r="134" spans="1:1" x14ac:dyDescent="0.2">
      <c r="A134" s="6" t="s">
        <v>114</v>
      </c>
    </row>
    <row r="135" spans="1:1" x14ac:dyDescent="0.2">
      <c r="A135" s="6" t="s">
        <v>115</v>
      </c>
    </row>
    <row r="136" spans="1:1" x14ac:dyDescent="0.2">
      <c r="A136" s="6" t="s">
        <v>116</v>
      </c>
    </row>
    <row r="137" spans="1:1" x14ac:dyDescent="0.2">
      <c r="A137" s="6" t="s">
        <v>117</v>
      </c>
    </row>
    <row r="138" spans="1:1" x14ac:dyDescent="0.2">
      <c r="A138" s="6" t="s">
        <v>118</v>
      </c>
    </row>
    <row r="139" spans="1:1" x14ac:dyDescent="0.2">
      <c r="A139" s="6" t="s">
        <v>119</v>
      </c>
    </row>
    <row r="140" spans="1:1" x14ac:dyDescent="0.2">
      <c r="A140" s="6" t="s">
        <v>120</v>
      </c>
    </row>
    <row r="141" spans="1:1" x14ac:dyDescent="0.2">
      <c r="A141" s="6" t="s">
        <v>121</v>
      </c>
    </row>
    <row r="142" spans="1:1" x14ac:dyDescent="0.2">
      <c r="A142" s="6" t="s">
        <v>122</v>
      </c>
    </row>
    <row r="143" spans="1:1" x14ac:dyDescent="0.2">
      <c r="A143" s="6" t="s">
        <v>123</v>
      </c>
    </row>
    <row r="144" spans="1:1" x14ac:dyDescent="0.2">
      <c r="A144" s="6" t="s">
        <v>124</v>
      </c>
    </row>
    <row r="145" spans="1:1" x14ac:dyDescent="0.2">
      <c r="A145" s="6" t="s">
        <v>125</v>
      </c>
    </row>
    <row r="146" spans="1:1" x14ac:dyDescent="0.2">
      <c r="A146" s="6" t="s">
        <v>126</v>
      </c>
    </row>
    <row r="147" spans="1:1" x14ac:dyDescent="0.2">
      <c r="A147" s="6" t="s">
        <v>127</v>
      </c>
    </row>
    <row r="148" spans="1:1" x14ac:dyDescent="0.2">
      <c r="A148" s="6" t="s">
        <v>128</v>
      </c>
    </row>
    <row r="149" spans="1:1" x14ac:dyDescent="0.2">
      <c r="A149" s="6" t="s">
        <v>129</v>
      </c>
    </row>
    <row r="150" spans="1:1" x14ac:dyDescent="0.2">
      <c r="A150" s="6" t="s">
        <v>130</v>
      </c>
    </row>
    <row r="151" spans="1:1" x14ac:dyDescent="0.2">
      <c r="A151" s="6" t="s">
        <v>131</v>
      </c>
    </row>
    <row r="152" spans="1:1" x14ac:dyDescent="0.2">
      <c r="A152" s="6" t="s">
        <v>132</v>
      </c>
    </row>
    <row r="153" spans="1:1" x14ac:dyDescent="0.2">
      <c r="A153" s="6" t="s">
        <v>133</v>
      </c>
    </row>
    <row r="154" spans="1:1" x14ac:dyDescent="0.2">
      <c r="A154" s="6" t="s">
        <v>134</v>
      </c>
    </row>
    <row r="155" spans="1:1" x14ac:dyDescent="0.2">
      <c r="A155" s="6" t="s">
        <v>135</v>
      </c>
    </row>
    <row r="156" spans="1:1" x14ac:dyDescent="0.2">
      <c r="A156" s="6" t="s">
        <v>136</v>
      </c>
    </row>
    <row r="157" spans="1:1" x14ac:dyDescent="0.2">
      <c r="A157" s="6" t="s">
        <v>137</v>
      </c>
    </row>
    <row r="158" spans="1:1" x14ac:dyDescent="0.2">
      <c r="A158" s="6" t="s">
        <v>138</v>
      </c>
    </row>
    <row r="159" spans="1:1" x14ac:dyDescent="0.2">
      <c r="A159" s="6" t="s">
        <v>139</v>
      </c>
    </row>
    <row r="160" spans="1:1" x14ac:dyDescent="0.2">
      <c r="A160" s="6" t="s">
        <v>140</v>
      </c>
    </row>
    <row r="161" spans="1:1" x14ac:dyDescent="0.2">
      <c r="A161" s="6" t="s">
        <v>141</v>
      </c>
    </row>
    <row r="162" spans="1:1" x14ac:dyDescent="0.2">
      <c r="A162" s="6" t="s">
        <v>142</v>
      </c>
    </row>
    <row r="163" spans="1:1" x14ac:dyDescent="0.2">
      <c r="A163" s="6" t="s">
        <v>143</v>
      </c>
    </row>
    <row r="164" spans="1:1" x14ac:dyDescent="0.2">
      <c r="A164" s="6" t="s">
        <v>144</v>
      </c>
    </row>
    <row r="165" spans="1:1" x14ac:dyDescent="0.2">
      <c r="A165" s="6" t="s">
        <v>145</v>
      </c>
    </row>
    <row r="166" spans="1:1" x14ac:dyDescent="0.2">
      <c r="A166" s="6" t="s">
        <v>146</v>
      </c>
    </row>
    <row r="167" spans="1:1" x14ac:dyDescent="0.2">
      <c r="A167" s="6" t="s">
        <v>147</v>
      </c>
    </row>
    <row r="168" spans="1:1" x14ac:dyDescent="0.2">
      <c r="A168" s="6" t="s">
        <v>148</v>
      </c>
    </row>
    <row r="169" spans="1:1" x14ac:dyDescent="0.2">
      <c r="A169" s="6" t="s">
        <v>149</v>
      </c>
    </row>
    <row r="170" spans="1:1" x14ac:dyDescent="0.2">
      <c r="A170" s="6" t="s">
        <v>150</v>
      </c>
    </row>
    <row r="171" spans="1:1" x14ac:dyDescent="0.2">
      <c r="A171" s="6" t="s">
        <v>151</v>
      </c>
    </row>
    <row r="172" spans="1:1" x14ac:dyDescent="0.2">
      <c r="A172" s="6" t="s">
        <v>152</v>
      </c>
    </row>
    <row r="173" spans="1:1" x14ac:dyDescent="0.2">
      <c r="A173" s="6" t="s">
        <v>153</v>
      </c>
    </row>
    <row r="174" spans="1:1" x14ac:dyDescent="0.2">
      <c r="A174" s="6" t="s">
        <v>154</v>
      </c>
    </row>
    <row r="175" spans="1:1" x14ac:dyDescent="0.2">
      <c r="A175" s="6" t="s">
        <v>155</v>
      </c>
    </row>
    <row r="176" spans="1:1" x14ac:dyDescent="0.2">
      <c r="A176" s="6" t="s">
        <v>156</v>
      </c>
    </row>
    <row r="177" spans="1:1" x14ac:dyDescent="0.2">
      <c r="A177" s="6" t="s">
        <v>157</v>
      </c>
    </row>
    <row r="178" spans="1:1" x14ac:dyDescent="0.2">
      <c r="A178" s="6" t="s">
        <v>158</v>
      </c>
    </row>
    <row r="179" spans="1:1" x14ac:dyDescent="0.2">
      <c r="A179" s="6" t="s">
        <v>159</v>
      </c>
    </row>
    <row r="180" spans="1:1" x14ac:dyDescent="0.2">
      <c r="A180" s="6" t="s">
        <v>160</v>
      </c>
    </row>
    <row r="181" spans="1:1" x14ac:dyDescent="0.2">
      <c r="A181" s="6" t="s">
        <v>161</v>
      </c>
    </row>
    <row r="182" spans="1:1" x14ac:dyDescent="0.2">
      <c r="A182" s="6" t="s">
        <v>162</v>
      </c>
    </row>
    <row r="183" spans="1:1" x14ac:dyDescent="0.2">
      <c r="A183" s="6" t="s">
        <v>163</v>
      </c>
    </row>
    <row r="184" spans="1:1" x14ac:dyDescent="0.2">
      <c r="A184" s="6" t="s">
        <v>164</v>
      </c>
    </row>
    <row r="185" spans="1:1" x14ac:dyDescent="0.2">
      <c r="A185" s="6" t="s">
        <v>165</v>
      </c>
    </row>
    <row r="186" spans="1:1" x14ac:dyDescent="0.2">
      <c r="A186" s="6" t="s">
        <v>166</v>
      </c>
    </row>
    <row r="187" spans="1:1" x14ac:dyDescent="0.2">
      <c r="A187" s="6" t="s">
        <v>167</v>
      </c>
    </row>
    <row r="188" spans="1:1" x14ac:dyDescent="0.2">
      <c r="A188" s="6" t="s">
        <v>168</v>
      </c>
    </row>
    <row r="189" spans="1:1" x14ac:dyDescent="0.2">
      <c r="A189" s="6" t="s">
        <v>169</v>
      </c>
    </row>
    <row r="190" spans="1:1" x14ac:dyDescent="0.2">
      <c r="A190" s="6" t="s">
        <v>170</v>
      </c>
    </row>
    <row r="191" spans="1:1" x14ac:dyDescent="0.2">
      <c r="A191" s="6" t="s">
        <v>171</v>
      </c>
    </row>
    <row r="192" spans="1:1" x14ac:dyDescent="0.2">
      <c r="A192" s="6" t="s">
        <v>172</v>
      </c>
    </row>
    <row r="193" spans="1:1" x14ac:dyDescent="0.2">
      <c r="A193" s="6" t="s">
        <v>173</v>
      </c>
    </row>
    <row r="194" spans="1:1" x14ac:dyDescent="0.2">
      <c r="A194" s="6" t="s">
        <v>174</v>
      </c>
    </row>
    <row r="195" spans="1:1" x14ac:dyDescent="0.2">
      <c r="A195" s="6" t="s">
        <v>175</v>
      </c>
    </row>
    <row r="196" spans="1:1" x14ac:dyDescent="0.2">
      <c r="A196" s="6" t="s">
        <v>176</v>
      </c>
    </row>
    <row r="197" spans="1:1" x14ac:dyDescent="0.2">
      <c r="A197" s="6" t="s">
        <v>177</v>
      </c>
    </row>
    <row r="198" spans="1:1" x14ac:dyDescent="0.2">
      <c r="A198" s="6" t="s">
        <v>178</v>
      </c>
    </row>
    <row r="199" spans="1:1" x14ac:dyDescent="0.2">
      <c r="A199" s="6" t="s">
        <v>179</v>
      </c>
    </row>
    <row r="200" spans="1:1" x14ac:dyDescent="0.2">
      <c r="A200" s="6" t="s">
        <v>180</v>
      </c>
    </row>
    <row r="201" spans="1:1" x14ac:dyDescent="0.2">
      <c r="A201" s="6" t="s">
        <v>181</v>
      </c>
    </row>
    <row r="202" spans="1:1" x14ac:dyDescent="0.2">
      <c r="A202" s="6" t="s">
        <v>182</v>
      </c>
    </row>
    <row r="203" spans="1:1" x14ac:dyDescent="0.2">
      <c r="A203" s="6" t="s">
        <v>183</v>
      </c>
    </row>
    <row r="204" spans="1:1" x14ac:dyDescent="0.2">
      <c r="A204" s="6" t="s">
        <v>184</v>
      </c>
    </row>
    <row r="205" spans="1:1" x14ac:dyDescent="0.2">
      <c r="A205" s="6" t="s">
        <v>185</v>
      </c>
    </row>
    <row r="206" spans="1:1" x14ac:dyDescent="0.2">
      <c r="A206" s="6" t="s">
        <v>186</v>
      </c>
    </row>
    <row r="207" spans="1:1" x14ac:dyDescent="0.2">
      <c r="A207" s="6" t="s">
        <v>187</v>
      </c>
    </row>
    <row r="208" spans="1:1" x14ac:dyDescent="0.2">
      <c r="A208" s="6" t="s">
        <v>188</v>
      </c>
    </row>
    <row r="209" spans="1:1" x14ac:dyDescent="0.2">
      <c r="A209" s="6" t="s">
        <v>189</v>
      </c>
    </row>
    <row r="210" spans="1:1" x14ac:dyDescent="0.2">
      <c r="A210" s="6" t="s">
        <v>190</v>
      </c>
    </row>
    <row r="211" spans="1:1" x14ac:dyDescent="0.2">
      <c r="A211" s="6" t="s">
        <v>191</v>
      </c>
    </row>
    <row r="212" spans="1:1" x14ac:dyDescent="0.2">
      <c r="A212" s="6" t="s">
        <v>192</v>
      </c>
    </row>
    <row r="213" spans="1:1" x14ac:dyDescent="0.2">
      <c r="A213" s="6" t="s">
        <v>193</v>
      </c>
    </row>
    <row r="214" spans="1:1" x14ac:dyDescent="0.2">
      <c r="A214" s="6" t="s">
        <v>194</v>
      </c>
    </row>
    <row r="215" spans="1:1" x14ac:dyDescent="0.2">
      <c r="A215" s="6" t="s">
        <v>195</v>
      </c>
    </row>
    <row r="216" spans="1:1" x14ac:dyDescent="0.2">
      <c r="A216" s="6" t="s">
        <v>196</v>
      </c>
    </row>
    <row r="217" spans="1:1" x14ac:dyDescent="0.2">
      <c r="A217" s="6" t="s">
        <v>197</v>
      </c>
    </row>
    <row r="218" spans="1:1" x14ac:dyDescent="0.2">
      <c r="A218" s="6" t="s">
        <v>198</v>
      </c>
    </row>
    <row r="219" spans="1:1" x14ac:dyDescent="0.2">
      <c r="A219" s="6" t="s">
        <v>199</v>
      </c>
    </row>
    <row r="220" spans="1:1" x14ac:dyDescent="0.2">
      <c r="A220" s="6" t="s">
        <v>200</v>
      </c>
    </row>
    <row r="221" spans="1:1" x14ac:dyDescent="0.2">
      <c r="A221" s="6" t="s">
        <v>201</v>
      </c>
    </row>
    <row r="222" spans="1:1" x14ac:dyDescent="0.2">
      <c r="A222" s="6" t="s">
        <v>202</v>
      </c>
    </row>
    <row r="223" spans="1:1" x14ac:dyDescent="0.2">
      <c r="A223" s="6" t="s">
        <v>203</v>
      </c>
    </row>
    <row r="224" spans="1:1" x14ac:dyDescent="0.2">
      <c r="A224" s="6" t="s">
        <v>204</v>
      </c>
    </row>
    <row r="225" spans="1:1" x14ac:dyDescent="0.2">
      <c r="A225" s="6" t="s">
        <v>205</v>
      </c>
    </row>
    <row r="226" spans="1:1" x14ac:dyDescent="0.2">
      <c r="A226" s="6" t="s">
        <v>206</v>
      </c>
    </row>
    <row r="227" spans="1:1" x14ac:dyDescent="0.2">
      <c r="A227" s="6" t="s">
        <v>207</v>
      </c>
    </row>
    <row r="228" spans="1:1" x14ac:dyDescent="0.2">
      <c r="A228" s="6" t="s">
        <v>208</v>
      </c>
    </row>
    <row r="229" spans="1:1" x14ac:dyDescent="0.2">
      <c r="A229" s="6" t="s">
        <v>209</v>
      </c>
    </row>
    <row r="230" spans="1:1" x14ac:dyDescent="0.2">
      <c r="A230" s="6" t="s">
        <v>210</v>
      </c>
    </row>
    <row r="231" spans="1:1" x14ac:dyDescent="0.2">
      <c r="A231" s="6" t="s">
        <v>211</v>
      </c>
    </row>
    <row r="232" spans="1:1" x14ac:dyDescent="0.2">
      <c r="A232" s="6" t="s">
        <v>212</v>
      </c>
    </row>
    <row r="233" spans="1:1" x14ac:dyDescent="0.2">
      <c r="A233" s="6" t="s">
        <v>213</v>
      </c>
    </row>
    <row r="234" spans="1:1" x14ac:dyDescent="0.2">
      <c r="A234" s="6" t="s">
        <v>214</v>
      </c>
    </row>
    <row r="235" spans="1:1" x14ac:dyDescent="0.2">
      <c r="A235" s="6" t="s">
        <v>215</v>
      </c>
    </row>
    <row r="236" spans="1:1" x14ac:dyDescent="0.2">
      <c r="A236" s="6" t="s">
        <v>216</v>
      </c>
    </row>
    <row r="237" spans="1:1" x14ac:dyDescent="0.2">
      <c r="A237" s="6" t="s">
        <v>217</v>
      </c>
    </row>
    <row r="238" spans="1:1" x14ac:dyDescent="0.2">
      <c r="A238" s="6" t="s">
        <v>218</v>
      </c>
    </row>
    <row r="239" spans="1:1" x14ac:dyDescent="0.2">
      <c r="A239" s="6" t="s">
        <v>219</v>
      </c>
    </row>
    <row r="240" spans="1:1" x14ac:dyDescent="0.2">
      <c r="A240" s="6" t="s">
        <v>220</v>
      </c>
    </row>
    <row r="241" spans="1:1" x14ac:dyDescent="0.2">
      <c r="A241" s="6" t="s">
        <v>221</v>
      </c>
    </row>
    <row r="242" spans="1:1" x14ac:dyDescent="0.2">
      <c r="A242" s="6" t="s">
        <v>222</v>
      </c>
    </row>
    <row r="243" spans="1:1" x14ac:dyDescent="0.2">
      <c r="A243" s="6" t="s">
        <v>223</v>
      </c>
    </row>
    <row r="244" spans="1:1" x14ac:dyDescent="0.2">
      <c r="A244" s="6" t="s">
        <v>224</v>
      </c>
    </row>
    <row r="245" spans="1:1" x14ac:dyDescent="0.2">
      <c r="A245" s="6" t="s">
        <v>225</v>
      </c>
    </row>
    <row r="246" spans="1:1" x14ac:dyDescent="0.2">
      <c r="A246" s="6" t="s">
        <v>226</v>
      </c>
    </row>
    <row r="247" spans="1:1" x14ac:dyDescent="0.2">
      <c r="A247" s="6" t="s">
        <v>227</v>
      </c>
    </row>
    <row r="248" spans="1:1" x14ac:dyDescent="0.2">
      <c r="A248" s="6" t="s">
        <v>228</v>
      </c>
    </row>
    <row r="249" spans="1:1" x14ac:dyDescent="0.2">
      <c r="A249" s="6" t="s">
        <v>229</v>
      </c>
    </row>
    <row r="250" spans="1:1" x14ac:dyDescent="0.2">
      <c r="A250" s="6" t="s">
        <v>230</v>
      </c>
    </row>
    <row r="251" spans="1:1" x14ac:dyDescent="0.2">
      <c r="A251" s="6" t="s">
        <v>231</v>
      </c>
    </row>
    <row r="252" spans="1:1" x14ac:dyDescent="0.2">
      <c r="A252" s="6" t="s">
        <v>232</v>
      </c>
    </row>
    <row r="253" spans="1:1" x14ac:dyDescent="0.2">
      <c r="A253" s="6" t="s">
        <v>233</v>
      </c>
    </row>
    <row r="254" spans="1:1" x14ac:dyDescent="0.2">
      <c r="A254" s="6" t="s">
        <v>234</v>
      </c>
    </row>
    <row r="255" spans="1:1" x14ac:dyDescent="0.2">
      <c r="A255" s="6" t="s">
        <v>235</v>
      </c>
    </row>
    <row r="256" spans="1:1" x14ac:dyDescent="0.2">
      <c r="A256" s="6" t="s">
        <v>236</v>
      </c>
    </row>
    <row r="257" spans="1:1" x14ac:dyDescent="0.2">
      <c r="A257" s="6" t="s">
        <v>237</v>
      </c>
    </row>
    <row r="258" spans="1:1" x14ac:dyDescent="0.2">
      <c r="A258" s="6" t="s">
        <v>238</v>
      </c>
    </row>
    <row r="259" spans="1:1" x14ac:dyDescent="0.2">
      <c r="A259" s="6" t="s">
        <v>239</v>
      </c>
    </row>
    <row r="260" spans="1:1" x14ac:dyDescent="0.2">
      <c r="A260" s="6" t="s">
        <v>240</v>
      </c>
    </row>
    <row r="261" spans="1:1" x14ac:dyDescent="0.2">
      <c r="A261" s="6" t="s">
        <v>241</v>
      </c>
    </row>
    <row r="262" spans="1:1" x14ac:dyDescent="0.2">
      <c r="A262" s="6" t="s">
        <v>242</v>
      </c>
    </row>
    <row r="263" spans="1:1" x14ac:dyDescent="0.2">
      <c r="A263" s="6" t="s">
        <v>243</v>
      </c>
    </row>
    <row r="264" spans="1:1" x14ac:dyDescent="0.2">
      <c r="A264" s="6" t="s">
        <v>244</v>
      </c>
    </row>
    <row r="265" spans="1:1" x14ac:dyDescent="0.2">
      <c r="A265" s="6" t="s">
        <v>245</v>
      </c>
    </row>
    <row r="266" spans="1:1" x14ac:dyDescent="0.2">
      <c r="A266" s="6" t="s">
        <v>246</v>
      </c>
    </row>
    <row r="267" spans="1:1" x14ac:dyDescent="0.2">
      <c r="A267" s="6" t="s">
        <v>247</v>
      </c>
    </row>
    <row r="268" spans="1:1" x14ac:dyDescent="0.2">
      <c r="A268" s="6" t="s">
        <v>248</v>
      </c>
    </row>
    <row r="269" spans="1:1" x14ac:dyDescent="0.2">
      <c r="A269" s="6" t="s">
        <v>249</v>
      </c>
    </row>
    <row r="270" spans="1:1" x14ac:dyDescent="0.2">
      <c r="A270" s="6" t="s">
        <v>250</v>
      </c>
    </row>
    <row r="271" spans="1:1" x14ac:dyDescent="0.2">
      <c r="A271" s="6" t="s">
        <v>251</v>
      </c>
    </row>
    <row r="272" spans="1:1" x14ac:dyDescent="0.2">
      <c r="A272" s="6" t="s">
        <v>252</v>
      </c>
    </row>
    <row r="273" spans="1:1" x14ac:dyDescent="0.2">
      <c r="A273" s="6" t="s">
        <v>253</v>
      </c>
    </row>
    <row r="274" spans="1:1" x14ac:dyDescent="0.2">
      <c r="A274" s="6" t="s">
        <v>254</v>
      </c>
    </row>
    <row r="275" spans="1:1" x14ac:dyDescent="0.2">
      <c r="A275" s="6" t="s">
        <v>255</v>
      </c>
    </row>
    <row r="276" spans="1:1" x14ac:dyDescent="0.2">
      <c r="A276" s="6" t="s">
        <v>256</v>
      </c>
    </row>
    <row r="277" spans="1:1" x14ac:dyDescent="0.2">
      <c r="A277" s="6" t="s">
        <v>257</v>
      </c>
    </row>
    <row r="278" spans="1:1" x14ac:dyDescent="0.2">
      <c r="A278" s="6" t="s">
        <v>258</v>
      </c>
    </row>
    <row r="279" spans="1:1" x14ac:dyDescent="0.2">
      <c r="A279" s="6" t="s">
        <v>259</v>
      </c>
    </row>
    <row r="280" spans="1:1" x14ac:dyDescent="0.2">
      <c r="A280" s="6" t="s">
        <v>260</v>
      </c>
    </row>
    <row r="281" spans="1:1" x14ac:dyDescent="0.2">
      <c r="A281" s="6" t="s">
        <v>261</v>
      </c>
    </row>
    <row r="282" spans="1:1" x14ac:dyDescent="0.2">
      <c r="A282" s="6" t="s">
        <v>262</v>
      </c>
    </row>
    <row r="283" spans="1:1" x14ac:dyDescent="0.2">
      <c r="A283" s="6" t="s">
        <v>263</v>
      </c>
    </row>
    <row r="284" spans="1:1" x14ac:dyDescent="0.2">
      <c r="A284" s="6" t="s">
        <v>264</v>
      </c>
    </row>
    <row r="285" spans="1:1" x14ac:dyDescent="0.2">
      <c r="A285" s="6" t="s">
        <v>265</v>
      </c>
    </row>
    <row r="286" spans="1:1" x14ac:dyDescent="0.2">
      <c r="A286" s="6" t="s">
        <v>266</v>
      </c>
    </row>
    <row r="287" spans="1:1" x14ac:dyDescent="0.2">
      <c r="A287" s="6" t="s">
        <v>267</v>
      </c>
    </row>
    <row r="288" spans="1:1" x14ac:dyDescent="0.2">
      <c r="A288" s="6" t="s">
        <v>268</v>
      </c>
    </row>
    <row r="289" spans="1:1" x14ac:dyDescent="0.2">
      <c r="A289" s="6" t="s">
        <v>269</v>
      </c>
    </row>
    <row r="290" spans="1:1" x14ac:dyDescent="0.2">
      <c r="A290" s="6" t="s">
        <v>270</v>
      </c>
    </row>
    <row r="291" spans="1:1" x14ac:dyDescent="0.2">
      <c r="A291" s="6" t="s">
        <v>271</v>
      </c>
    </row>
    <row r="292" spans="1:1" x14ac:dyDescent="0.2">
      <c r="A292" s="6" t="s">
        <v>272</v>
      </c>
    </row>
    <row r="293" spans="1:1" x14ac:dyDescent="0.2">
      <c r="A293" s="6" t="s">
        <v>273</v>
      </c>
    </row>
    <row r="294" spans="1:1" x14ac:dyDescent="0.2">
      <c r="A294" s="6" t="s">
        <v>274</v>
      </c>
    </row>
    <row r="295" spans="1:1" x14ac:dyDescent="0.2">
      <c r="A295" s="6" t="s">
        <v>275</v>
      </c>
    </row>
    <row r="296" spans="1:1" x14ac:dyDescent="0.2">
      <c r="A296" s="6" t="s">
        <v>276</v>
      </c>
    </row>
    <row r="297" spans="1:1" x14ac:dyDescent="0.2">
      <c r="A297" s="6" t="s">
        <v>277</v>
      </c>
    </row>
    <row r="298" spans="1:1" x14ac:dyDescent="0.2">
      <c r="A298" s="6" t="s">
        <v>278</v>
      </c>
    </row>
    <row r="299" spans="1:1" x14ac:dyDescent="0.2">
      <c r="A299" s="6" t="s">
        <v>279</v>
      </c>
    </row>
    <row r="300" spans="1:1" x14ac:dyDescent="0.2">
      <c r="A300" s="6" t="s">
        <v>280</v>
      </c>
    </row>
    <row r="301" spans="1:1" x14ac:dyDescent="0.2">
      <c r="A301" s="6" t="s">
        <v>281</v>
      </c>
    </row>
    <row r="302" spans="1:1" x14ac:dyDescent="0.2">
      <c r="A302" s="6" t="s">
        <v>282</v>
      </c>
    </row>
    <row r="303" spans="1:1" x14ac:dyDescent="0.2">
      <c r="A303" s="6" t="s">
        <v>283</v>
      </c>
    </row>
    <row r="304" spans="1:1" x14ac:dyDescent="0.2">
      <c r="A304" s="6" t="s">
        <v>284</v>
      </c>
    </row>
    <row r="305" spans="1:1" x14ac:dyDescent="0.2">
      <c r="A305" s="6" t="s">
        <v>285</v>
      </c>
    </row>
    <row r="306" spans="1:1" x14ac:dyDescent="0.2">
      <c r="A306" s="6" t="s">
        <v>286</v>
      </c>
    </row>
    <row r="307" spans="1:1" x14ac:dyDescent="0.2">
      <c r="A307" s="6" t="s">
        <v>287</v>
      </c>
    </row>
    <row r="308" spans="1:1" x14ac:dyDescent="0.2">
      <c r="A308" s="6" t="s">
        <v>288</v>
      </c>
    </row>
    <row r="309" spans="1:1" x14ac:dyDescent="0.2">
      <c r="A309" s="6" t="s">
        <v>289</v>
      </c>
    </row>
    <row r="310" spans="1:1" x14ac:dyDescent="0.2">
      <c r="A310" s="6" t="s">
        <v>290</v>
      </c>
    </row>
    <row r="311" spans="1:1" x14ac:dyDescent="0.2">
      <c r="A311" s="6" t="s">
        <v>291</v>
      </c>
    </row>
    <row r="312" spans="1:1" x14ac:dyDescent="0.2">
      <c r="A312" s="6" t="s">
        <v>292</v>
      </c>
    </row>
    <row r="313" spans="1:1" x14ac:dyDescent="0.2">
      <c r="A313" s="6" t="s">
        <v>293</v>
      </c>
    </row>
    <row r="314" spans="1:1" x14ac:dyDescent="0.2">
      <c r="A314" s="6" t="s">
        <v>294</v>
      </c>
    </row>
    <row r="315" spans="1:1" x14ac:dyDescent="0.2">
      <c r="A315" s="6" t="s">
        <v>295</v>
      </c>
    </row>
    <row r="316" spans="1:1" x14ac:dyDescent="0.2">
      <c r="A316" s="6" t="s">
        <v>296</v>
      </c>
    </row>
    <row r="317" spans="1:1" x14ac:dyDescent="0.2">
      <c r="A317" s="6" t="s">
        <v>297</v>
      </c>
    </row>
    <row r="318" spans="1:1" x14ac:dyDescent="0.2">
      <c r="A318" s="6" t="s">
        <v>298</v>
      </c>
    </row>
    <row r="319" spans="1:1" x14ac:dyDescent="0.2">
      <c r="A319" s="6" t="s">
        <v>299</v>
      </c>
    </row>
    <row r="320" spans="1:1" x14ac:dyDescent="0.2">
      <c r="A320" s="6" t="s">
        <v>300</v>
      </c>
    </row>
    <row r="321" spans="1:1" x14ac:dyDescent="0.2">
      <c r="A321" s="6" t="s">
        <v>301</v>
      </c>
    </row>
    <row r="322" spans="1:1" x14ac:dyDescent="0.2">
      <c r="A322" s="6" t="s">
        <v>302</v>
      </c>
    </row>
    <row r="323" spans="1:1" x14ac:dyDescent="0.2">
      <c r="A323" s="6" t="s">
        <v>303</v>
      </c>
    </row>
    <row r="324" spans="1:1" x14ac:dyDescent="0.2">
      <c r="A324" s="6" t="s">
        <v>304</v>
      </c>
    </row>
    <row r="325" spans="1:1" x14ac:dyDescent="0.2">
      <c r="A325" s="6" t="s">
        <v>305</v>
      </c>
    </row>
    <row r="326" spans="1:1" x14ac:dyDescent="0.2">
      <c r="A326" s="6" t="s">
        <v>306</v>
      </c>
    </row>
    <row r="327" spans="1:1" x14ac:dyDescent="0.2">
      <c r="A327" s="6" t="s">
        <v>307</v>
      </c>
    </row>
    <row r="328" spans="1:1" x14ac:dyDescent="0.2">
      <c r="A328" s="6" t="s">
        <v>308</v>
      </c>
    </row>
    <row r="329" spans="1:1" x14ac:dyDescent="0.2">
      <c r="A329" s="6" t="s">
        <v>309</v>
      </c>
    </row>
    <row r="330" spans="1:1" x14ac:dyDescent="0.2">
      <c r="A330" s="6" t="s">
        <v>310</v>
      </c>
    </row>
    <row r="331" spans="1:1" x14ac:dyDescent="0.2">
      <c r="A331" s="6" t="s">
        <v>311</v>
      </c>
    </row>
    <row r="332" spans="1:1" x14ac:dyDescent="0.2">
      <c r="A332" s="6" t="s">
        <v>312</v>
      </c>
    </row>
    <row r="333" spans="1:1" x14ac:dyDescent="0.2">
      <c r="A333" s="6" t="s">
        <v>313</v>
      </c>
    </row>
    <row r="334" spans="1:1" x14ac:dyDescent="0.2">
      <c r="A334" s="6" t="s">
        <v>314</v>
      </c>
    </row>
    <row r="335" spans="1:1" x14ac:dyDescent="0.2">
      <c r="A335" s="6" t="s">
        <v>315</v>
      </c>
    </row>
    <row r="336" spans="1:1" x14ac:dyDescent="0.2">
      <c r="A336" s="6" t="s">
        <v>316</v>
      </c>
    </row>
    <row r="337" spans="1:1" x14ac:dyDescent="0.2">
      <c r="A337" s="6" t="s">
        <v>317</v>
      </c>
    </row>
    <row r="338" spans="1:1" x14ac:dyDescent="0.2">
      <c r="A338" s="6" t="s">
        <v>318</v>
      </c>
    </row>
    <row r="339" spans="1:1" x14ac:dyDescent="0.2">
      <c r="A339" s="6" t="s">
        <v>319</v>
      </c>
    </row>
    <row r="340" spans="1:1" x14ac:dyDescent="0.2">
      <c r="A340" s="6" t="s">
        <v>320</v>
      </c>
    </row>
    <row r="341" spans="1:1" x14ac:dyDescent="0.2">
      <c r="A341" s="6" t="s">
        <v>321</v>
      </c>
    </row>
    <row r="342" spans="1:1" x14ac:dyDescent="0.2">
      <c r="A342" s="6" t="s">
        <v>322</v>
      </c>
    </row>
    <row r="343" spans="1:1" x14ac:dyDescent="0.2">
      <c r="A343" s="6" t="s">
        <v>323</v>
      </c>
    </row>
    <row r="344" spans="1:1" x14ac:dyDescent="0.2">
      <c r="A344" s="6" t="s">
        <v>324</v>
      </c>
    </row>
    <row r="345" spans="1:1" x14ac:dyDescent="0.2">
      <c r="A345" s="6" t="s">
        <v>325</v>
      </c>
    </row>
    <row r="346" spans="1:1" x14ac:dyDescent="0.2">
      <c r="A346" s="6" t="s">
        <v>326</v>
      </c>
    </row>
    <row r="347" spans="1:1" x14ac:dyDescent="0.2">
      <c r="A347" s="6" t="s">
        <v>327</v>
      </c>
    </row>
    <row r="348" spans="1:1" x14ac:dyDescent="0.2">
      <c r="A348" s="6" t="s">
        <v>328</v>
      </c>
    </row>
    <row r="349" spans="1:1" x14ac:dyDescent="0.2">
      <c r="A349" s="6" t="s">
        <v>329</v>
      </c>
    </row>
    <row r="350" spans="1:1" x14ac:dyDescent="0.2">
      <c r="A350" s="6" t="s">
        <v>330</v>
      </c>
    </row>
    <row r="351" spans="1:1" x14ac:dyDescent="0.2">
      <c r="A351" s="6" t="s">
        <v>331</v>
      </c>
    </row>
    <row r="352" spans="1:1" x14ac:dyDescent="0.2">
      <c r="A352" s="6" t="s">
        <v>332</v>
      </c>
    </row>
    <row r="353" spans="1:1" x14ac:dyDescent="0.2">
      <c r="A353" s="6" t="s">
        <v>333</v>
      </c>
    </row>
    <row r="354" spans="1:1" x14ac:dyDescent="0.2">
      <c r="A354" s="6" t="s">
        <v>334</v>
      </c>
    </row>
    <row r="355" spans="1:1" x14ac:dyDescent="0.2">
      <c r="A355" s="6" t="s">
        <v>335</v>
      </c>
    </row>
    <row r="356" spans="1:1" x14ac:dyDescent="0.2">
      <c r="A356" s="6" t="s">
        <v>336</v>
      </c>
    </row>
    <row r="357" spans="1:1" x14ac:dyDescent="0.2">
      <c r="A357" s="6" t="s">
        <v>337</v>
      </c>
    </row>
    <row r="358" spans="1:1" x14ac:dyDescent="0.2">
      <c r="A358" s="6" t="s">
        <v>338</v>
      </c>
    </row>
    <row r="359" spans="1:1" x14ac:dyDescent="0.2">
      <c r="A359" s="6" t="s">
        <v>339</v>
      </c>
    </row>
    <row r="360" spans="1:1" x14ac:dyDescent="0.2">
      <c r="A360" s="6" t="s">
        <v>340</v>
      </c>
    </row>
    <row r="361" spans="1:1" x14ac:dyDescent="0.2">
      <c r="A361" s="6" t="s">
        <v>341</v>
      </c>
    </row>
    <row r="362" spans="1:1" x14ac:dyDescent="0.2">
      <c r="A362" s="6" t="s">
        <v>342</v>
      </c>
    </row>
    <row r="363" spans="1:1" x14ac:dyDescent="0.2">
      <c r="A363" s="6" t="s">
        <v>343</v>
      </c>
    </row>
    <row r="364" spans="1:1" x14ac:dyDescent="0.2">
      <c r="A364" s="6" t="s">
        <v>344</v>
      </c>
    </row>
    <row r="365" spans="1:1" x14ac:dyDescent="0.2">
      <c r="A365" s="6" t="s">
        <v>345</v>
      </c>
    </row>
    <row r="366" spans="1:1" x14ac:dyDescent="0.2">
      <c r="A366" s="6" t="s">
        <v>346</v>
      </c>
    </row>
    <row r="367" spans="1:1" x14ac:dyDescent="0.2">
      <c r="A367" s="6" t="s">
        <v>347</v>
      </c>
    </row>
    <row r="368" spans="1:1" x14ac:dyDescent="0.2">
      <c r="A368" s="6" t="s">
        <v>348</v>
      </c>
    </row>
    <row r="369" spans="1:1" x14ac:dyDescent="0.2">
      <c r="A369" s="6" t="s">
        <v>349</v>
      </c>
    </row>
    <row r="370" spans="1:1" x14ac:dyDescent="0.2">
      <c r="A370" s="6" t="s">
        <v>350</v>
      </c>
    </row>
    <row r="371" spans="1:1" x14ac:dyDescent="0.2">
      <c r="A371" s="6" t="s">
        <v>351</v>
      </c>
    </row>
    <row r="372" spans="1:1" x14ac:dyDescent="0.2">
      <c r="A372" s="6" t="s">
        <v>352</v>
      </c>
    </row>
    <row r="373" spans="1:1" x14ac:dyDescent="0.2">
      <c r="A373" s="6" t="s">
        <v>353</v>
      </c>
    </row>
    <row r="374" spans="1:1" x14ac:dyDescent="0.2">
      <c r="A374" s="6" t="s">
        <v>354</v>
      </c>
    </row>
    <row r="375" spans="1:1" x14ac:dyDescent="0.2">
      <c r="A375" s="6" t="s">
        <v>355</v>
      </c>
    </row>
    <row r="376" spans="1:1" x14ac:dyDescent="0.2">
      <c r="A376" s="6" t="s">
        <v>356</v>
      </c>
    </row>
    <row r="377" spans="1:1" x14ac:dyDescent="0.2">
      <c r="A377" s="6" t="s">
        <v>357</v>
      </c>
    </row>
    <row r="378" spans="1:1" x14ac:dyDescent="0.2">
      <c r="A378" s="6" t="s">
        <v>358</v>
      </c>
    </row>
    <row r="379" spans="1:1" x14ac:dyDescent="0.2">
      <c r="A379" s="6" t="s">
        <v>359</v>
      </c>
    </row>
    <row r="380" spans="1:1" x14ac:dyDescent="0.2">
      <c r="A380" s="6" t="s">
        <v>360</v>
      </c>
    </row>
    <row r="381" spans="1:1" x14ac:dyDescent="0.2">
      <c r="A381" s="6" t="s">
        <v>361</v>
      </c>
    </row>
    <row r="382" spans="1:1" x14ac:dyDescent="0.2">
      <c r="A382" s="6" t="s">
        <v>362</v>
      </c>
    </row>
    <row r="383" spans="1:1" x14ac:dyDescent="0.2">
      <c r="A383" s="6" t="s">
        <v>363</v>
      </c>
    </row>
    <row r="384" spans="1:1" x14ac:dyDescent="0.2">
      <c r="A384" s="6" t="s">
        <v>364</v>
      </c>
    </row>
    <row r="385" spans="1:1" x14ac:dyDescent="0.2">
      <c r="A385" s="6" t="s">
        <v>365</v>
      </c>
    </row>
    <row r="386" spans="1:1" x14ac:dyDescent="0.2">
      <c r="A386" s="6" t="s">
        <v>366</v>
      </c>
    </row>
    <row r="387" spans="1:1" x14ac:dyDescent="0.2">
      <c r="A387" s="6" t="s">
        <v>367</v>
      </c>
    </row>
    <row r="388" spans="1:1" x14ac:dyDescent="0.2">
      <c r="A388" s="6" t="s">
        <v>368</v>
      </c>
    </row>
    <row r="389" spans="1:1" x14ac:dyDescent="0.2">
      <c r="A389" s="6" t="s">
        <v>369</v>
      </c>
    </row>
    <row r="390" spans="1:1" x14ac:dyDescent="0.2">
      <c r="A390" s="6" t="s">
        <v>370</v>
      </c>
    </row>
    <row r="391" spans="1:1" x14ac:dyDescent="0.2">
      <c r="A391" s="6" t="s">
        <v>371</v>
      </c>
    </row>
    <row r="392" spans="1:1" x14ac:dyDescent="0.2">
      <c r="A392" s="6" t="s">
        <v>372</v>
      </c>
    </row>
    <row r="393" spans="1:1" x14ac:dyDescent="0.2">
      <c r="A393" s="6" t="s">
        <v>373</v>
      </c>
    </row>
    <row r="394" spans="1:1" x14ac:dyDescent="0.2">
      <c r="A394" s="6" t="s">
        <v>374</v>
      </c>
    </row>
    <row r="395" spans="1:1" x14ac:dyDescent="0.2">
      <c r="A395" s="6" t="s">
        <v>375</v>
      </c>
    </row>
    <row r="396" spans="1:1" x14ac:dyDescent="0.2">
      <c r="A396" s="6" t="s">
        <v>376</v>
      </c>
    </row>
    <row r="397" spans="1:1" x14ac:dyDescent="0.2">
      <c r="A397" s="6" t="s">
        <v>377</v>
      </c>
    </row>
    <row r="398" spans="1:1" x14ac:dyDescent="0.2">
      <c r="A398" s="6" t="s">
        <v>378</v>
      </c>
    </row>
    <row r="399" spans="1:1" x14ac:dyDescent="0.2">
      <c r="A399" s="6" t="s">
        <v>379</v>
      </c>
    </row>
    <row r="400" spans="1:1" x14ac:dyDescent="0.2">
      <c r="A400" s="6" t="s">
        <v>380</v>
      </c>
    </row>
    <row r="401" spans="1:1" x14ac:dyDescent="0.2">
      <c r="A401" s="6" t="s">
        <v>381</v>
      </c>
    </row>
    <row r="402" spans="1:1" x14ac:dyDescent="0.2">
      <c r="A402" s="6" t="s">
        <v>382</v>
      </c>
    </row>
    <row r="403" spans="1:1" x14ac:dyDescent="0.2">
      <c r="A403" s="6" t="s">
        <v>383</v>
      </c>
    </row>
    <row r="404" spans="1:1" x14ac:dyDescent="0.2">
      <c r="A404" s="6" t="s">
        <v>384</v>
      </c>
    </row>
    <row r="405" spans="1:1" x14ac:dyDescent="0.2">
      <c r="A405" s="6" t="s">
        <v>385</v>
      </c>
    </row>
    <row r="406" spans="1:1" x14ac:dyDescent="0.2">
      <c r="A406" s="6" t="s">
        <v>386</v>
      </c>
    </row>
    <row r="407" spans="1:1" x14ac:dyDescent="0.2">
      <c r="A407" s="6" t="s">
        <v>387</v>
      </c>
    </row>
    <row r="408" spans="1:1" x14ac:dyDescent="0.2">
      <c r="A408" s="6" t="s">
        <v>388</v>
      </c>
    </row>
    <row r="409" spans="1:1" x14ac:dyDescent="0.2">
      <c r="A409" s="6" t="s">
        <v>389</v>
      </c>
    </row>
    <row r="410" spans="1:1" x14ac:dyDescent="0.2">
      <c r="A410" s="6" t="s">
        <v>390</v>
      </c>
    </row>
    <row r="411" spans="1:1" x14ac:dyDescent="0.2">
      <c r="A411" s="6" t="s">
        <v>391</v>
      </c>
    </row>
    <row r="412" spans="1:1" x14ac:dyDescent="0.2">
      <c r="A412" s="6" t="s">
        <v>392</v>
      </c>
    </row>
    <row r="413" spans="1:1" x14ac:dyDescent="0.2">
      <c r="A413" s="6" t="s">
        <v>393</v>
      </c>
    </row>
    <row r="414" spans="1:1" x14ac:dyDescent="0.2">
      <c r="A414" s="6" t="s">
        <v>394</v>
      </c>
    </row>
    <row r="415" spans="1:1" x14ac:dyDescent="0.2">
      <c r="A415" s="6" t="s">
        <v>395</v>
      </c>
    </row>
    <row r="416" spans="1:1" x14ac:dyDescent="0.2">
      <c r="A416" s="6" t="s">
        <v>396</v>
      </c>
    </row>
    <row r="417" spans="1:1" x14ac:dyDescent="0.2">
      <c r="A417" s="6" t="s">
        <v>397</v>
      </c>
    </row>
    <row r="418" spans="1:1" x14ac:dyDescent="0.2">
      <c r="A418" s="6" t="s">
        <v>405</v>
      </c>
    </row>
    <row r="419" spans="1:1" x14ac:dyDescent="0.2">
      <c r="A419" s="6" t="s">
        <v>406</v>
      </c>
    </row>
    <row r="420" spans="1:1" x14ac:dyDescent="0.2">
      <c r="A420" s="6" t="s">
        <v>407</v>
      </c>
    </row>
    <row r="421" spans="1:1" x14ac:dyDescent="0.2">
      <c r="A421" s="6" t="s">
        <v>408</v>
      </c>
    </row>
    <row r="422" spans="1:1" x14ac:dyDescent="0.2">
      <c r="A422" s="6" t="s">
        <v>409</v>
      </c>
    </row>
    <row r="423" spans="1:1" x14ac:dyDescent="0.2">
      <c r="A423" s="6" t="s">
        <v>410</v>
      </c>
    </row>
    <row r="424" spans="1:1" x14ac:dyDescent="0.2">
      <c r="A424" s="6" t="s">
        <v>411</v>
      </c>
    </row>
    <row r="425" spans="1:1" x14ac:dyDescent="0.2">
      <c r="A425" s="6" t="s">
        <v>412</v>
      </c>
    </row>
    <row r="426" spans="1:1" x14ac:dyDescent="0.2">
      <c r="A426" s="6" t="s">
        <v>413</v>
      </c>
    </row>
    <row r="427" spans="1:1" x14ac:dyDescent="0.2">
      <c r="A427" s="6" t="s">
        <v>414</v>
      </c>
    </row>
    <row r="428" spans="1:1" x14ac:dyDescent="0.2">
      <c r="A428" s="6" t="s">
        <v>415</v>
      </c>
    </row>
    <row r="429" spans="1:1" x14ac:dyDescent="0.2">
      <c r="A429" s="6" t="s">
        <v>416</v>
      </c>
    </row>
    <row r="430" spans="1:1" x14ac:dyDescent="0.2">
      <c r="A430" s="6" t="s">
        <v>417</v>
      </c>
    </row>
    <row r="431" spans="1:1" x14ac:dyDescent="0.2">
      <c r="A431" s="6" t="s">
        <v>418</v>
      </c>
    </row>
    <row r="432" spans="1:1" x14ac:dyDescent="0.2">
      <c r="A432" s="6" t="s">
        <v>419</v>
      </c>
    </row>
    <row r="433" spans="1:1" x14ac:dyDescent="0.2">
      <c r="A433" s="6" t="s">
        <v>420</v>
      </c>
    </row>
    <row r="434" spans="1:1" x14ac:dyDescent="0.2">
      <c r="A434" s="6" t="s">
        <v>421</v>
      </c>
    </row>
    <row r="435" spans="1:1" x14ac:dyDescent="0.2">
      <c r="A435" s="6" t="s">
        <v>422</v>
      </c>
    </row>
    <row r="436" spans="1:1" x14ac:dyDescent="0.2">
      <c r="A436" s="6" t="s">
        <v>423</v>
      </c>
    </row>
    <row r="437" spans="1:1" x14ac:dyDescent="0.2">
      <c r="A437" s="6" t="s">
        <v>424</v>
      </c>
    </row>
    <row r="438" spans="1:1" x14ac:dyDescent="0.2">
      <c r="A438" s="6" t="s">
        <v>425</v>
      </c>
    </row>
    <row r="439" spans="1:1" x14ac:dyDescent="0.2">
      <c r="A439" s="6" t="s">
        <v>426</v>
      </c>
    </row>
    <row r="440" spans="1:1" x14ac:dyDescent="0.2">
      <c r="A440" s="6" t="s">
        <v>427</v>
      </c>
    </row>
    <row r="441" spans="1:1" x14ac:dyDescent="0.2">
      <c r="A441" s="6" t="s">
        <v>428</v>
      </c>
    </row>
    <row r="442" spans="1:1" x14ac:dyDescent="0.2">
      <c r="A442" s="6" t="s">
        <v>429</v>
      </c>
    </row>
    <row r="443" spans="1:1" x14ac:dyDescent="0.2">
      <c r="A443" s="6" t="s">
        <v>430</v>
      </c>
    </row>
    <row r="444" spans="1:1" x14ac:dyDescent="0.2">
      <c r="A444" s="6" t="s">
        <v>431</v>
      </c>
    </row>
    <row r="445" spans="1:1" x14ac:dyDescent="0.2">
      <c r="A445" s="6" t="s">
        <v>432</v>
      </c>
    </row>
    <row r="446" spans="1:1" x14ac:dyDescent="0.2">
      <c r="A446" s="6" t="s">
        <v>433</v>
      </c>
    </row>
    <row r="447" spans="1:1" x14ac:dyDescent="0.2">
      <c r="A447" s="6" t="s">
        <v>434</v>
      </c>
    </row>
    <row r="448" spans="1:1" x14ac:dyDescent="0.2">
      <c r="A448" s="6" t="s">
        <v>435</v>
      </c>
    </row>
    <row r="449" spans="1:1" x14ac:dyDescent="0.2">
      <c r="A449" s="6" t="s">
        <v>436</v>
      </c>
    </row>
    <row r="450" spans="1:1" x14ac:dyDescent="0.2">
      <c r="A450" s="6" t="s">
        <v>437</v>
      </c>
    </row>
    <row r="451" spans="1:1" x14ac:dyDescent="0.2">
      <c r="A451" s="6" t="s">
        <v>438</v>
      </c>
    </row>
    <row r="452" spans="1:1" x14ac:dyDescent="0.2">
      <c r="A452" s="6" t="s">
        <v>439</v>
      </c>
    </row>
    <row r="453" spans="1:1" x14ac:dyDescent="0.2">
      <c r="A453" s="6" t="s">
        <v>440</v>
      </c>
    </row>
    <row r="454" spans="1:1" x14ac:dyDescent="0.2">
      <c r="A454" s="6" t="s">
        <v>441</v>
      </c>
    </row>
    <row r="455" spans="1:1" x14ac:dyDescent="0.2">
      <c r="A455" s="6" t="s">
        <v>442</v>
      </c>
    </row>
    <row r="456" spans="1:1" x14ac:dyDescent="0.2">
      <c r="A456" s="6" t="s">
        <v>443</v>
      </c>
    </row>
    <row r="457" spans="1:1" x14ac:dyDescent="0.2">
      <c r="A457" s="6" t="s">
        <v>444</v>
      </c>
    </row>
    <row r="458" spans="1:1" x14ac:dyDescent="0.2">
      <c r="A458" s="6" t="s">
        <v>445</v>
      </c>
    </row>
    <row r="459" spans="1:1" x14ac:dyDescent="0.2">
      <c r="A459" s="6" t="s">
        <v>446</v>
      </c>
    </row>
    <row r="460" spans="1:1" x14ac:dyDescent="0.2">
      <c r="A460" s="6" t="s">
        <v>447</v>
      </c>
    </row>
    <row r="461" spans="1:1" x14ac:dyDescent="0.2">
      <c r="A461" s="6" t="s">
        <v>448</v>
      </c>
    </row>
    <row r="462" spans="1:1" x14ac:dyDescent="0.2">
      <c r="A462" s="6" t="s">
        <v>449</v>
      </c>
    </row>
    <row r="463" spans="1:1" x14ac:dyDescent="0.2">
      <c r="A463" s="6" t="s">
        <v>450</v>
      </c>
    </row>
    <row r="464" spans="1:1" x14ac:dyDescent="0.2">
      <c r="A464" s="6" t="s">
        <v>451</v>
      </c>
    </row>
    <row r="465" spans="1:1" x14ac:dyDescent="0.2">
      <c r="A465" s="6" t="s">
        <v>452</v>
      </c>
    </row>
    <row r="466" spans="1:1" x14ac:dyDescent="0.2">
      <c r="A466" s="6" t="s">
        <v>453</v>
      </c>
    </row>
    <row r="467" spans="1:1" x14ac:dyDescent="0.2">
      <c r="A467" s="6" t="s">
        <v>454</v>
      </c>
    </row>
    <row r="468" spans="1:1" x14ac:dyDescent="0.2">
      <c r="A468" s="6" t="s">
        <v>455</v>
      </c>
    </row>
    <row r="469" spans="1:1" x14ac:dyDescent="0.2">
      <c r="A469" s="6" t="s">
        <v>456</v>
      </c>
    </row>
    <row r="470" spans="1:1" x14ac:dyDescent="0.2">
      <c r="A470" s="6" t="s">
        <v>457</v>
      </c>
    </row>
    <row r="471" spans="1:1" x14ac:dyDescent="0.2">
      <c r="A471" s="6" t="s">
        <v>458</v>
      </c>
    </row>
    <row r="472" spans="1:1" x14ac:dyDescent="0.2">
      <c r="A472" s="6" t="s">
        <v>459</v>
      </c>
    </row>
    <row r="473" spans="1:1" x14ac:dyDescent="0.2">
      <c r="A473" s="6" t="s">
        <v>460</v>
      </c>
    </row>
    <row r="474" spans="1:1" x14ac:dyDescent="0.2">
      <c r="A474" s="6" t="s">
        <v>461</v>
      </c>
    </row>
    <row r="475" spans="1:1" x14ac:dyDescent="0.2">
      <c r="A475" s="6" t="s">
        <v>462</v>
      </c>
    </row>
    <row r="476" spans="1:1" x14ac:dyDescent="0.2">
      <c r="A476" s="6" t="s">
        <v>463</v>
      </c>
    </row>
    <row r="477" spans="1:1" x14ac:dyDescent="0.2">
      <c r="A477" s="6" t="s">
        <v>464</v>
      </c>
    </row>
    <row r="478" spans="1:1" x14ac:dyDescent="0.2">
      <c r="A478" s="6" t="s">
        <v>465</v>
      </c>
    </row>
    <row r="479" spans="1:1" x14ac:dyDescent="0.2">
      <c r="A479" s="6" t="s">
        <v>466</v>
      </c>
    </row>
    <row r="480" spans="1:1" x14ac:dyDescent="0.2">
      <c r="A480" s="6" t="s">
        <v>467</v>
      </c>
    </row>
    <row r="481" spans="1:1" x14ac:dyDescent="0.2">
      <c r="A481" s="6" t="s">
        <v>468</v>
      </c>
    </row>
    <row r="482" spans="1:1" x14ac:dyDescent="0.2">
      <c r="A482" s="6" t="s">
        <v>469</v>
      </c>
    </row>
    <row r="483" spans="1:1" x14ac:dyDescent="0.2">
      <c r="A483" s="6" t="s">
        <v>470</v>
      </c>
    </row>
    <row r="484" spans="1:1" x14ac:dyDescent="0.2">
      <c r="A484" s="6" t="s">
        <v>471</v>
      </c>
    </row>
    <row r="485" spans="1:1" x14ac:dyDescent="0.2">
      <c r="A485" s="6" t="s">
        <v>472</v>
      </c>
    </row>
    <row r="486" spans="1:1" x14ac:dyDescent="0.2">
      <c r="A486" s="6" t="s">
        <v>473</v>
      </c>
    </row>
    <row r="487" spans="1:1" x14ac:dyDescent="0.2">
      <c r="A487" s="6" t="s">
        <v>474</v>
      </c>
    </row>
    <row r="488" spans="1:1" x14ac:dyDescent="0.2">
      <c r="A488" s="6" t="s">
        <v>475</v>
      </c>
    </row>
    <row r="489" spans="1:1" x14ac:dyDescent="0.2">
      <c r="A489" s="6" t="s">
        <v>476</v>
      </c>
    </row>
    <row r="490" spans="1:1" x14ac:dyDescent="0.2">
      <c r="A490" s="6" t="s">
        <v>477</v>
      </c>
    </row>
    <row r="491" spans="1:1" x14ac:dyDescent="0.2">
      <c r="A491" s="6" t="s">
        <v>478</v>
      </c>
    </row>
    <row r="492" spans="1:1" x14ac:dyDescent="0.2">
      <c r="A492" s="6" t="s">
        <v>479</v>
      </c>
    </row>
    <row r="493" spans="1:1" x14ac:dyDescent="0.2">
      <c r="A493" s="6" t="s">
        <v>480</v>
      </c>
    </row>
    <row r="494" spans="1:1" x14ac:dyDescent="0.2">
      <c r="A494" s="6" t="s">
        <v>481</v>
      </c>
    </row>
    <row r="495" spans="1:1" x14ac:dyDescent="0.2">
      <c r="A495" s="6" t="s">
        <v>482</v>
      </c>
    </row>
    <row r="496" spans="1:1" x14ac:dyDescent="0.2">
      <c r="A496" s="6" t="s">
        <v>483</v>
      </c>
    </row>
    <row r="497" spans="1:1" x14ac:dyDescent="0.2">
      <c r="A497" s="6" t="s">
        <v>484</v>
      </c>
    </row>
    <row r="498" spans="1:1" x14ac:dyDescent="0.2">
      <c r="A498" s="6" t="s">
        <v>485</v>
      </c>
    </row>
    <row r="499" spans="1:1" x14ac:dyDescent="0.2">
      <c r="A499" s="6" t="s">
        <v>486</v>
      </c>
    </row>
    <row r="500" spans="1:1" x14ac:dyDescent="0.2">
      <c r="A500" s="6" t="s">
        <v>487</v>
      </c>
    </row>
    <row r="501" spans="1:1" x14ac:dyDescent="0.2">
      <c r="A501" s="6" t="s">
        <v>488</v>
      </c>
    </row>
    <row r="502" spans="1:1" x14ac:dyDescent="0.2">
      <c r="A502" s="6" t="s">
        <v>489</v>
      </c>
    </row>
    <row r="503" spans="1:1" x14ac:dyDescent="0.2">
      <c r="A503" s="6" t="s">
        <v>490</v>
      </c>
    </row>
    <row r="504" spans="1:1" x14ac:dyDescent="0.2">
      <c r="A504" s="6" t="s">
        <v>491</v>
      </c>
    </row>
    <row r="505" spans="1:1" x14ac:dyDescent="0.2">
      <c r="A505" s="6" t="s">
        <v>492</v>
      </c>
    </row>
    <row r="506" spans="1:1" x14ac:dyDescent="0.2">
      <c r="A506" s="6" t="s">
        <v>493</v>
      </c>
    </row>
    <row r="507" spans="1:1" x14ac:dyDescent="0.2">
      <c r="A507" s="6" t="s">
        <v>494</v>
      </c>
    </row>
    <row r="508" spans="1:1" x14ac:dyDescent="0.2">
      <c r="A508" s="6" t="s">
        <v>495</v>
      </c>
    </row>
    <row r="509" spans="1:1" x14ac:dyDescent="0.2">
      <c r="A509" s="6" t="s">
        <v>496</v>
      </c>
    </row>
    <row r="510" spans="1:1" x14ac:dyDescent="0.2">
      <c r="A510" s="6" t="s">
        <v>497</v>
      </c>
    </row>
    <row r="511" spans="1:1" x14ac:dyDescent="0.2">
      <c r="A511" s="6" t="s">
        <v>498</v>
      </c>
    </row>
    <row r="512" spans="1:1" x14ac:dyDescent="0.2">
      <c r="A512" s="6" t="s">
        <v>499</v>
      </c>
    </row>
    <row r="513" spans="1:1" x14ac:dyDescent="0.2">
      <c r="A513" s="6" t="s">
        <v>500</v>
      </c>
    </row>
    <row r="514" spans="1:1" x14ac:dyDescent="0.2">
      <c r="A514" s="6" t="s">
        <v>501</v>
      </c>
    </row>
    <row r="515" spans="1:1" x14ac:dyDescent="0.2">
      <c r="A515" s="6" t="s">
        <v>502</v>
      </c>
    </row>
    <row r="516" spans="1:1" x14ac:dyDescent="0.2">
      <c r="A516" s="6" t="s">
        <v>503</v>
      </c>
    </row>
    <row r="517" spans="1:1" x14ac:dyDescent="0.2">
      <c r="A517" s="6" t="s">
        <v>550</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C600E-FD34-A541-B545-1B93601A4063}">
  <dimension ref="A1:U8"/>
  <sheetViews>
    <sheetView zoomScale="113" workbookViewId="0">
      <selection activeCell="R11" sqref="R11"/>
    </sheetView>
  </sheetViews>
  <sheetFormatPr baseColWidth="10" defaultRowHeight="15" x14ac:dyDescent="0.2"/>
  <cols>
    <col min="1" max="21" width="10.83203125" style="11"/>
  </cols>
  <sheetData>
    <row r="1" spans="1:21" x14ac:dyDescent="0.2">
      <c r="A1" s="16"/>
      <c r="B1" s="16"/>
      <c r="C1" s="16"/>
      <c r="D1" s="16"/>
      <c r="E1" s="16"/>
      <c r="F1" s="16"/>
      <c r="G1" s="16"/>
      <c r="H1" s="16"/>
      <c r="I1" s="16"/>
      <c r="J1" s="16"/>
      <c r="K1" s="16"/>
      <c r="L1" s="16"/>
      <c r="M1" s="16"/>
      <c r="N1" s="16"/>
      <c r="O1" s="16"/>
      <c r="P1" s="16"/>
      <c r="Q1" s="16"/>
      <c r="R1" s="16"/>
      <c r="S1" s="16"/>
      <c r="T1" s="16"/>
      <c r="U1" s="16"/>
    </row>
    <row r="2" spans="1:21" x14ac:dyDescent="0.2">
      <c r="A2" s="16"/>
      <c r="B2" s="16"/>
      <c r="C2" s="16"/>
      <c r="D2" s="16"/>
      <c r="E2" s="16"/>
      <c r="F2" s="16"/>
      <c r="G2" s="16"/>
      <c r="H2" s="16"/>
      <c r="I2" s="16"/>
      <c r="J2" s="16"/>
      <c r="K2" s="16"/>
      <c r="L2" s="16"/>
      <c r="M2" s="16"/>
      <c r="N2" s="16"/>
      <c r="O2" s="16"/>
      <c r="P2" s="16"/>
      <c r="Q2" s="16"/>
      <c r="R2" s="16"/>
      <c r="S2" s="16"/>
      <c r="T2" s="16"/>
      <c r="U2" s="16"/>
    </row>
    <row r="3" spans="1:21" x14ac:dyDescent="0.2">
      <c r="A3" s="16"/>
      <c r="B3" s="16"/>
      <c r="C3" s="16"/>
      <c r="D3" s="16"/>
      <c r="E3" s="16"/>
      <c r="F3" s="16"/>
      <c r="G3" s="16"/>
      <c r="H3" s="16"/>
      <c r="I3" s="16"/>
      <c r="J3" s="16"/>
      <c r="K3" s="16"/>
      <c r="L3" s="16"/>
      <c r="M3" s="16"/>
      <c r="N3" s="16"/>
      <c r="O3" s="16"/>
      <c r="P3" s="16"/>
      <c r="Q3" s="16"/>
      <c r="R3" s="16"/>
      <c r="S3" s="16"/>
      <c r="T3" s="16"/>
      <c r="U3" s="16"/>
    </row>
    <row r="4" spans="1:21" x14ac:dyDescent="0.2">
      <c r="A4" s="16"/>
      <c r="B4" s="16"/>
      <c r="C4" s="16"/>
      <c r="D4" s="16"/>
      <c r="E4" s="16"/>
      <c r="F4" s="16"/>
      <c r="G4" s="16"/>
      <c r="H4" s="16"/>
      <c r="I4" s="16"/>
      <c r="J4" s="16"/>
      <c r="K4" s="16"/>
      <c r="L4" s="16"/>
      <c r="M4" s="16"/>
      <c r="N4" s="16"/>
      <c r="O4" s="16"/>
      <c r="P4" s="16"/>
      <c r="Q4" s="16"/>
      <c r="R4" s="16"/>
      <c r="S4" s="16"/>
      <c r="T4" s="16"/>
      <c r="U4" s="16"/>
    </row>
    <row r="5" spans="1:21" x14ac:dyDescent="0.2">
      <c r="A5" s="16"/>
      <c r="B5" s="16"/>
      <c r="C5" s="16"/>
      <c r="D5" s="16"/>
      <c r="E5" s="16"/>
      <c r="F5" s="16"/>
      <c r="G5" s="16"/>
      <c r="H5" s="16"/>
      <c r="I5" s="16"/>
      <c r="J5" s="16"/>
      <c r="K5" s="16"/>
      <c r="L5" s="16"/>
      <c r="M5" s="16"/>
      <c r="N5" s="16"/>
      <c r="O5" s="16"/>
      <c r="P5" s="16"/>
      <c r="Q5" s="16"/>
      <c r="R5" s="16"/>
      <c r="S5" s="16"/>
      <c r="T5" s="16"/>
      <c r="U5" s="16"/>
    </row>
    <row r="6" spans="1:21" x14ac:dyDescent="0.2">
      <c r="A6" s="16"/>
      <c r="B6" s="16"/>
      <c r="C6" s="16"/>
      <c r="D6" s="16"/>
      <c r="E6" s="16"/>
      <c r="F6" s="16"/>
      <c r="G6" s="16"/>
      <c r="H6" s="16"/>
      <c r="I6" s="16"/>
      <c r="J6" s="16"/>
      <c r="K6" s="16"/>
      <c r="L6" s="16"/>
      <c r="M6" s="16"/>
      <c r="N6" s="16"/>
      <c r="O6" s="16"/>
      <c r="P6" s="16"/>
      <c r="Q6" s="16"/>
      <c r="R6" s="16"/>
      <c r="S6" s="16"/>
      <c r="T6" s="16"/>
      <c r="U6" s="16"/>
    </row>
    <row r="7" spans="1:21" x14ac:dyDescent="0.2">
      <c r="A7" s="16"/>
      <c r="B7" s="16"/>
      <c r="C7" s="16"/>
      <c r="D7" s="16"/>
      <c r="E7" s="16"/>
      <c r="F7" s="16"/>
      <c r="G7" s="16"/>
      <c r="H7" s="16"/>
      <c r="I7" s="16"/>
      <c r="J7" s="16"/>
      <c r="K7" s="16"/>
      <c r="L7" s="16"/>
      <c r="M7" s="16"/>
      <c r="N7" s="16"/>
      <c r="O7" s="16"/>
      <c r="P7" s="16"/>
      <c r="Q7" s="16"/>
      <c r="R7" s="16"/>
      <c r="S7" s="16"/>
      <c r="T7" s="16"/>
      <c r="U7" s="16"/>
    </row>
    <row r="8" spans="1:21" x14ac:dyDescent="0.2">
      <c r="A8" s="16"/>
      <c r="B8" s="16"/>
      <c r="C8" s="16"/>
      <c r="D8" s="16"/>
      <c r="E8" s="16"/>
      <c r="F8" s="16"/>
      <c r="G8" s="16"/>
      <c r="H8" s="16"/>
      <c r="I8" s="16"/>
      <c r="J8" s="16"/>
      <c r="K8" s="16"/>
      <c r="L8" s="16"/>
      <c r="M8" s="16"/>
      <c r="N8" s="16"/>
      <c r="O8" s="16"/>
      <c r="P8" s="16"/>
      <c r="Q8" s="16"/>
      <c r="R8" s="16"/>
      <c r="S8" s="16"/>
      <c r="T8" s="16"/>
      <c r="U8"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73425-B8EE-884C-8CBD-3EAFC591552B}">
  <dimension ref="A1:V484"/>
  <sheetViews>
    <sheetView tabSelected="1" workbookViewId="0">
      <pane ySplit="1" topLeftCell="A2" activePane="bottomLeft" state="frozen"/>
      <selection pane="bottomLeft" activeCell="N4" sqref="N4"/>
    </sheetView>
  </sheetViews>
  <sheetFormatPr baseColWidth="10" defaultColWidth="8.83203125" defaultRowHeight="15" x14ac:dyDescent="0.2"/>
  <cols>
    <col min="1" max="1" width="11.33203125" bestFit="1" customWidth="1"/>
    <col min="2" max="2" width="15.6640625" style="3" bestFit="1" customWidth="1"/>
    <col min="3" max="3" width="15.1640625" style="3" bestFit="1" customWidth="1"/>
    <col min="4" max="4" width="14.33203125" bestFit="1" customWidth="1"/>
    <col min="5" max="5" width="16.6640625" style="6" bestFit="1" customWidth="1"/>
    <col min="6" max="6" width="19" style="6" bestFit="1" customWidth="1"/>
    <col min="7" max="7" width="13.83203125" bestFit="1" customWidth="1"/>
    <col min="8" max="8" width="6.6640625" bestFit="1" customWidth="1"/>
    <col min="9" max="9" width="11.83203125" bestFit="1" customWidth="1"/>
    <col min="10" max="10" width="9.5" bestFit="1" customWidth="1"/>
    <col min="11" max="11" width="16.5" style="7" bestFit="1" customWidth="1"/>
    <col min="12" max="12" width="16.6640625" style="2" bestFit="1" customWidth="1"/>
    <col min="13" max="13" width="10.83203125" bestFit="1" customWidth="1"/>
    <col min="14" max="14" width="16.6640625" bestFit="1" customWidth="1"/>
    <col min="15" max="15" width="9.1640625" bestFit="1" customWidth="1"/>
    <col min="16" max="16" width="13.33203125" bestFit="1" customWidth="1"/>
    <col min="17" max="17" width="14.83203125" bestFit="1" customWidth="1"/>
    <col min="18" max="18" width="14.83203125" customWidth="1"/>
    <col min="22" max="22" width="14.83203125" bestFit="1" customWidth="1"/>
  </cols>
  <sheetData>
    <row r="1" spans="1:22" x14ac:dyDescent="0.2">
      <c r="A1" t="s">
        <v>529</v>
      </c>
      <c r="B1" s="3" t="s">
        <v>530</v>
      </c>
      <c r="C1" s="3" t="s">
        <v>531</v>
      </c>
      <c r="D1" t="s">
        <v>535</v>
      </c>
      <c r="E1" s="6" t="s">
        <v>536</v>
      </c>
      <c r="F1" s="6" t="s">
        <v>538</v>
      </c>
      <c r="G1" t="s">
        <v>521</v>
      </c>
      <c r="H1" t="s">
        <v>3</v>
      </c>
      <c r="I1" t="s">
        <v>537</v>
      </c>
      <c r="J1" t="s">
        <v>399</v>
      </c>
      <c r="K1" s="7" t="s">
        <v>532</v>
      </c>
      <c r="L1" s="2" t="s">
        <v>539</v>
      </c>
      <c r="M1" t="s">
        <v>4</v>
      </c>
      <c r="N1" t="s">
        <v>540</v>
      </c>
      <c r="O1" t="s">
        <v>514</v>
      </c>
      <c r="P1" t="s">
        <v>541</v>
      </c>
      <c r="Q1" t="s">
        <v>527</v>
      </c>
      <c r="R1" t="s">
        <v>543</v>
      </c>
      <c r="S1" t="s">
        <v>542</v>
      </c>
      <c r="T1" t="s">
        <v>544</v>
      </c>
      <c r="U1" t="s">
        <v>545</v>
      </c>
      <c r="V1" t="s">
        <v>551</v>
      </c>
    </row>
    <row r="2" spans="1:22" x14ac:dyDescent="0.2">
      <c r="A2" t="s">
        <v>14</v>
      </c>
      <c r="B2" s="3">
        <v>45322</v>
      </c>
      <c r="C2" s="3">
        <v>45322</v>
      </c>
      <c r="D2">
        <f ca="1">IF(ISBLANK(Table14[[#This Row],[Discharge Date]]),TODAY()-Table14[[#This Row],[Admission Date]], Table14[[#This Row],[Discharge Date]]-Table14[[#This Row],[Admission Date]])</f>
        <v>0</v>
      </c>
      <c r="E2" s="6" t="str">
        <f>IF(Table14[[#This Row],[Discharge Date]]="","Still Admitted","Patient Discharged")</f>
        <v>Patient Discharged</v>
      </c>
      <c r="F2" s="6" t="str">
        <f>IF(WEEKDAY(Table14[[#This Row],[Admission Date]],2)&gt;5,"Weekend","Weekday")</f>
        <v>Weekday</v>
      </c>
      <c r="G2" t="s">
        <v>7</v>
      </c>
      <c r="H2">
        <v>67</v>
      </c>
      <c r="I2" t="str" cm="1">
        <f t="array" ref="I2">_xlfn.IFS(Table14[[#This Row],[Age]]&lt;18,"Children",Table14[[#This Row],[Age]]&lt;50,"Adult",Table14[[#This Row],[Age]]&gt;=50,"Elderly")</f>
        <v>Elderly</v>
      </c>
      <c r="J2" t="s">
        <v>546</v>
      </c>
      <c r="K2" s="7">
        <v>8500</v>
      </c>
      <c r="L2" s="2" t="str" cm="1">
        <f t="array" ref="L2">_xlfn.IFS(Table14[[#This Row],[Treatment Cost]]&lt;50000,"Low Billing",Table14[[#This Row],[Treatment Cost]]&lt;200000,"Moderate Billing",Table14[[#This Row],[Treatment Cost]]&gt;=200000,"High Billing")</f>
        <v>Low Billing</v>
      </c>
      <c r="M2" t="s">
        <v>6</v>
      </c>
      <c r="N2" t="str">
        <f>IF(AND(Table14[[#This Row],[Outcome]]="Follow-up",Table14[[#This Row],[Admission Status]]="Patient Discharged"),"High Risk Patient","Low Risk Patient")</f>
        <v>Low Risk Patient</v>
      </c>
      <c r="O2" t="str">
        <f>IFERROR(VLOOKUP(Table14[[#This Row],[Department]],Doctor_Info!A:D,2,FALSE), "")</f>
        <v>Dr. Ada</v>
      </c>
      <c r="P2" t="str">
        <f>IF(COUNTIF(A:A,Table14[[#This Row],[Patient ID]]&gt;1),"Returning Patient","New Patient")</f>
        <v>New Patient</v>
      </c>
      <c r="Q2" t="str">
        <f>_xlfn.XLOOKUP(Table14[[#This Row],[Department]], Doctor_Info!A:A, Doctor_Info!C:C, "")&amp;""</f>
        <v>301</v>
      </c>
      <c r="R2" t="str">
        <f>TEXT(Table14[[#This Row],[Admission Date]],"ddd")</f>
        <v>Wed</v>
      </c>
      <c r="S2" t="str">
        <f>TEXT(Table14[[#This Row],[Admission Date]],"mmm")</f>
        <v>Jan</v>
      </c>
      <c r="T2" t="str">
        <f>TEXT(Table14[[#This Row],[Admission Date]],"yyyy")</f>
        <v>2024</v>
      </c>
      <c r="U2" t="str">
        <f>TEXT(Table14[[#This Row],[Admission Date]],"mmm-yyyy")</f>
        <v>Jan-2024</v>
      </c>
      <c r="V2">
        <f t="shared" ref="V2:V65" ca="1" si="0">MEDIAN($D$2:$D$484)</f>
        <v>8</v>
      </c>
    </row>
    <row r="3" spans="1:22" x14ac:dyDescent="0.2">
      <c r="A3" t="s">
        <v>15</v>
      </c>
      <c r="B3" s="3">
        <v>45293</v>
      </c>
      <c r="C3" s="3">
        <v>45294</v>
      </c>
      <c r="D3">
        <f ca="1">IF(ISBLANK(Table14[[#This Row],[Discharge Date]]),TODAY()-Table14[[#This Row],[Admission Date]], Table14[[#This Row],[Discharge Date]]-Table14[[#This Row],[Admission Date]])</f>
        <v>1</v>
      </c>
      <c r="E3" s="6" t="str">
        <f>IF(Table14[[#This Row],[Discharge Date]]="","Still Admitted","Patient Discharged")</f>
        <v>Patient Discharged</v>
      </c>
      <c r="F3" s="6" t="str">
        <f>IF(WEEKDAY(Table14[[#This Row],[Admission Date]],2)&gt;5,"Weekend","Weekday")</f>
        <v>Weekday</v>
      </c>
      <c r="G3" t="s">
        <v>528</v>
      </c>
      <c r="H3">
        <v>22</v>
      </c>
      <c r="I3" t="str" cm="1">
        <f t="array" ref="I3">_xlfn.IFS(Table14[[#This Row],[Age]]&lt;18,"Children",Table14[[#This Row],[Age]]&lt;50,"Adult",Table14[[#This Row],[Age]]&gt;=50,"Elderly")</f>
        <v>Adult</v>
      </c>
      <c r="J3" t="s">
        <v>547</v>
      </c>
      <c r="K3" s="7">
        <v>900</v>
      </c>
      <c r="L3" s="2" t="str" cm="1">
        <f t="array" ref="L3">_xlfn.IFS(Table14[[#This Row],[Treatment Cost]]&lt;50000,"Low Billing",Table14[[#This Row],[Treatment Cost]]&lt;200000,"Moderate Billing",Table14[[#This Row],[Treatment Cost]]&gt;=200000,"High Billing")</f>
        <v>Low Billing</v>
      </c>
      <c r="M3" t="s">
        <v>6</v>
      </c>
      <c r="N3" t="str">
        <f>IF(AND(Table14[[#This Row],[Outcome]]="Follow-up",Table14[[#This Row],[Admission Status]]="Patient Discharged"),"High Risk Patient","Low Risk Patient")</f>
        <v>Low Risk Patient</v>
      </c>
      <c r="O3" t="str">
        <f>IFERROR(VLOOKUP(Table14[[#This Row],[Department]],Doctor_Info!A:D,2,FALSE), "")</f>
        <v>Dr. Kofi</v>
      </c>
      <c r="P3" t="str">
        <f>IF(COUNTIF(A:A,Table14[[#This Row],[Patient ID]]&gt;1),"Returning Patient","New Patient")</f>
        <v>New Patient</v>
      </c>
      <c r="Q3" t="str">
        <f>_xlfn.XLOOKUP(Table14[[#This Row],[Department]], Doctor_Info!A:A, Doctor_Info!C:C, "")&amp;""</f>
        <v>102</v>
      </c>
      <c r="R3" t="str">
        <f>TEXT(Table14[[#This Row],[Admission Date]],"ddd")</f>
        <v>Tue</v>
      </c>
      <c r="S3" t="str">
        <f>TEXT(Table14[[#This Row],[Admission Date]],"mmm")</f>
        <v>Jan</v>
      </c>
      <c r="T3" t="str">
        <f>TEXT(Table14[[#This Row],[Admission Date]],"yyyy")</f>
        <v>2024</v>
      </c>
      <c r="U3" t="str">
        <f>TEXT(Table14[[#This Row],[Admission Date]],"mmm-yyyy")</f>
        <v>Jan-2024</v>
      </c>
      <c r="V3">
        <f t="shared" ca="1" si="0"/>
        <v>8</v>
      </c>
    </row>
    <row r="4" spans="1:22" x14ac:dyDescent="0.2">
      <c r="A4" t="s">
        <v>16</v>
      </c>
      <c r="B4" s="3">
        <v>45296</v>
      </c>
      <c r="C4" s="3">
        <v>45311</v>
      </c>
      <c r="D4">
        <f ca="1">IF(ISBLANK(Table14[[#This Row],[Discharge Date]]),TODAY()-Table14[[#This Row],[Admission Date]], Table14[[#This Row],[Discharge Date]]-Table14[[#This Row],[Admission Date]])</f>
        <v>15</v>
      </c>
      <c r="E4" s="6" t="str">
        <f>IF(Table14[[#This Row],[Discharge Date]]="","Still Admitted","Patient Discharged")</f>
        <v>Patient Discharged</v>
      </c>
      <c r="F4" s="6" t="str">
        <f>IF(WEEKDAY(Table14[[#This Row],[Admission Date]],2)&gt;5,"Weekend","Weekday")</f>
        <v>Weekday</v>
      </c>
      <c r="G4" t="s">
        <v>10</v>
      </c>
      <c r="H4">
        <v>54</v>
      </c>
      <c r="I4" t="str" cm="1">
        <f t="array" ref="I4">_xlfn.IFS(Table14[[#This Row],[Age]]&lt;18,"Children",Table14[[#This Row],[Age]]&lt;50,"Adult",Table14[[#This Row],[Age]]&gt;=50,"Elderly")</f>
        <v>Elderly</v>
      </c>
      <c r="J4" t="s">
        <v>547</v>
      </c>
      <c r="K4" s="7">
        <v>15000</v>
      </c>
      <c r="L4" s="2" t="str" cm="1">
        <f t="array" ref="L4">_xlfn.IFS(Table14[[#This Row],[Treatment Cost]]&lt;50000,"Low Billing",Table14[[#This Row],[Treatment Cost]]&lt;200000,"Moderate Billing",Table14[[#This Row],[Treatment Cost]]&gt;=200000,"High Billing")</f>
        <v>Low Billing</v>
      </c>
      <c r="M4" t="s">
        <v>8</v>
      </c>
      <c r="N4" t="str">
        <f>IF(AND(Table14[[#This Row],[Outcome]]="Follow-up",Table14[[#This Row],[Admission Status]]="Patient Discharged"),"High Risk Patient","Low Risk Patient")</f>
        <v>High Risk Patient</v>
      </c>
      <c r="O4" t="str">
        <f>IFERROR(VLOOKUP(Table14[[#This Row],[Department]],Doctor_Info!A:D,2,FALSE), "")</f>
        <v>Dr. George</v>
      </c>
      <c r="P4" t="str">
        <f>IF(COUNTIF(A:A,Table14[[#This Row],[Patient ID]]&gt;1),"Returning Patient","New Patient")</f>
        <v>New Patient</v>
      </c>
      <c r="Q4" t="str">
        <f>_xlfn.XLOOKUP(Table14[[#This Row],[Department]], Doctor_Info!A:A, Doctor_Info!C:C, "")&amp;""</f>
        <v>405</v>
      </c>
      <c r="R4" t="str">
        <f>TEXT(Table14[[#This Row],[Admission Date]],"ddd")</f>
        <v>Fri</v>
      </c>
      <c r="S4" t="str">
        <f>TEXT(Table14[[#This Row],[Admission Date]],"mmm")</f>
        <v>Jan</v>
      </c>
      <c r="T4" t="str">
        <f>TEXT(Table14[[#This Row],[Admission Date]],"yyyy")</f>
        <v>2024</v>
      </c>
      <c r="U4" t="str">
        <f>TEXT(Table14[[#This Row],[Admission Date]],"mmm-yyyy")</f>
        <v>Jan-2024</v>
      </c>
      <c r="V4">
        <f t="shared" ca="1" si="0"/>
        <v>8</v>
      </c>
    </row>
    <row r="5" spans="1:22" x14ac:dyDescent="0.2">
      <c r="A5" t="s">
        <v>17</v>
      </c>
      <c r="B5" s="3">
        <v>45301</v>
      </c>
      <c r="C5" s="3">
        <v>45303</v>
      </c>
      <c r="D5">
        <f ca="1">IF(ISBLANK(Table14[[#This Row],[Discharge Date]]),TODAY()-Table14[[#This Row],[Admission Date]], Table14[[#This Row],[Discharge Date]]-Table14[[#This Row],[Admission Date]])</f>
        <v>2</v>
      </c>
      <c r="E5" s="6" t="str">
        <f>IF(Table14[[#This Row],[Discharge Date]]="","Still Admitted","Patient Discharged")</f>
        <v>Patient Discharged</v>
      </c>
      <c r="F5" s="6" t="str">
        <f>IF(WEEKDAY(Table14[[#This Row],[Admission Date]],2)&gt;5,"Weekend","Weekday")</f>
        <v>Weekday</v>
      </c>
      <c r="G5" t="s">
        <v>11</v>
      </c>
      <c r="H5">
        <v>8</v>
      </c>
      <c r="I5" t="str" cm="1">
        <f t="array" ref="I5">_xlfn.IFS(Table14[[#This Row],[Age]]&lt;18,"Children",Table14[[#This Row],[Age]]&lt;50,"Adult",Table14[[#This Row],[Age]]&gt;=50,"Elderly")</f>
        <v>Children</v>
      </c>
      <c r="J5" t="s">
        <v>546</v>
      </c>
      <c r="K5" s="7">
        <v>250000</v>
      </c>
      <c r="L5" s="2" t="str" cm="1">
        <f t="array" ref="L5">_xlfn.IFS(Table14[[#This Row],[Treatment Cost]]&lt;50000,"Low Billing",Table14[[#This Row],[Treatment Cost]]&lt;200000,"Moderate Billing",Table14[[#This Row],[Treatment Cost]]&gt;=200000,"High Billing")</f>
        <v>High Billing</v>
      </c>
      <c r="M5" t="s">
        <v>8</v>
      </c>
      <c r="N5" t="str">
        <f>IF(AND(Table14[[#This Row],[Outcome]]="Follow-up",Table14[[#This Row],[Admission Status]]="Patient Discharged"),"High Risk Patient","Low Risk Patient")</f>
        <v>High Risk Patient</v>
      </c>
      <c r="O5" t="str">
        <f>IFERROR(VLOOKUP(Table14[[#This Row],[Department]],Doctor_Info!A:D,2,FALSE), "")</f>
        <v>Dr. Segun</v>
      </c>
      <c r="P5" t="str">
        <f>IF(COUNTIF(A:A,Table14[[#This Row],[Patient ID]]&gt;1),"Returning Patient","New Patient")</f>
        <v>New Patient</v>
      </c>
      <c r="Q5" t="str">
        <f>_xlfn.XLOOKUP(Table14[[#This Row],[Department]], Doctor_Info!A:A, Doctor_Info!C:C, "")&amp;""</f>
        <v>210</v>
      </c>
      <c r="R5" t="str">
        <f>TEXT(Table14[[#This Row],[Admission Date]],"ddd")</f>
        <v>Wed</v>
      </c>
      <c r="S5" t="str">
        <f>TEXT(Table14[[#This Row],[Admission Date]],"mmm")</f>
        <v>Jan</v>
      </c>
      <c r="T5" t="str">
        <f>TEXT(Table14[[#This Row],[Admission Date]],"yyyy")</f>
        <v>2024</v>
      </c>
      <c r="U5" t="str">
        <f>TEXT(Table14[[#This Row],[Admission Date]],"mmm-yyyy")</f>
        <v>Jan-2024</v>
      </c>
      <c r="V5">
        <f t="shared" ca="1" si="0"/>
        <v>8</v>
      </c>
    </row>
    <row r="6" spans="1:22" x14ac:dyDescent="0.2">
      <c r="A6" t="s">
        <v>18</v>
      </c>
      <c r="B6" s="3">
        <v>45321</v>
      </c>
      <c r="C6" s="3">
        <v>45322</v>
      </c>
      <c r="D6">
        <f ca="1">IF(ISBLANK(Table14[[#This Row],[Discharge Date]]),TODAY()-Table14[[#This Row],[Admission Date]], Table14[[#This Row],[Discharge Date]]-Table14[[#This Row],[Admission Date]])</f>
        <v>1</v>
      </c>
      <c r="E6" s="6" t="str">
        <f>IF(Table14[[#This Row],[Discharge Date]]="","Still Admitted","Patient Discharged")</f>
        <v>Patient Discharged</v>
      </c>
      <c r="F6" s="6" t="str">
        <f>IF(WEEKDAY(Table14[[#This Row],[Admission Date]],2)&gt;5,"Weekend","Weekday")</f>
        <v>Weekday</v>
      </c>
      <c r="G6" t="s">
        <v>528</v>
      </c>
      <c r="H6">
        <v>31</v>
      </c>
      <c r="I6" t="str" cm="1">
        <f t="array" ref="I6">_xlfn.IFS(Table14[[#This Row],[Age]]&lt;18,"Children",Table14[[#This Row],[Age]]&lt;50,"Adult",Table14[[#This Row],[Age]]&gt;=50,"Elderly")</f>
        <v>Adult</v>
      </c>
      <c r="J6" t="s">
        <v>546</v>
      </c>
      <c r="K6" s="7">
        <v>1100</v>
      </c>
      <c r="L6" s="2" t="str" cm="1">
        <f t="array" ref="L6">_xlfn.IFS(Table14[[#This Row],[Treatment Cost]]&lt;50000,"Low Billing",Table14[[#This Row],[Treatment Cost]]&lt;200000,"Moderate Billing",Table14[[#This Row],[Treatment Cost]]&gt;=200000,"High Billing")</f>
        <v>Low Billing</v>
      </c>
      <c r="M6" t="s">
        <v>6</v>
      </c>
      <c r="N6" t="str">
        <f>IF(AND(Table14[[#This Row],[Outcome]]="Follow-up",Table14[[#This Row],[Admission Status]]="Patient Discharged"),"High Risk Patient","Low Risk Patient")</f>
        <v>Low Risk Patient</v>
      </c>
      <c r="O6" t="str">
        <f>IFERROR(VLOOKUP(Table14[[#This Row],[Department]],Doctor_Info!A:D,2,FALSE), "")</f>
        <v>Dr. Kofi</v>
      </c>
      <c r="P6" t="str">
        <f>IF(COUNTIF(A:A,Table14[[#This Row],[Patient ID]]&gt;1),"Returning Patient","New Patient")</f>
        <v>New Patient</v>
      </c>
      <c r="Q6" t="str">
        <f>_xlfn.XLOOKUP(Table14[[#This Row],[Department]], Doctor_Info!A:A, Doctor_Info!C:C, "")&amp;""</f>
        <v>102</v>
      </c>
      <c r="R6" t="str">
        <f>TEXT(Table14[[#This Row],[Admission Date]],"ddd")</f>
        <v>Tue</v>
      </c>
      <c r="S6" t="str">
        <f>TEXT(Table14[[#This Row],[Admission Date]],"mmm")</f>
        <v>Jan</v>
      </c>
      <c r="T6" t="str">
        <f>TEXT(Table14[[#This Row],[Admission Date]],"yyyy")</f>
        <v>2024</v>
      </c>
      <c r="U6" t="str">
        <f>TEXT(Table14[[#This Row],[Admission Date]],"mmm-yyyy")</f>
        <v>Jan-2024</v>
      </c>
      <c r="V6">
        <f t="shared" ca="1" si="0"/>
        <v>8</v>
      </c>
    </row>
    <row r="7" spans="1:22" x14ac:dyDescent="0.2">
      <c r="A7" t="s">
        <v>19</v>
      </c>
      <c r="B7" s="3">
        <v>45306</v>
      </c>
      <c r="C7" s="3">
        <v>45313</v>
      </c>
      <c r="D7">
        <f ca="1">IF(ISBLANK(Table14[[#This Row],[Discharge Date]]),TODAY()-Table14[[#This Row],[Admission Date]], Table14[[#This Row],[Discharge Date]]-Table14[[#This Row],[Admission Date]])</f>
        <v>7</v>
      </c>
      <c r="E7" s="6" t="str">
        <f>IF(Table14[[#This Row],[Discharge Date]]="","Still Admitted","Patient Discharged")</f>
        <v>Patient Discharged</v>
      </c>
      <c r="F7" s="6" t="str">
        <f>IF(WEEKDAY(Table14[[#This Row],[Admission Date]],2)&gt;5,"Weekend","Weekday")</f>
        <v>Weekday</v>
      </c>
      <c r="G7" t="s">
        <v>7</v>
      </c>
      <c r="H7">
        <v>72</v>
      </c>
      <c r="I7" t="str" cm="1">
        <f t="array" ref="I7">_xlfn.IFS(Table14[[#This Row],[Age]]&lt;18,"Children",Table14[[#This Row],[Age]]&lt;50,"Adult",Table14[[#This Row],[Age]]&gt;=50,"Elderly")</f>
        <v>Elderly</v>
      </c>
      <c r="J7" t="s">
        <v>547</v>
      </c>
      <c r="K7" s="7">
        <v>9200</v>
      </c>
      <c r="L7" s="2" t="str" cm="1">
        <f t="array" ref="L7">_xlfn.IFS(Table14[[#This Row],[Treatment Cost]]&lt;50000,"Low Billing",Table14[[#This Row],[Treatment Cost]]&lt;200000,"Moderate Billing",Table14[[#This Row],[Treatment Cost]]&gt;=200000,"High Billing")</f>
        <v>Low Billing</v>
      </c>
      <c r="M7" t="s">
        <v>8</v>
      </c>
      <c r="N7" t="str">
        <f>IF(AND(Table14[[#This Row],[Outcome]]="Follow-up",Table14[[#This Row],[Admission Status]]="Patient Discharged"),"High Risk Patient","Low Risk Patient")</f>
        <v>High Risk Patient</v>
      </c>
      <c r="O7" t="str">
        <f>IFERROR(VLOOKUP(Table14[[#This Row],[Department]],Doctor_Info!A:D,2,FALSE), "")</f>
        <v>Dr. Ada</v>
      </c>
      <c r="P7" t="str">
        <f>IF(COUNTIF(A:A,Table14[[#This Row],[Patient ID]]&gt;1),"Returning Patient","New Patient")</f>
        <v>New Patient</v>
      </c>
      <c r="Q7" t="str">
        <f>_xlfn.XLOOKUP(Table14[[#This Row],[Department]], Doctor_Info!A:A, Doctor_Info!C:C, "")&amp;""</f>
        <v>301</v>
      </c>
      <c r="R7" t="str">
        <f>TEXT(Table14[[#This Row],[Admission Date]],"ddd")</f>
        <v>Mon</v>
      </c>
      <c r="S7" t="str">
        <f>TEXT(Table14[[#This Row],[Admission Date]],"mmm")</f>
        <v>Jan</v>
      </c>
      <c r="T7" t="str">
        <f>TEXT(Table14[[#This Row],[Admission Date]],"yyyy")</f>
        <v>2024</v>
      </c>
      <c r="U7" t="str">
        <f>TEXT(Table14[[#This Row],[Admission Date]],"mmm-yyyy")</f>
        <v>Jan-2024</v>
      </c>
      <c r="V7">
        <f t="shared" ca="1" si="0"/>
        <v>8</v>
      </c>
    </row>
    <row r="8" spans="1:22" x14ac:dyDescent="0.2">
      <c r="A8" t="s">
        <v>20</v>
      </c>
      <c r="B8" s="3">
        <v>45309</v>
      </c>
      <c r="D8">
        <f ca="1">IF(ISBLANK(Table14[[#This Row],[Discharge Date]]),TODAY()-Table14[[#This Row],[Admission Date]], Table14[[#This Row],[Discharge Date]]-Table14[[#This Row],[Admission Date]])</f>
        <v>829</v>
      </c>
      <c r="E8" s="6" t="str">
        <f>IF(Table14[[#This Row],[Discharge Date]]="","Still Admitted","Patient Discharged")</f>
        <v>Still Admitted</v>
      </c>
      <c r="F8" s="6" t="str">
        <f>IF(WEEKDAY(Table14[[#This Row],[Admission Date]],2)&gt;5,"Weekend","Weekday")</f>
        <v>Weekday</v>
      </c>
      <c r="G8" t="s">
        <v>12</v>
      </c>
      <c r="H8">
        <v>41</v>
      </c>
      <c r="I8" t="str" cm="1">
        <f t="array" ref="I8">_xlfn.IFS(Table14[[#This Row],[Age]]&lt;18,"Children",Table14[[#This Row],[Age]]&lt;50,"Adult",Table14[[#This Row],[Age]]&gt;=50,"Elderly")</f>
        <v>Adult</v>
      </c>
      <c r="J8" t="s">
        <v>546</v>
      </c>
      <c r="K8" s="7">
        <v>4500</v>
      </c>
      <c r="L8" s="2" t="str" cm="1">
        <f t="array" ref="L8">_xlfn.IFS(Table14[[#This Row],[Treatment Cost]]&lt;50000,"Low Billing",Table14[[#This Row],[Treatment Cost]]&lt;200000,"Moderate Billing",Table14[[#This Row],[Treatment Cost]]&gt;=200000,"High Billing")</f>
        <v>Low Billing</v>
      </c>
      <c r="M8" t="s">
        <v>403</v>
      </c>
      <c r="N8" t="str">
        <f>IF(AND(Table14[[#This Row],[Outcome]]="Follow-up",Table14[[#This Row],[Admission Status]]="Patient Discharged"),"High Risk Patient","Low Risk Patient")</f>
        <v>Low Risk Patient</v>
      </c>
      <c r="O8" t="str">
        <f>IFERROR(VLOOKUP(Table14[[#This Row],[Department]],Doctor_Info!A:D,2,FALSE), "")</f>
        <v>Dr. Temi</v>
      </c>
      <c r="P8" t="str">
        <f>IF(COUNTIF(A:A,Table14[[#This Row],[Patient ID]]&gt;1),"Returning Patient","New Patient")</f>
        <v>New Patient</v>
      </c>
      <c r="Q8" t="str">
        <f>_xlfn.XLOOKUP(Table14[[#This Row],[Department]], Doctor_Info!A:A, Doctor_Info!C:C, "")&amp;""</f>
        <v>502</v>
      </c>
      <c r="R8" t="str">
        <f>TEXT(Table14[[#This Row],[Admission Date]],"ddd")</f>
        <v>Thu</v>
      </c>
      <c r="S8" t="str">
        <f>TEXT(Table14[[#This Row],[Admission Date]],"mmm")</f>
        <v>Jan</v>
      </c>
      <c r="T8" t="str">
        <f>TEXT(Table14[[#This Row],[Admission Date]],"yyyy")</f>
        <v>2024</v>
      </c>
      <c r="U8" t="str">
        <f>TEXT(Table14[[#This Row],[Admission Date]],"mmm-yyyy")</f>
        <v>Jan-2024</v>
      </c>
      <c r="V8">
        <f t="shared" ca="1" si="0"/>
        <v>8</v>
      </c>
    </row>
    <row r="9" spans="1:22" x14ac:dyDescent="0.2">
      <c r="A9" t="s">
        <v>21</v>
      </c>
      <c r="B9" s="3">
        <v>45311</v>
      </c>
      <c r="C9" s="3">
        <v>45321</v>
      </c>
      <c r="D9">
        <f ca="1">IF(ISBLANK(Table14[[#This Row],[Discharge Date]]),TODAY()-Table14[[#This Row],[Admission Date]], Table14[[#This Row],[Discharge Date]]-Table14[[#This Row],[Admission Date]])</f>
        <v>10</v>
      </c>
      <c r="E9" s="6" t="str">
        <f>IF(Table14[[#This Row],[Discharge Date]]="","Still Admitted","Patient Discharged")</f>
        <v>Patient Discharged</v>
      </c>
      <c r="F9" s="6" t="str">
        <f>IF(WEEKDAY(Table14[[#This Row],[Admission Date]],2)&gt;5,"Weekend","Weekday")</f>
        <v>Weekend</v>
      </c>
      <c r="G9" t="s">
        <v>10</v>
      </c>
      <c r="H9">
        <v>61</v>
      </c>
      <c r="I9" t="str" cm="1">
        <f t="array" ref="I9">_xlfn.IFS(Table14[[#This Row],[Age]]&lt;18,"Children",Table14[[#This Row],[Age]]&lt;50,"Adult",Table14[[#This Row],[Age]]&gt;=50,"Elderly")</f>
        <v>Elderly</v>
      </c>
      <c r="J9" t="s">
        <v>547</v>
      </c>
      <c r="K9" s="7">
        <v>14000</v>
      </c>
      <c r="L9" s="2" t="str" cm="1">
        <f t="array" ref="L9">_xlfn.IFS(Table14[[#This Row],[Treatment Cost]]&lt;50000,"Low Billing",Table14[[#This Row],[Treatment Cost]]&lt;200000,"Moderate Billing",Table14[[#This Row],[Treatment Cost]]&gt;=200000,"High Billing")</f>
        <v>Low Billing</v>
      </c>
      <c r="M9" t="s">
        <v>6</v>
      </c>
      <c r="N9" t="str">
        <f>IF(AND(Table14[[#This Row],[Outcome]]="Follow-up",Table14[[#This Row],[Admission Status]]="Patient Discharged"),"High Risk Patient","Low Risk Patient")</f>
        <v>Low Risk Patient</v>
      </c>
      <c r="O9" t="str">
        <f>IFERROR(VLOOKUP(Table14[[#This Row],[Department]],Doctor_Info!A:D,2,FALSE), "")</f>
        <v>Dr. George</v>
      </c>
      <c r="P9" t="str">
        <f>IF(COUNTIF(A:A,Table14[[#This Row],[Patient ID]]&gt;1),"Returning Patient","New Patient")</f>
        <v>New Patient</v>
      </c>
      <c r="Q9" t="str">
        <f>_xlfn.XLOOKUP(Table14[[#This Row],[Department]], Doctor_Info!A:A, Doctor_Info!C:C, "")&amp;""</f>
        <v>405</v>
      </c>
      <c r="R9" t="str">
        <f>TEXT(Table14[[#This Row],[Admission Date]],"ddd")</f>
        <v>Sat</v>
      </c>
      <c r="S9" t="str">
        <f>TEXT(Table14[[#This Row],[Admission Date]],"mmm")</f>
        <v>Jan</v>
      </c>
      <c r="T9" t="str">
        <f>TEXT(Table14[[#This Row],[Admission Date]],"yyyy")</f>
        <v>2024</v>
      </c>
      <c r="U9" t="str">
        <f>TEXT(Table14[[#This Row],[Admission Date]],"mmm-yyyy")</f>
        <v>Jan-2024</v>
      </c>
      <c r="V9">
        <f t="shared" ca="1" si="0"/>
        <v>8</v>
      </c>
    </row>
    <row r="10" spans="1:22" x14ac:dyDescent="0.2">
      <c r="A10" t="s">
        <v>22</v>
      </c>
      <c r="B10" s="3">
        <v>45313</v>
      </c>
      <c r="C10" s="3">
        <v>45314</v>
      </c>
      <c r="D10">
        <f ca="1">IF(ISBLANK(Table14[[#This Row],[Discharge Date]]),TODAY()-Table14[[#This Row],[Admission Date]], Table14[[#This Row],[Discharge Date]]-Table14[[#This Row],[Admission Date]])</f>
        <v>1</v>
      </c>
      <c r="E10" s="6" t="str">
        <f>IF(Table14[[#This Row],[Discharge Date]]="","Still Admitted","Patient Discharged")</f>
        <v>Patient Discharged</v>
      </c>
      <c r="F10" s="6" t="str">
        <f>IF(WEEKDAY(Table14[[#This Row],[Admission Date]],2)&gt;5,"Weekend","Weekday")</f>
        <v>Weekday</v>
      </c>
      <c r="G10" t="s">
        <v>528</v>
      </c>
      <c r="H10">
        <v>19</v>
      </c>
      <c r="I10" t="str" cm="1">
        <f t="array" ref="I10">_xlfn.IFS(Table14[[#This Row],[Age]]&lt;18,"Children",Table14[[#This Row],[Age]]&lt;50,"Adult",Table14[[#This Row],[Age]]&gt;=50,"Elderly")</f>
        <v>Adult</v>
      </c>
      <c r="J10" t="s">
        <v>546</v>
      </c>
      <c r="K10" s="7">
        <v>850</v>
      </c>
      <c r="L10" s="2" t="str" cm="1">
        <f t="array" ref="L10">_xlfn.IFS(Table14[[#This Row],[Treatment Cost]]&lt;50000,"Low Billing",Table14[[#This Row],[Treatment Cost]]&lt;200000,"Moderate Billing",Table14[[#This Row],[Treatment Cost]]&gt;=200000,"High Billing")</f>
        <v>Low Billing</v>
      </c>
      <c r="M10" t="s">
        <v>6</v>
      </c>
      <c r="N10" t="str">
        <f>IF(AND(Table14[[#This Row],[Outcome]]="Follow-up",Table14[[#This Row],[Admission Status]]="Patient Discharged"),"High Risk Patient","Low Risk Patient")</f>
        <v>Low Risk Patient</v>
      </c>
      <c r="O10" t="str">
        <f>IFERROR(VLOOKUP(Table14[[#This Row],[Department]],Doctor_Info!A:D,2,FALSE), "")</f>
        <v>Dr. Kofi</v>
      </c>
      <c r="P10" t="str">
        <f>IF(COUNTIF(A:A,Table14[[#This Row],[Patient ID]]&gt;1),"Returning Patient","New Patient")</f>
        <v>New Patient</v>
      </c>
      <c r="Q10" t="str">
        <f>_xlfn.XLOOKUP(Table14[[#This Row],[Department]], Doctor_Info!A:A, Doctor_Info!C:C, "")&amp;""</f>
        <v>102</v>
      </c>
      <c r="R10" t="str">
        <f>TEXT(Table14[[#This Row],[Admission Date]],"ddd")</f>
        <v>Mon</v>
      </c>
      <c r="S10" t="str">
        <f>TEXT(Table14[[#This Row],[Admission Date]],"mmm")</f>
        <v>Jan</v>
      </c>
      <c r="T10" t="str">
        <f>TEXT(Table14[[#This Row],[Admission Date]],"yyyy")</f>
        <v>2024</v>
      </c>
      <c r="U10" t="str">
        <f>TEXT(Table14[[#This Row],[Admission Date]],"mmm-yyyy")</f>
        <v>Jan-2024</v>
      </c>
      <c r="V10">
        <f t="shared" ca="1" si="0"/>
        <v>8</v>
      </c>
    </row>
    <row r="11" spans="1:22" x14ac:dyDescent="0.2">
      <c r="A11" t="s">
        <v>23</v>
      </c>
      <c r="B11" s="3">
        <v>45316</v>
      </c>
      <c r="C11" s="3">
        <v>45319</v>
      </c>
      <c r="D11">
        <f ca="1">IF(ISBLANK(Table14[[#This Row],[Discharge Date]]),TODAY()-Table14[[#This Row],[Admission Date]], Table14[[#This Row],[Discharge Date]]-Table14[[#This Row],[Admission Date]])</f>
        <v>3</v>
      </c>
      <c r="E11" s="6" t="str">
        <f>IF(Table14[[#This Row],[Discharge Date]]="","Still Admitted","Patient Discharged")</f>
        <v>Patient Discharged</v>
      </c>
      <c r="F11" s="6" t="str">
        <f>IF(WEEKDAY(Table14[[#This Row],[Admission Date]],2)&gt;5,"Weekend","Weekday")</f>
        <v>Weekday</v>
      </c>
      <c r="G11" t="s">
        <v>11</v>
      </c>
      <c r="H11">
        <v>4</v>
      </c>
      <c r="I11" t="str" cm="1">
        <f t="array" ref="I11">_xlfn.IFS(Table14[[#This Row],[Age]]&lt;18,"Children",Table14[[#This Row],[Age]]&lt;50,"Adult",Table14[[#This Row],[Age]]&gt;=50,"Elderly")</f>
        <v>Children</v>
      </c>
      <c r="J11" t="s">
        <v>547</v>
      </c>
      <c r="K11" s="7">
        <v>180000</v>
      </c>
      <c r="L11" s="2" t="str" cm="1">
        <f t="array" ref="L11">_xlfn.IFS(Table14[[#This Row],[Treatment Cost]]&lt;50000,"Low Billing",Table14[[#This Row],[Treatment Cost]]&lt;200000,"Moderate Billing",Table14[[#This Row],[Treatment Cost]]&gt;=200000,"High Billing")</f>
        <v>Moderate Billing</v>
      </c>
      <c r="M11" t="s">
        <v>6</v>
      </c>
      <c r="N11" t="str">
        <f>IF(AND(Table14[[#This Row],[Outcome]]="Follow-up",Table14[[#This Row],[Admission Status]]="Patient Discharged"),"High Risk Patient","Low Risk Patient")</f>
        <v>Low Risk Patient</v>
      </c>
      <c r="O11" t="str">
        <f>IFERROR(VLOOKUP(Table14[[#This Row],[Department]],Doctor_Info!A:D,2,FALSE), "")</f>
        <v>Dr. Segun</v>
      </c>
      <c r="P11" t="str">
        <f>IF(COUNTIF(A:A,Table14[[#This Row],[Patient ID]]&gt;1),"Returning Patient","New Patient")</f>
        <v>New Patient</v>
      </c>
      <c r="Q11" t="str">
        <f>_xlfn.XLOOKUP(Table14[[#This Row],[Department]], Doctor_Info!A:A, Doctor_Info!C:C, "")&amp;""</f>
        <v>210</v>
      </c>
      <c r="R11" t="str">
        <f>TEXT(Table14[[#This Row],[Admission Date]],"ddd")</f>
        <v>Thu</v>
      </c>
      <c r="S11" t="str">
        <f>TEXT(Table14[[#This Row],[Admission Date]],"mmm")</f>
        <v>Jan</v>
      </c>
      <c r="T11" t="str">
        <f>TEXT(Table14[[#This Row],[Admission Date]],"yyyy")</f>
        <v>2024</v>
      </c>
      <c r="U11" t="str">
        <f>TEXT(Table14[[#This Row],[Admission Date]],"mmm-yyyy")</f>
        <v>Jan-2024</v>
      </c>
      <c r="V11">
        <f t="shared" ca="1" si="0"/>
        <v>8</v>
      </c>
    </row>
    <row r="12" spans="1:22" x14ac:dyDescent="0.2">
      <c r="A12" t="s">
        <v>24</v>
      </c>
      <c r="B12" s="3">
        <v>45319</v>
      </c>
      <c r="C12" s="3">
        <v>45327</v>
      </c>
      <c r="D12">
        <f ca="1">IF(ISBLANK(Table14[[#This Row],[Discharge Date]]),TODAY()-Table14[[#This Row],[Admission Date]], Table14[[#This Row],[Discharge Date]]-Table14[[#This Row],[Admission Date]])</f>
        <v>8</v>
      </c>
      <c r="E12" s="6" t="str">
        <f>IF(Table14[[#This Row],[Discharge Date]]="","Still Admitted","Patient Discharged")</f>
        <v>Patient Discharged</v>
      </c>
      <c r="F12" s="6" t="str">
        <f>IF(WEEKDAY(Table14[[#This Row],[Admission Date]],2)&gt;5,"Weekend","Weekday")</f>
        <v>Weekend</v>
      </c>
      <c r="G12" t="s">
        <v>7</v>
      </c>
      <c r="H12">
        <v>55</v>
      </c>
      <c r="I12" t="str" cm="1">
        <f t="array" ref="I12">_xlfn.IFS(Table14[[#This Row],[Age]]&lt;18,"Children",Table14[[#This Row],[Age]]&lt;50,"Adult",Table14[[#This Row],[Age]]&gt;=50,"Elderly")</f>
        <v>Elderly</v>
      </c>
      <c r="J12" t="s">
        <v>546</v>
      </c>
      <c r="K12" s="7">
        <v>7600</v>
      </c>
      <c r="L12" s="2" t="str" cm="1">
        <f t="array" ref="L12">_xlfn.IFS(Table14[[#This Row],[Treatment Cost]]&lt;50000,"Low Billing",Table14[[#This Row],[Treatment Cost]]&lt;200000,"Moderate Billing",Table14[[#This Row],[Treatment Cost]]&gt;=200000,"High Billing")</f>
        <v>Low Billing</v>
      </c>
      <c r="M12" t="s">
        <v>8</v>
      </c>
      <c r="N12" t="str">
        <f>IF(AND(Table14[[#This Row],[Outcome]]="Follow-up",Table14[[#This Row],[Admission Status]]="Patient Discharged"),"High Risk Patient","Low Risk Patient")</f>
        <v>High Risk Patient</v>
      </c>
      <c r="O12" t="str">
        <f>IFERROR(VLOOKUP(Table14[[#This Row],[Department]],Doctor_Info!A:D,2,FALSE), "")</f>
        <v>Dr. Ada</v>
      </c>
      <c r="P12" t="str">
        <f>IF(COUNTIF(A:A,Table14[[#This Row],[Patient ID]]&gt;1),"Returning Patient","New Patient")</f>
        <v>New Patient</v>
      </c>
      <c r="Q12" t="str">
        <f>_xlfn.XLOOKUP(Table14[[#This Row],[Department]], Doctor_Info!A:A, Doctor_Info!C:C, "")&amp;""</f>
        <v>301</v>
      </c>
      <c r="R12" t="str">
        <f>TEXT(Table14[[#This Row],[Admission Date]],"ddd")</f>
        <v>Sun</v>
      </c>
      <c r="S12" t="str">
        <f>TEXT(Table14[[#This Row],[Admission Date]],"mmm")</f>
        <v>Jan</v>
      </c>
      <c r="T12" t="str">
        <f>TEXT(Table14[[#This Row],[Admission Date]],"yyyy")</f>
        <v>2024</v>
      </c>
      <c r="U12" t="str">
        <f>TEXT(Table14[[#This Row],[Admission Date]],"mmm-yyyy")</f>
        <v>Jan-2024</v>
      </c>
      <c r="V12">
        <f t="shared" ca="1" si="0"/>
        <v>8</v>
      </c>
    </row>
    <row r="13" spans="1:22" x14ac:dyDescent="0.2">
      <c r="A13" t="s">
        <v>25</v>
      </c>
      <c r="B13" s="3">
        <v>45323</v>
      </c>
      <c r="C13" s="3">
        <v>45324</v>
      </c>
      <c r="D13">
        <f ca="1">IF(ISBLANK(Table14[[#This Row],[Discharge Date]]),TODAY()-Table14[[#This Row],[Admission Date]], Table14[[#This Row],[Discharge Date]]-Table14[[#This Row],[Admission Date]])</f>
        <v>1</v>
      </c>
      <c r="E13" s="6" t="str">
        <f>IF(Table14[[#This Row],[Discharge Date]]="","Still Admitted","Patient Discharged")</f>
        <v>Patient Discharged</v>
      </c>
      <c r="F13" s="6" t="str">
        <f>IF(WEEKDAY(Table14[[#This Row],[Admission Date]],2)&gt;5,"Weekend","Weekday")</f>
        <v>Weekday</v>
      </c>
      <c r="G13" t="s">
        <v>528</v>
      </c>
      <c r="H13">
        <v>33</v>
      </c>
      <c r="I13" t="str" cm="1">
        <f t="array" ref="I13">_xlfn.IFS(Table14[[#This Row],[Age]]&lt;18,"Children",Table14[[#This Row],[Age]]&lt;50,"Adult",Table14[[#This Row],[Age]]&gt;=50,"Elderly")</f>
        <v>Adult</v>
      </c>
      <c r="J13" t="s">
        <v>547</v>
      </c>
      <c r="K13" s="7">
        <v>1050</v>
      </c>
      <c r="L13" s="2" t="str" cm="1">
        <f t="array" ref="L13">_xlfn.IFS(Table14[[#This Row],[Treatment Cost]]&lt;50000,"Low Billing",Table14[[#This Row],[Treatment Cost]]&lt;200000,"Moderate Billing",Table14[[#This Row],[Treatment Cost]]&gt;=200000,"High Billing")</f>
        <v>Low Billing</v>
      </c>
      <c r="M13" t="s">
        <v>6</v>
      </c>
      <c r="N13" t="str">
        <f>IF(AND(Table14[[#This Row],[Outcome]]="Follow-up",Table14[[#This Row],[Admission Status]]="Patient Discharged"),"High Risk Patient","Low Risk Patient")</f>
        <v>Low Risk Patient</v>
      </c>
      <c r="O13" t="str">
        <f>IFERROR(VLOOKUP(Table14[[#This Row],[Department]],Doctor_Info!A:D,2,FALSE), "")</f>
        <v>Dr. Kofi</v>
      </c>
      <c r="P13" t="str">
        <f>IF(COUNTIF(A:A,Table14[[#This Row],[Patient ID]]&gt;1),"Returning Patient","New Patient")</f>
        <v>New Patient</v>
      </c>
      <c r="Q13" t="str">
        <f>_xlfn.XLOOKUP(Table14[[#This Row],[Department]], Doctor_Info!A:A, Doctor_Info!C:C, "")&amp;""</f>
        <v>102</v>
      </c>
      <c r="R13" t="str">
        <f>TEXT(Table14[[#This Row],[Admission Date]],"ddd")</f>
        <v>Thu</v>
      </c>
      <c r="S13" t="str">
        <f>TEXT(Table14[[#This Row],[Admission Date]],"mmm")</f>
        <v>Feb</v>
      </c>
      <c r="T13" t="str">
        <f>TEXT(Table14[[#This Row],[Admission Date]],"yyyy")</f>
        <v>2024</v>
      </c>
      <c r="U13" t="str">
        <f>TEXT(Table14[[#This Row],[Admission Date]],"mmm-yyyy")</f>
        <v>Feb-2024</v>
      </c>
      <c r="V13">
        <f t="shared" ca="1" si="0"/>
        <v>8</v>
      </c>
    </row>
    <row r="14" spans="1:22" x14ac:dyDescent="0.2">
      <c r="A14" t="s">
        <v>26</v>
      </c>
      <c r="B14" s="3">
        <v>45325</v>
      </c>
      <c r="C14" s="4">
        <v>45337</v>
      </c>
      <c r="D14" s="5">
        <f ca="1">IF(ISBLANK(Table14[[#This Row],[Discharge Date]]),TODAY()-Table14[[#This Row],[Admission Date]], Table14[[#This Row],[Discharge Date]]-Table14[[#This Row],[Admission Date]])</f>
        <v>12</v>
      </c>
      <c r="E14" s="6" t="str">
        <f>IF(Table14[[#This Row],[Discharge Date]]="","Still Admitted","Patient Discharged")</f>
        <v>Patient Discharged</v>
      </c>
      <c r="F14" s="6" t="str">
        <f>IF(WEEKDAY(Table14[[#This Row],[Admission Date]],2)&gt;5,"Weekend","Weekday")</f>
        <v>Weekend</v>
      </c>
      <c r="G14" t="s">
        <v>12</v>
      </c>
      <c r="H14">
        <v>68</v>
      </c>
      <c r="I14" t="str" cm="1">
        <f t="array" ref="I14">_xlfn.IFS(Table14[[#This Row],[Age]]&lt;18,"Children",Table14[[#This Row],[Age]]&lt;50,"Adult",Table14[[#This Row],[Age]]&gt;=50,"Elderly")</f>
        <v>Elderly</v>
      </c>
      <c r="J14" t="s">
        <v>546</v>
      </c>
      <c r="K14" s="7">
        <v>11000</v>
      </c>
      <c r="L14" s="2" t="str" cm="1">
        <f t="array" ref="L14">_xlfn.IFS(Table14[[#This Row],[Treatment Cost]]&lt;50000,"Low Billing",Table14[[#This Row],[Treatment Cost]]&lt;200000,"Moderate Billing",Table14[[#This Row],[Treatment Cost]]&gt;=200000,"High Billing")</f>
        <v>Low Billing</v>
      </c>
      <c r="M14" t="s">
        <v>8</v>
      </c>
      <c r="N14" t="str">
        <f>IF(AND(Table14[[#This Row],[Outcome]]="Follow-up",Table14[[#This Row],[Admission Status]]="Patient Discharged"),"High Risk Patient","Low Risk Patient")</f>
        <v>High Risk Patient</v>
      </c>
      <c r="O14" t="str">
        <f>IFERROR(VLOOKUP(Table14[[#This Row],[Department]],Doctor_Info!A:D,2,FALSE), "")</f>
        <v>Dr. Temi</v>
      </c>
      <c r="P14" t="str">
        <f>IF(COUNTIF(A:A,Table14[[#This Row],[Patient ID]]&gt;1),"Returning Patient","New Patient")</f>
        <v>New Patient</v>
      </c>
      <c r="Q14" t="str">
        <f>_xlfn.XLOOKUP(Table14[[#This Row],[Department]], Doctor_Info!A:A, Doctor_Info!C:C, "")&amp;""</f>
        <v>502</v>
      </c>
      <c r="R14" t="str">
        <f>TEXT(Table14[[#This Row],[Admission Date]],"ddd")</f>
        <v>Sat</v>
      </c>
      <c r="S14" t="str">
        <f>TEXT(Table14[[#This Row],[Admission Date]],"mmm")</f>
        <v>Feb</v>
      </c>
      <c r="T14" t="str">
        <f>TEXT(Table14[[#This Row],[Admission Date]],"yyyy")</f>
        <v>2024</v>
      </c>
      <c r="U14" t="str">
        <f>TEXT(Table14[[#This Row],[Admission Date]],"mmm-yyyy")</f>
        <v>Feb-2024</v>
      </c>
      <c r="V14">
        <f t="shared" ca="1" si="0"/>
        <v>8</v>
      </c>
    </row>
    <row r="15" spans="1:22" x14ac:dyDescent="0.2">
      <c r="A15" t="s">
        <v>27</v>
      </c>
      <c r="B15" s="3">
        <v>45327</v>
      </c>
      <c r="C15" s="3">
        <v>45328</v>
      </c>
      <c r="D15">
        <f ca="1">IF(ISBLANK(Table14[[#This Row],[Discharge Date]]),TODAY()-Table14[[#This Row],[Admission Date]], Table14[[#This Row],[Discharge Date]]-Table14[[#This Row],[Admission Date]])</f>
        <v>1</v>
      </c>
      <c r="E15" s="6" t="str">
        <f>IF(Table14[[#This Row],[Discharge Date]]="","Still Admitted","Patient Discharged")</f>
        <v>Patient Discharged</v>
      </c>
      <c r="F15" s="6" t="str">
        <f>IF(WEEKDAY(Table14[[#This Row],[Admission Date]],2)&gt;5,"Weekend","Weekday")</f>
        <v>Weekday</v>
      </c>
      <c r="G15" t="s">
        <v>528</v>
      </c>
      <c r="H15">
        <v>25</v>
      </c>
      <c r="I15" t="str" cm="1">
        <f t="array" ref="I15">_xlfn.IFS(Table14[[#This Row],[Age]]&lt;18,"Children",Table14[[#This Row],[Age]]&lt;50,"Adult",Table14[[#This Row],[Age]]&gt;=50,"Elderly")</f>
        <v>Adult</v>
      </c>
      <c r="J15" t="s">
        <v>547</v>
      </c>
      <c r="K15" s="7">
        <v>950</v>
      </c>
      <c r="L15" s="2" t="str" cm="1">
        <f t="array" ref="L15">_xlfn.IFS(Table14[[#This Row],[Treatment Cost]]&lt;50000,"Low Billing",Table14[[#This Row],[Treatment Cost]]&lt;200000,"Moderate Billing",Table14[[#This Row],[Treatment Cost]]&gt;=200000,"High Billing")</f>
        <v>Low Billing</v>
      </c>
      <c r="M15" t="s">
        <v>6</v>
      </c>
      <c r="N15" t="str">
        <f>IF(AND(Table14[[#This Row],[Outcome]]="Follow-up",Table14[[#This Row],[Admission Status]]="Patient Discharged"),"High Risk Patient","Low Risk Patient")</f>
        <v>Low Risk Patient</v>
      </c>
      <c r="O15" t="str">
        <f>IFERROR(VLOOKUP(Table14[[#This Row],[Department]],Doctor_Info!A:D,2,FALSE), "")</f>
        <v>Dr. Kofi</v>
      </c>
      <c r="P15" t="str">
        <f>IF(COUNTIF(A:A,Table14[[#This Row],[Patient ID]]&gt;1),"Returning Patient","New Patient")</f>
        <v>New Patient</v>
      </c>
      <c r="Q15" t="str">
        <f>_xlfn.XLOOKUP(Table14[[#This Row],[Department]], Doctor_Info!A:A, Doctor_Info!C:C, "")&amp;""</f>
        <v>102</v>
      </c>
      <c r="R15" t="str">
        <f>TEXT(Table14[[#This Row],[Admission Date]],"ddd")</f>
        <v>Mon</v>
      </c>
      <c r="S15" t="str">
        <f>TEXT(Table14[[#This Row],[Admission Date]],"mmm")</f>
        <v>Feb</v>
      </c>
      <c r="T15" t="str">
        <f>TEXT(Table14[[#This Row],[Admission Date]],"yyyy")</f>
        <v>2024</v>
      </c>
      <c r="U15" t="str">
        <f>TEXT(Table14[[#This Row],[Admission Date]],"mmm-yyyy")</f>
        <v>Feb-2024</v>
      </c>
      <c r="V15">
        <f t="shared" ca="1" si="0"/>
        <v>8</v>
      </c>
    </row>
    <row r="16" spans="1:22" x14ac:dyDescent="0.2">
      <c r="A16" t="s">
        <v>28</v>
      </c>
      <c r="B16" s="3">
        <v>45332</v>
      </c>
      <c r="D16">
        <f ca="1">IF(ISBLANK(Table14[[#This Row],[Discharge Date]]),TODAY()-Table14[[#This Row],[Admission Date]], Table14[[#This Row],[Discharge Date]]-Table14[[#This Row],[Admission Date]])</f>
        <v>806</v>
      </c>
      <c r="E16" s="6" t="str">
        <f>IF(Table14[[#This Row],[Discharge Date]]="","Still Admitted","Patient Discharged")</f>
        <v>Still Admitted</v>
      </c>
      <c r="F16" s="6" t="str">
        <f>IF(WEEKDAY(Table14[[#This Row],[Admission Date]],2)&gt;5,"Weekend","Weekday")</f>
        <v>Weekend</v>
      </c>
      <c r="G16" t="s">
        <v>10</v>
      </c>
      <c r="H16">
        <v>49</v>
      </c>
      <c r="I16" t="str" cm="1">
        <f t="array" ref="I16">_xlfn.IFS(Table14[[#This Row],[Age]]&lt;18,"Children",Table14[[#This Row],[Age]]&lt;50,"Adult",Table14[[#This Row],[Age]]&gt;=50,"Elderly")</f>
        <v>Adult</v>
      </c>
      <c r="J16" t="s">
        <v>547</v>
      </c>
      <c r="K16" s="7">
        <v>12500</v>
      </c>
      <c r="L16" s="2" t="str" cm="1">
        <f t="array" ref="L16">_xlfn.IFS(Table14[[#This Row],[Treatment Cost]]&lt;50000,"Low Billing",Table14[[#This Row],[Treatment Cost]]&lt;200000,"Moderate Billing",Table14[[#This Row],[Treatment Cost]]&gt;=200000,"High Billing")</f>
        <v>Low Billing</v>
      </c>
      <c r="M16" t="s">
        <v>403</v>
      </c>
      <c r="N16" t="str">
        <f>IF(AND(Table14[[#This Row],[Outcome]]="Follow-up",Table14[[#This Row],[Admission Status]]="Patient Discharged"),"High Risk Patient","Low Risk Patient")</f>
        <v>Low Risk Patient</v>
      </c>
      <c r="O16" t="str">
        <f>IFERROR(VLOOKUP(Table14[[#This Row],[Department]],Doctor_Info!A:D,2,FALSE), "")</f>
        <v>Dr. George</v>
      </c>
      <c r="P16" t="str">
        <f>IF(COUNTIF(A:A,Table14[[#This Row],[Patient ID]]&gt;1),"Returning Patient","New Patient")</f>
        <v>New Patient</v>
      </c>
      <c r="Q16" t="str">
        <f>_xlfn.XLOOKUP(Table14[[#This Row],[Department]], Doctor_Info!A:A, Doctor_Info!C:C, "")&amp;""</f>
        <v>405</v>
      </c>
      <c r="R16" t="str">
        <f>TEXT(Table14[[#This Row],[Admission Date]],"ddd")</f>
        <v>Sat</v>
      </c>
      <c r="S16" t="str">
        <f>TEXT(Table14[[#This Row],[Admission Date]],"mmm")</f>
        <v>Feb</v>
      </c>
      <c r="T16" t="str">
        <f>TEXT(Table14[[#This Row],[Admission Date]],"yyyy")</f>
        <v>2024</v>
      </c>
      <c r="U16" t="str">
        <f>TEXT(Table14[[#This Row],[Admission Date]],"mmm-yyyy")</f>
        <v>Feb-2024</v>
      </c>
      <c r="V16">
        <f t="shared" ca="1" si="0"/>
        <v>8</v>
      </c>
    </row>
    <row r="17" spans="1:22" x14ac:dyDescent="0.2">
      <c r="A17" t="s">
        <v>29</v>
      </c>
      <c r="B17" s="3">
        <v>45319</v>
      </c>
      <c r="C17" s="3">
        <v>45327</v>
      </c>
      <c r="D17">
        <f ca="1">IF(ISBLANK(Table14[[#This Row],[Discharge Date]]),TODAY()-Table14[[#This Row],[Admission Date]], Table14[[#This Row],[Discharge Date]]-Table14[[#This Row],[Admission Date]])</f>
        <v>8</v>
      </c>
      <c r="E17" s="6" t="str">
        <f>IF(Table14[[#This Row],[Discharge Date]]="","Still Admitted","Patient Discharged")</f>
        <v>Patient Discharged</v>
      </c>
      <c r="F17" s="6" t="str">
        <f>IF(WEEKDAY(Table14[[#This Row],[Admission Date]],2)&gt;5,"Weekend","Weekday")</f>
        <v>Weekend</v>
      </c>
      <c r="G17" t="s">
        <v>7</v>
      </c>
      <c r="H17">
        <v>40</v>
      </c>
      <c r="I17" t="str" cm="1">
        <f t="array" ref="I17">_xlfn.IFS(Table14[[#This Row],[Age]]&lt;18,"Children",Table14[[#This Row],[Age]]&lt;50,"Adult",Table14[[#This Row],[Age]]&gt;=50,"Elderly")</f>
        <v>Adult</v>
      </c>
      <c r="J17" t="s">
        <v>546</v>
      </c>
      <c r="K17" s="7">
        <v>9530</v>
      </c>
      <c r="L17" s="2" t="str" cm="1">
        <f t="array" ref="L17">_xlfn.IFS(Table14[[#This Row],[Treatment Cost]]&lt;50000,"Low Billing",Table14[[#This Row],[Treatment Cost]]&lt;200000,"Moderate Billing",Table14[[#This Row],[Treatment Cost]]&gt;=200000,"High Billing")</f>
        <v>Low Billing</v>
      </c>
      <c r="M17" t="s">
        <v>8</v>
      </c>
      <c r="N17" t="str">
        <f>IF(AND(Table14[[#This Row],[Outcome]]="Follow-up",Table14[[#This Row],[Admission Status]]="Patient Discharged"),"High Risk Patient","Low Risk Patient")</f>
        <v>High Risk Patient</v>
      </c>
      <c r="O17" t="str">
        <f>IFERROR(VLOOKUP(Table14[[#This Row],[Department]],Doctor_Info!A:D,2,FALSE), "")</f>
        <v>Dr. Ada</v>
      </c>
      <c r="P17" t="str">
        <f>IF(COUNTIF(A:A,Table14[[#This Row],[Patient ID]]&gt;1),"Returning Patient","New Patient")</f>
        <v>New Patient</v>
      </c>
      <c r="Q17" t="str">
        <f>_xlfn.XLOOKUP(Table14[[#This Row],[Department]], Doctor_Info!A:A, Doctor_Info!C:C, "")&amp;""</f>
        <v>301</v>
      </c>
      <c r="R17" t="str">
        <f>TEXT(Table14[[#This Row],[Admission Date]],"ddd")</f>
        <v>Sun</v>
      </c>
      <c r="S17" t="str">
        <f>TEXT(Table14[[#This Row],[Admission Date]],"mmm")</f>
        <v>Jan</v>
      </c>
      <c r="T17" t="str">
        <f>TEXT(Table14[[#This Row],[Admission Date]],"yyyy")</f>
        <v>2024</v>
      </c>
      <c r="U17" t="str">
        <f>TEXT(Table14[[#This Row],[Admission Date]],"mmm-yyyy")</f>
        <v>Jan-2024</v>
      </c>
      <c r="V17">
        <f t="shared" ca="1" si="0"/>
        <v>8</v>
      </c>
    </row>
    <row r="18" spans="1:22" x14ac:dyDescent="0.2">
      <c r="A18" t="s">
        <v>30</v>
      </c>
      <c r="B18" s="3">
        <v>45323</v>
      </c>
      <c r="C18" s="3">
        <v>45324</v>
      </c>
      <c r="D18">
        <f ca="1">IF(ISBLANK(Table14[[#This Row],[Discharge Date]]),TODAY()-Table14[[#This Row],[Admission Date]], Table14[[#This Row],[Discharge Date]]-Table14[[#This Row],[Admission Date]])</f>
        <v>1</v>
      </c>
      <c r="E18" s="6" t="str">
        <f>IF(Table14[[#This Row],[Discharge Date]]="","Still Admitted","Patient Discharged")</f>
        <v>Patient Discharged</v>
      </c>
      <c r="F18" s="6" t="str">
        <f>IF(WEEKDAY(Table14[[#This Row],[Admission Date]],2)&gt;5,"Weekend","Weekday")</f>
        <v>Weekday</v>
      </c>
      <c r="G18" t="s">
        <v>528</v>
      </c>
      <c r="H18">
        <v>38</v>
      </c>
      <c r="I18" t="str" cm="1">
        <f t="array" ref="I18">_xlfn.IFS(Table14[[#This Row],[Age]]&lt;18,"Children",Table14[[#This Row],[Age]]&lt;50,"Adult",Table14[[#This Row],[Age]]&gt;=50,"Elderly")</f>
        <v>Adult</v>
      </c>
      <c r="J18" t="s">
        <v>547</v>
      </c>
      <c r="K18" s="7">
        <v>10500</v>
      </c>
      <c r="L18" s="2" t="str" cm="1">
        <f t="array" ref="L18">_xlfn.IFS(Table14[[#This Row],[Treatment Cost]]&lt;50000,"Low Billing",Table14[[#This Row],[Treatment Cost]]&lt;200000,"Moderate Billing",Table14[[#This Row],[Treatment Cost]]&gt;=200000,"High Billing")</f>
        <v>Low Billing</v>
      </c>
      <c r="M18" t="s">
        <v>6</v>
      </c>
      <c r="N18" t="str">
        <f>IF(AND(Table14[[#This Row],[Outcome]]="Follow-up",Table14[[#This Row],[Admission Status]]="Patient Discharged"),"High Risk Patient","Low Risk Patient")</f>
        <v>Low Risk Patient</v>
      </c>
      <c r="O18" t="str">
        <f>IFERROR(VLOOKUP(Table14[[#This Row],[Department]],Doctor_Info!A:D,2,FALSE), "")</f>
        <v>Dr. Kofi</v>
      </c>
      <c r="P18" t="str">
        <f>IF(COUNTIF(A:A,Table14[[#This Row],[Patient ID]]&gt;1),"Returning Patient","New Patient")</f>
        <v>New Patient</v>
      </c>
      <c r="Q18" t="str">
        <f>_xlfn.XLOOKUP(Table14[[#This Row],[Department]], Doctor_Info!A:A, Doctor_Info!C:C, "")&amp;""</f>
        <v>102</v>
      </c>
      <c r="R18" t="str">
        <f>TEXT(Table14[[#This Row],[Admission Date]],"ddd")</f>
        <v>Thu</v>
      </c>
      <c r="S18" t="str">
        <f>TEXT(Table14[[#This Row],[Admission Date]],"mmm")</f>
        <v>Feb</v>
      </c>
      <c r="T18" t="str">
        <f>TEXT(Table14[[#This Row],[Admission Date]],"yyyy")</f>
        <v>2024</v>
      </c>
      <c r="U18" t="str">
        <f>TEXT(Table14[[#This Row],[Admission Date]],"mmm-yyyy")</f>
        <v>Feb-2024</v>
      </c>
      <c r="V18">
        <f t="shared" ca="1" si="0"/>
        <v>8</v>
      </c>
    </row>
    <row r="19" spans="1:22" x14ac:dyDescent="0.2">
      <c r="A19" t="s">
        <v>31</v>
      </c>
      <c r="B19" s="3">
        <v>45325</v>
      </c>
      <c r="C19" s="3">
        <v>45337</v>
      </c>
      <c r="D19">
        <f ca="1">IF(ISBLANK(Table14[[#This Row],[Discharge Date]]),TODAY()-Table14[[#This Row],[Admission Date]], Table14[[#This Row],[Discharge Date]]-Table14[[#This Row],[Admission Date]])</f>
        <v>12</v>
      </c>
      <c r="E19" s="6" t="str">
        <f>IF(Table14[[#This Row],[Discharge Date]]="","Still Admitted","Patient Discharged")</f>
        <v>Patient Discharged</v>
      </c>
      <c r="F19" s="6" t="str">
        <f>IF(WEEKDAY(Table14[[#This Row],[Admission Date]],2)&gt;5,"Weekend","Weekday")</f>
        <v>Weekend</v>
      </c>
      <c r="G19" t="s">
        <v>12</v>
      </c>
      <c r="H19">
        <v>36</v>
      </c>
      <c r="I19" t="str" cm="1">
        <f t="array" ref="I19">_xlfn.IFS(Table14[[#This Row],[Age]]&lt;18,"Children",Table14[[#This Row],[Age]]&lt;50,"Adult",Table14[[#This Row],[Age]]&gt;=50,"Elderly")</f>
        <v>Adult</v>
      </c>
      <c r="J19" t="s">
        <v>546</v>
      </c>
      <c r="K19" s="7">
        <v>11470</v>
      </c>
      <c r="L19" s="2" t="str" cm="1">
        <f t="array" ref="L19">_xlfn.IFS(Table14[[#This Row],[Treatment Cost]]&lt;50000,"Low Billing",Table14[[#This Row],[Treatment Cost]]&lt;200000,"Moderate Billing",Table14[[#This Row],[Treatment Cost]]&gt;=200000,"High Billing")</f>
        <v>Low Billing</v>
      </c>
      <c r="M19" t="s">
        <v>8</v>
      </c>
      <c r="N19" t="str">
        <f>IF(AND(Table14[[#This Row],[Outcome]]="Follow-up",Table14[[#This Row],[Admission Status]]="Patient Discharged"),"High Risk Patient","Low Risk Patient")</f>
        <v>High Risk Patient</v>
      </c>
      <c r="O19" t="str">
        <f>IFERROR(VLOOKUP(Table14[[#This Row],[Department]],Doctor_Info!A:D,2,FALSE), "")</f>
        <v>Dr. Temi</v>
      </c>
      <c r="P19" t="str">
        <f>IF(COUNTIF(A:A,Table14[[#This Row],[Patient ID]]&gt;1),"Returning Patient","New Patient")</f>
        <v>New Patient</v>
      </c>
      <c r="Q19" t="str">
        <f>_xlfn.XLOOKUP(Table14[[#This Row],[Department]], Doctor_Info!A:A, Doctor_Info!C:C, "")&amp;""</f>
        <v>502</v>
      </c>
      <c r="R19" t="str">
        <f>TEXT(Table14[[#This Row],[Admission Date]],"ddd")</f>
        <v>Sat</v>
      </c>
      <c r="S19" t="str">
        <f>TEXT(Table14[[#This Row],[Admission Date]],"mmm")</f>
        <v>Feb</v>
      </c>
      <c r="T19" t="str">
        <f>TEXT(Table14[[#This Row],[Admission Date]],"yyyy")</f>
        <v>2024</v>
      </c>
      <c r="U19" t="str">
        <f>TEXT(Table14[[#This Row],[Admission Date]],"mmm-yyyy")</f>
        <v>Feb-2024</v>
      </c>
      <c r="V19">
        <f t="shared" ca="1" si="0"/>
        <v>8</v>
      </c>
    </row>
    <row r="20" spans="1:22" x14ac:dyDescent="0.2">
      <c r="A20" t="s">
        <v>32</v>
      </c>
      <c r="B20" s="3">
        <v>45327</v>
      </c>
      <c r="C20" s="3">
        <v>45328</v>
      </c>
      <c r="D20">
        <f ca="1">IF(ISBLANK(Table14[[#This Row],[Discharge Date]]),TODAY()-Table14[[#This Row],[Admission Date]], Table14[[#This Row],[Discharge Date]]-Table14[[#This Row],[Admission Date]])</f>
        <v>1</v>
      </c>
      <c r="E20" s="6" t="str">
        <f>IF(Table14[[#This Row],[Discharge Date]]="","Still Admitted","Patient Discharged")</f>
        <v>Patient Discharged</v>
      </c>
      <c r="F20" s="6" t="str">
        <f>IF(WEEKDAY(Table14[[#This Row],[Admission Date]],2)&gt;5,"Weekend","Weekday")</f>
        <v>Weekday</v>
      </c>
      <c r="G20" t="s">
        <v>528</v>
      </c>
      <c r="H20">
        <v>34</v>
      </c>
      <c r="I20" t="str" cm="1">
        <f t="array" ref="I20">_xlfn.IFS(Table14[[#This Row],[Age]]&lt;18,"Children",Table14[[#This Row],[Age]]&lt;50,"Adult",Table14[[#This Row],[Age]]&gt;=50,"Elderly")</f>
        <v>Adult</v>
      </c>
      <c r="J20" t="s">
        <v>547</v>
      </c>
      <c r="K20" s="7">
        <v>12440</v>
      </c>
      <c r="L20" s="2" t="str" cm="1">
        <f t="array" ref="L20">_xlfn.IFS(Table14[[#This Row],[Treatment Cost]]&lt;50000,"Low Billing",Table14[[#This Row],[Treatment Cost]]&lt;200000,"Moderate Billing",Table14[[#This Row],[Treatment Cost]]&gt;=200000,"High Billing")</f>
        <v>Low Billing</v>
      </c>
      <c r="M20" t="s">
        <v>6</v>
      </c>
      <c r="N20" t="str">
        <f>IF(AND(Table14[[#This Row],[Outcome]]="Follow-up",Table14[[#This Row],[Admission Status]]="Patient Discharged"),"High Risk Patient","Low Risk Patient")</f>
        <v>Low Risk Patient</v>
      </c>
      <c r="O20" t="str">
        <f>IFERROR(VLOOKUP(Table14[[#This Row],[Department]],Doctor_Info!A:D,2,FALSE), "")</f>
        <v>Dr. Kofi</v>
      </c>
      <c r="P20" t="str">
        <f>IF(COUNTIF(A:A,Table14[[#This Row],[Patient ID]]&gt;1),"Returning Patient","New Patient")</f>
        <v>New Patient</v>
      </c>
      <c r="Q20" t="str">
        <f>_xlfn.XLOOKUP(Table14[[#This Row],[Department]], Doctor_Info!A:A, Doctor_Info!C:C, "")&amp;""</f>
        <v>102</v>
      </c>
      <c r="R20" t="str">
        <f>TEXT(Table14[[#This Row],[Admission Date]],"ddd")</f>
        <v>Mon</v>
      </c>
      <c r="S20" t="str">
        <f>TEXT(Table14[[#This Row],[Admission Date]],"mmm")</f>
        <v>Feb</v>
      </c>
      <c r="T20" t="str">
        <f>TEXT(Table14[[#This Row],[Admission Date]],"yyyy")</f>
        <v>2024</v>
      </c>
      <c r="U20" t="str">
        <f>TEXT(Table14[[#This Row],[Admission Date]],"mmm-yyyy")</f>
        <v>Feb-2024</v>
      </c>
      <c r="V20">
        <f t="shared" ca="1" si="0"/>
        <v>8</v>
      </c>
    </row>
    <row r="21" spans="1:22" x14ac:dyDescent="0.2">
      <c r="A21" t="s">
        <v>33</v>
      </c>
      <c r="B21" s="3">
        <v>45332</v>
      </c>
      <c r="D21">
        <f ca="1">IF(ISBLANK(Table14[[#This Row],[Discharge Date]]),TODAY()-Table14[[#This Row],[Admission Date]], Table14[[#This Row],[Discharge Date]]-Table14[[#This Row],[Admission Date]])</f>
        <v>806</v>
      </c>
      <c r="E21" s="6" t="str">
        <f>IF(Table14[[#This Row],[Discharge Date]]="","Still Admitted","Patient Discharged")</f>
        <v>Still Admitted</v>
      </c>
      <c r="F21" s="6" t="str">
        <f>IF(WEEKDAY(Table14[[#This Row],[Admission Date]],2)&gt;5,"Weekend","Weekday")</f>
        <v>Weekend</v>
      </c>
      <c r="G21" t="s">
        <v>10</v>
      </c>
      <c r="H21">
        <v>32</v>
      </c>
      <c r="I21" t="str" cm="1">
        <f t="array" ref="I21">_xlfn.IFS(Table14[[#This Row],[Age]]&lt;18,"Children",Table14[[#This Row],[Age]]&lt;50,"Adult",Table14[[#This Row],[Age]]&gt;=50,"Elderly")</f>
        <v>Adult</v>
      </c>
      <c r="J21" t="s">
        <v>547</v>
      </c>
      <c r="K21" s="7">
        <v>13410</v>
      </c>
      <c r="L21" s="2" t="str" cm="1">
        <f t="array" ref="L21">_xlfn.IFS(Table14[[#This Row],[Treatment Cost]]&lt;50000,"Low Billing",Table14[[#This Row],[Treatment Cost]]&lt;200000,"Moderate Billing",Table14[[#This Row],[Treatment Cost]]&gt;=200000,"High Billing")</f>
        <v>Low Billing</v>
      </c>
      <c r="M21" t="s">
        <v>403</v>
      </c>
      <c r="N21" t="str">
        <f>IF(AND(Table14[[#This Row],[Outcome]]="Follow-up",Table14[[#This Row],[Admission Status]]="Patient Discharged"),"High Risk Patient","Low Risk Patient")</f>
        <v>Low Risk Patient</v>
      </c>
      <c r="O21" t="str">
        <f>IFERROR(VLOOKUP(Table14[[#This Row],[Department]],Doctor_Info!A:D,2,FALSE), "")</f>
        <v>Dr. George</v>
      </c>
      <c r="P21" t="str">
        <f>IF(COUNTIF(A:A,Table14[[#This Row],[Patient ID]]&gt;1),"Returning Patient","New Patient")</f>
        <v>New Patient</v>
      </c>
      <c r="Q21" t="str">
        <f>_xlfn.XLOOKUP(Table14[[#This Row],[Department]], Doctor_Info!A:A, Doctor_Info!C:C, "")&amp;""</f>
        <v>405</v>
      </c>
      <c r="R21" t="str">
        <f>TEXT(Table14[[#This Row],[Admission Date]],"ddd")</f>
        <v>Sat</v>
      </c>
      <c r="S21" t="str">
        <f>TEXT(Table14[[#This Row],[Admission Date]],"mmm")</f>
        <v>Feb</v>
      </c>
      <c r="T21" t="str">
        <f>TEXT(Table14[[#This Row],[Admission Date]],"yyyy")</f>
        <v>2024</v>
      </c>
      <c r="U21" t="str">
        <f>TEXT(Table14[[#This Row],[Admission Date]],"mmm-yyyy")</f>
        <v>Feb-2024</v>
      </c>
      <c r="V21">
        <f t="shared" ca="1" si="0"/>
        <v>8</v>
      </c>
    </row>
    <row r="22" spans="1:22" x14ac:dyDescent="0.2">
      <c r="A22" t="s">
        <v>34</v>
      </c>
      <c r="B22" s="3">
        <v>45319</v>
      </c>
      <c r="C22" s="3">
        <v>45327</v>
      </c>
      <c r="D22">
        <f ca="1">IF(ISBLANK(Table14[[#This Row],[Discharge Date]]),TODAY()-Table14[[#This Row],[Admission Date]], Table14[[#This Row],[Discharge Date]]-Table14[[#This Row],[Admission Date]])</f>
        <v>8</v>
      </c>
      <c r="E22" s="6" t="str">
        <f>IF(Table14[[#This Row],[Discharge Date]]="","Still Admitted","Patient Discharged")</f>
        <v>Patient Discharged</v>
      </c>
      <c r="F22" s="6" t="str">
        <f>IF(WEEKDAY(Table14[[#This Row],[Admission Date]],2)&gt;5,"Weekend","Weekday")</f>
        <v>Weekend</v>
      </c>
      <c r="G22" t="s">
        <v>7</v>
      </c>
      <c r="H22">
        <v>30</v>
      </c>
      <c r="I22" t="str" cm="1">
        <f t="array" ref="I22">_xlfn.IFS(Table14[[#This Row],[Age]]&lt;18,"Children",Table14[[#This Row],[Age]]&lt;50,"Adult",Table14[[#This Row],[Age]]&gt;=50,"Elderly")</f>
        <v>Adult</v>
      </c>
      <c r="J22" t="s">
        <v>546</v>
      </c>
      <c r="K22" s="7">
        <v>14380</v>
      </c>
      <c r="L22" s="2" t="str" cm="1">
        <f t="array" ref="L22">_xlfn.IFS(Table14[[#This Row],[Treatment Cost]]&lt;50000,"Low Billing",Table14[[#This Row],[Treatment Cost]]&lt;200000,"Moderate Billing",Table14[[#This Row],[Treatment Cost]]&gt;=200000,"High Billing")</f>
        <v>Low Billing</v>
      </c>
      <c r="M22" t="s">
        <v>8</v>
      </c>
      <c r="N22" t="str">
        <f>IF(AND(Table14[[#This Row],[Outcome]]="Follow-up",Table14[[#This Row],[Admission Status]]="Patient Discharged"),"High Risk Patient","Low Risk Patient")</f>
        <v>High Risk Patient</v>
      </c>
      <c r="O22" t="str">
        <f>IFERROR(VLOOKUP(Table14[[#This Row],[Department]],Doctor_Info!A:D,2,FALSE), "")</f>
        <v>Dr. Ada</v>
      </c>
      <c r="P22" t="str">
        <f>IF(COUNTIF(A:A,Table14[[#This Row],[Patient ID]]&gt;1),"Returning Patient","New Patient")</f>
        <v>New Patient</v>
      </c>
      <c r="Q22" t="str">
        <f>_xlfn.XLOOKUP(Table14[[#This Row],[Department]], Doctor_Info!A:A, Doctor_Info!C:C, "")&amp;""</f>
        <v>301</v>
      </c>
      <c r="R22" t="str">
        <f>TEXT(Table14[[#This Row],[Admission Date]],"ddd")</f>
        <v>Sun</v>
      </c>
      <c r="S22" t="str">
        <f>TEXT(Table14[[#This Row],[Admission Date]],"mmm")</f>
        <v>Jan</v>
      </c>
      <c r="T22" t="str">
        <f>TEXT(Table14[[#This Row],[Admission Date]],"yyyy")</f>
        <v>2024</v>
      </c>
      <c r="U22" t="str">
        <f>TEXT(Table14[[#This Row],[Admission Date]],"mmm-yyyy")</f>
        <v>Jan-2024</v>
      </c>
      <c r="V22">
        <f t="shared" ca="1" si="0"/>
        <v>8</v>
      </c>
    </row>
    <row r="23" spans="1:22" x14ac:dyDescent="0.2">
      <c r="A23" t="s">
        <v>35</v>
      </c>
      <c r="B23" s="3">
        <v>45323</v>
      </c>
      <c r="C23" s="3">
        <v>45324</v>
      </c>
      <c r="D23">
        <f ca="1">IF(ISBLANK(Table14[[#This Row],[Discharge Date]]),TODAY()-Table14[[#This Row],[Admission Date]], Table14[[#This Row],[Discharge Date]]-Table14[[#This Row],[Admission Date]])</f>
        <v>1</v>
      </c>
      <c r="E23" s="6" t="str">
        <f>IF(Table14[[#This Row],[Discharge Date]]="","Still Admitted","Patient Discharged")</f>
        <v>Patient Discharged</v>
      </c>
      <c r="F23" s="6" t="str">
        <f>IF(WEEKDAY(Table14[[#This Row],[Admission Date]],2)&gt;5,"Weekend","Weekday")</f>
        <v>Weekday</v>
      </c>
      <c r="G23" t="s">
        <v>528</v>
      </c>
      <c r="H23">
        <v>28</v>
      </c>
      <c r="I23" t="str" cm="1">
        <f t="array" ref="I23">_xlfn.IFS(Table14[[#This Row],[Age]]&lt;18,"Children",Table14[[#This Row],[Age]]&lt;50,"Adult",Table14[[#This Row],[Age]]&gt;=50,"Elderly")</f>
        <v>Adult</v>
      </c>
      <c r="J23" t="s">
        <v>547</v>
      </c>
      <c r="K23" s="7">
        <v>15350</v>
      </c>
      <c r="L23" s="2" t="str" cm="1">
        <f t="array" ref="L23">_xlfn.IFS(Table14[[#This Row],[Treatment Cost]]&lt;50000,"Low Billing",Table14[[#This Row],[Treatment Cost]]&lt;200000,"Moderate Billing",Table14[[#This Row],[Treatment Cost]]&gt;=200000,"High Billing")</f>
        <v>Low Billing</v>
      </c>
      <c r="M23" t="s">
        <v>6</v>
      </c>
      <c r="N23" t="str">
        <f>IF(AND(Table14[[#This Row],[Outcome]]="Follow-up",Table14[[#This Row],[Admission Status]]="Patient Discharged"),"High Risk Patient","Low Risk Patient")</f>
        <v>Low Risk Patient</v>
      </c>
      <c r="O23" t="str">
        <f>IFERROR(VLOOKUP(Table14[[#This Row],[Department]],Doctor_Info!A:D,2,FALSE), "")</f>
        <v>Dr. Kofi</v>
      </c>
      <c r="P23" t="str">
        <f>IF(COUNTIF(A:A,Table14[[#This Row],[Patient ID]]&gt;1),"Returning Patient","New Patient")</f>
        <v>New Patient</v>
      </c>
      <c r="Q23" t="str">
        <f>_xlfn.XLOOKUP(Table14[[#This Row],[Department]], Doctor_Info!A:A, Doctor_Info!C:C, "")&amp;""</f>
        <v>102</v>
      </c>
      <c r="R23" t="str">
        <f>TEXT(Table14[[#This Row],[Admission Date]],"ddd")</f>
        <v>Thu</v>
      </c>
      <c r="S23" t="str">
        <f>TEXT(Table14[[#This Row],[Admission Date]],"mmm")</f>
        <v>Feb</v>
      </c>
      <c r="T23" t="str">
        <f>TEXT(Table14[[#This Row],[Admission Date]],"yyyy")</f>
        <v>2024</v>
      </c>
      <c r="U23" t="str">
        <f>TEXT(Table14[[#This Row],[Admission Date]],"mmm-yyyy")</f>
        <v>Feb-2024</v>
      </c>
      <c r="V23">
        <f t="shared" ca="1" si="0"/>
        <v>8</v>
      </c>
    </row>
    <row r="24" spans="1:22" x14ac:dyDescent="0.2">
      <c r="A24" t="s">
        <v>36</v>
      </c>
      <c r="B24" s="3">
        <v>45325</v>
      </c>
      <c r="C24" s="3">
        <v>45337</v>
      </c>
      <c r="D24">
        <f ca="1">IF(ISBLANK(Table14[[#This Row],[Discharge Date]]),TODAY()-Table14[[#This Row],[Admission Date]], Table14[[#This Row],[Discharge Date]]-Table14[[#This Row],[Admission Date]])</f>
        <v>12</v>
      </c>
      <c r="E24" s="6" t="str">
        <f>IF(Table14[[#This Row],[Discharge Date]]="","Still Admitted","Patient Discharged")</f>
        <v>Patient Discharged</v>
      </c>
      <c r="F24" s="6" t="str">
        <f>IF(WEEKDAY(Table14[[#This Row],[Admission Date]],2)&gt;5,"Weekend","Weekday")</f>
        <v>Weekend</v>
      </c>
      <c r="G24" t="s">
        <v>12</v>
      </c>
      <c r="H24">
        <v>26</v>
      </c>
      <c r="I24" t="str" cm="1">
        <f t="array" ref="I24">_xlfn.IFS(Table14[[#This Row],[Age]]&lt;18,"Children",Table14[[#This Row],[Age]]&lt;50,"Adult",Table14[[#This Row],[Age]]&gt;=50,"Elderly")</f>
        <v>Adult</v>
      </c>
      <c r="J24" t="s">
        <v>546</v>
      </c>
      <c r="K24" s="7">
        <v>16320</v>
      </c>
      <c r="L24" s="2" t="str" cm="1">
        <f t="array" ref="L24">_xlfn.IFS(Table14[[#This Row],[Treatment Cost]]&lt;50000,"Low Billing",Table14[[#This Row],[Treatment Cost]]&lt;200000,"Moderate Billing",Table14[[#This Row],[Treatment Cost]]&gt;=200000,"High Billing")</f>
        <v>Low Billing</v>
      </c>
      <c r="M24" t="s">
        <v>8</v>
      </c>
      <c r="N24" t="str">
        <f>IF(AND(Table14[[#This Row],[Outcome]]="Follow-up",Table14[[#This Row],[Admission Status]]="Patient Discharged"),"High Risk Patient","Low Risk Patient")</f>
        <v>High Risk Patient</v>
      </c>
      <c r="O24" t="str">
        <f>IFERROR(VLOOKUP(Table14[[#This Row],[Department]],Doctor_Info!A:D,2,FALSE), "")</f>
        <v>Dr. Temi</v>
      </c>
      <c r="P24" t="str">
        <f>IF(COUNTIF(A:A,Table14[[#This Row],[Patient ID]]&gt;1),"Returning Patient","New Patient")</f>
        <v>New Patient</v>
      </c>
      <c r="Q24" t="str">
        <f>_xlfn.XLOOKUP(Table14[[#This Row],[Department]], Doctor_Info!A:A, Doctor_Info!C:C, "")&amp;""</f>
        <v>502</v>
      </c>
      <c r="R24" t="str">
        <f>TEXT(Table14[[#This Row],[Admission Date]],"ddd")</f>
        <v>Sat</v>
      </c>
      <c r="S24" t="str">
        <f>TEXT(Table14[[#This Row],[Admission Date]],"mmm")</f>
        <v>Feb</v>
      </c>
      <c r="T24" t="str">
        <f>TEXT(Table14[[#This Row],[Admission Date]],"yyyy")</f>
        <v>2024</v>
      </c>
      <c r="U24" t="str">
        <f>TEXT(Table14[[#This Row],[Admission Date]],"mmm-yyyy")</f>
        <v>Feb-2024</v>
      </c>
      <c r="V24">
        <f t="shared" ca="1" si="0"/>
        <v>8</v>
      </c>
    </row>
    <row r="25" spans="1:22" x14ac:dyDescent="0.2">
      <c r="A25" t="s">
        <v>37</v>
      </c>
      <c r="B25" s="3">
        <v>45327</v>
      </c>
      <c r="C25" s="3">
        <v>45328</v>
      </c>
      <c r="D25">
        <f ca="1">IF(ISBLANK(Table14[[#This Row],[Discharge Date]]),TODAY()-Table14[[#This Row],[Admission Date]], Table14[[#This Row],[Discharge Date]]-Table14[[#This Row],[Admission Date]])</f>
        <v>1</v>
      </c>
      <c r="E25" s="6" t="str">
        <f>IF(Table14[[#This Row],[Discharge Date]]="","Still Admitted","Patient Discharged")</f>
        <v>Patient Discharged</v>
      </c>
      <c r="F25" s="6" t="str">
        <f>IF(WEEKDAY(Table14[[#This Row],[Admission Date]],2)&gt;5,"Weekend","Weekday")</f>
        <v>Weekday</v>
      </c>
      <c r="G25" t="s">
        <v>528</v>
      </c>
      <c r="H25">
        <v>24</v>
      </c>
      <c r="I25" t="str" cm="1">
        <f t="array" ref="I25">_xlfn.IFS(Table14[[#This Row],[Age]]&lt;18,"Children",Table14[[#This Row],[Age]]&lt;50,"Adult",Table14[[#This Row],[Age]]&gt;=50,"Elderly")</f>
        <v>Adult</v>
      </c>
      <c r="J25" t="s">
        <v>547</v>
      </c>
      <c r="K25" s="7">
        <v>17290</v>
      </c>
      <c r="L25" s="2" t="str" cm="1">
        <f t="array" ref="L25">_xlfn.IFS(Table14[[#This Row],[Treatment Cost]]&lt;50000,"Low Billing",Table14[[#This Row],[Treatment Cost]]&lt;200000,"Moderate Billing",Table14[[#This Row],[Treatment Cost]]&gt;=200000,"High Billing")</f>
        <v>Low Billing</v>
      </c>
      <c r="M25" t="s">
        <v>6</v>
      </c>
      <c r="N25" t="str">
        <f>IF(AND(Table14[[#This Row],[Outcome]]="Follow-up",Table14[[#This Row],[Admission Status]]="Patient Discharged"),"High Risk Patient","Low Risk Patient")</f>
        <v>Low Risk Patient</v>
      </c>
      <c r="O25" t="str">
        <f>IFERROR(VLOOKUP(Table14[[#This Row],[Department]],Doctor_Info!A:D,2,FALSE), "")</f>
        <v>Dr. Kofi</v>
      </c>
      <c r="P25" t="str">
        <f>IF(COUNTIF(A:A,Table14[[#This Row],[Patient ID]]&gt;1),"Returning Patient","New Patient")</f>
        <v>New Patient</v>
      </c>
      <c r="Q25" t="str">
        <f>_xlfn.XLOOKUP(Table14[[#This Row],[Department]], Doctor_Info!A:A, Doctor_Info!C:C, "")&amp;""</f>
        <v>102</v>
      </c>
      <c r="R25" t="str">
        <f>TEXT(Table14[[#This Row],[Admission Date]],"ddd")</f>
        <v>Mon</v>
      </c>
      <c r="S25" t="str">
        <f>TEXT(Table14[[#This Row],[Admission Date]],"mmm")</f>
        <v>Feb</v>
      </c>
      <c r="T25" t="str">
        <f>TEXT(Table14[[#This Row],[Admission Date]],"yyyy")</f>
        <v>2024</v>
      </c>
      <c r="U25" t="str">
        <f>TEXT(Table14[[#This Row],[Admission Date]],"mmm-yyyy")</f>
        <v>Feb-2024</v>
      </c>
      <c r="V25">
        <f t="shared" ca="1" si="0"/>
        <v>8</v>
      </c>
    </row>
    <row r="26" spans="1:22" x14ac:dyDescent="0.2">
      <c r="A26" t="s">
        <v>38</v>
      </c>
      <c r="B26" s="3">
        <v>45332</v>
      </c>
      <c r="D26">
        <f ca="1">IF(ISBLANK(Table14[[#This Row],[Discharge Date]]),TODAY()-Table14[[#This Row],[Admission Date]], Table14[[#This Row],[Discharge Date]]-Table14[[#This Row],[Admission Date]])</f>
        <v>806</v>
      </c>
      <c r="E26" s="6" t="str">
        <f>IF(Table14[[#This Row],[Discharge Date]]="","Still Admitted","Patient Discharged")</f>
        <v>Still Admitted</v>
      </c>
      <c r="F26" s="6" t="str">
        <f>IF(WEEKDAY(Table14[[#This Row],[Admission Date]],2)&gt;5,"Weekend","Weekday")</f>
        <v>Weekend</v>
      </c>
      <c r="G26" t="s">
        <v>10</v>
      </c>
      <c r="H26">
        <v>22</v>
      </c>
      <c r="I26" t="str" cm="1">
        <f t="array" ref="I26">_xlfn.IFS(Table14[[#This Row],[Age]]&lt;18,"Children",Table14[[#This Row],[Age]]&lt;50,"Adult",Table14[[#This Row],[Age]]&gt;=50,"Elderly")</f>
        <v>Adult</v>
      </c>
      <c r="J26" t="s">
        <v>547</v>
      </c>
      <c r="K26" s="7">
        <v>18260</v>
      </c>
      <c r="L26" s="2" t="str" cm="1">
        <f t="array" ref="L26">_xlfn.IFS(Table14[[#This Row],[Treatment Cost]]&lt;50000,"Low Billing",Table14[[#This Row],[Treatment Cost]]&lt;200000,"Moderate Billing",Table14[[#This Row],[Treatment Cost]]&gt;=200000,"High Billing")</f>
        <v>Low Billing</v>
      </c>
      <c r="M26" t="s">
        <v>403</v>
      </c>
      <c r="N26" t="str">
        <f>IF(AND(Table14[[#This Row],[Outcome]]="Follow-up",Table14[[#This Row],[Admission Status]]="Patient Discharged"),"High Risk Patient","Low Risk Patient")</f>
        <v>Low Risk Patient</v>
      </c>
      <c r="O26" t="str">
        <f>IFERROR(VLOOKUP(Table14[[#This Row],[Department]],Doctor_Info!A:D,2,FALSE), "")</f>
        <v>Dr. George</v>
      </c>
      <c r="P26" t="str">
        <f>IF(COUNTIF(A:A,Table14[[#This Row],[Patient ID]]&gt;1),"Returning Patient","New Patient")</f>
        <v>New Patient</v>
      </c>
      <c r="Q26" t="str">
        <f>_xlfn.XLOOKUP(Table14[[#This Row],[Department]], Doctor_Info!A:A, Doctor_Info!C:C, "")&amp;""</f>
        <v>405</v>
      </c>
      <c r="R26" t="str">
        <f>TEXT(Table14[[#This Row],[Admission Date]],"ddd")</f>
        <v>Sat</v>
      </c>
      <c r="S26" t="str">
        <f>TEXT(Table14[[#This Row],[Admission Date]],"mmm")</f>
        <v>Feb</v>
      </c>
      <c r="T26" t="str">
        <f>TEXT(Table14[[#This Row],[Admission Date]],"yyyy")</f>
        <v>2024</v>
      </c>
      <c r="U26" t="str">
        <f>TEXT(Table14[[#This Row],[Admission Date]],"mmm-yyyy")</f>
        <v>Feb-2024</v>
      </c>
      <c r="V26">
        <f t="shared" ca="1" si="0"/>
        <v>8</v>
      </c>
    </row>
    <row r="27" spans="1:22" x14ac:dyDescent="0.2">
      <c r="A27" t="s">
        <v>39</v>
      </c>
      <c r="B27" s="3">
        <v>45319</v>
      </c>
      <c r="C27" s="3">
        <v>45327</v>
      </c>
      <c r="D27">
        <f ca="1">IF(ISBLANK(Table14[[#This Row],[Discharge Date]]),TODAY()-Table14[[#This Row],[Admission Date]], Table14[[#This Row],[Discharge Date]]-Table14[[#This Row],[Admission Date]])</f>
        <v>8</v>
      </c>
      <c r="E27" s="6" t="str">
        <f>IF(Table14[[#This Row],[Discharge Date]]="","Still Admitted","Patient Discharged")</f>
        <v>Patient Discharged</v>
      </c>
      <c r="F27" s="6" t="str">
        <f>IF(WEEKDAY(Table14[[#This Row],[Admission Date]],2)&gt;5,"Weekend","Weekday")</f>
        <v>Weekend</v>
      </c>
      <c r="G27" t="s">
        <v>7</v>
      </c>
      <c r="H27">
        <v>20</v>
      </c>
      <c r="I27" t="str" cm="1">
        <f t="array" ref="I27">_xlfn.IFS(Table14[[#This Row],[Age]]&lt;18,"Children",Table14[[#This Row],[Age]]&lt;50,"Adult",Table14[[#This Row],[Age]]&gt;=50,"Elderly")</f>
        <v>Adult</v>
      </c>
      <c r="J27" t="s">
        <v>546</v>
      </c>
      <c r="K27" s="7">
        <v>19230</v>
      </c>
      <c r="L27" s="2" t="str" cm="1">
        <f t="array" ref="L27">_xlfn.IFS(Table14[[#This Row],[Treatment Cost]]&lt;50000,"Low Billing",Table14[[#This Row],[Treatment Cost]]&lt;200000,"Moderate Billing",Table14[[#This Row],[Treatment Cost]]&gt;=200000,"High Billing")</f>
        <v>Low Billing</v>
      </c>
      <c r="M27" t="s">
        <v>8</v>
      </c>
      <c r="N27" t="str">
        <f>IF(AND(Table14[[#This Row],[Outcome]]="Follow-up",Table14[[#This Row],[Admission Status]]="Patient Discharged"),"High Risk Patient","Low Risk Patient")</f>
        <v>High Risk Patient</v>
      </c>
      <c r="O27" t="str">
        <f>IFERROR(VLOOKUP(Table14[[#This Row],[Department]],Doctor_Info!A:D,2,FALSE), "")</f>
        <v>Dr. Ada</v>
      </c>
      <c r="P27" t="str">
        <f>IF(COUNTIF(A:A,Table14[[#This Row],[Patient ID]]&gt;1),"Returning Patient","New Patient")</f>
        <v>New Patient</v>
      </c>
      <c r="Q27" t="str">
        <f>_xlfn.XLOOKUP(Table14[[#This Row],[Department]], Doctor_Info!A:A, Doctor_Info!C:C, "")&amp;""</f>
        <v>301</v>
      </c>
      <c r="R27" t="str">
        <f>TEXT(Table14[[#This Row],[Admission Date]],"ddd")</f>
        <v>Sun</v>
      </c>
      <c r="S27" t="str">
        <f>TEXT(Table14[[#This Row],[Admission Date]],"mmm")</f>
        <v>Jan</v>
      </c>
      <c r="T27" t="str">
        <f>TEXT(Table14[[#This Row],[Admission Date]],"yyyy")</f>
        <v>2024</v>
      </c>
      <c r="U27" t="str">
        <f>TEXT(Table14[[#This Row],[Admission Date]],"mmm-yyyy")</f>
        <v>Jan-2024</v>
      </c>
      <c r="V27">
        <f t="shared" ca="1" si="0"/>
        <v>8</v>
      </c>
    </row>
    <row r="28" spans="1:22" x14ac:dyDescent="0.2">
      <c r="A28" t="s">
        <v>40</v>
      </c>
      <c r="B28" s="3">
        <v>45323</v>
      </c>
      <c r="C28" s="3">
        <v>45324</v>
      </c>
      <c r="D28">
        <f ca="1">IF(ISBLANK(Table14[[#This Row],[Discharge Date]]),TODAY()-Table14[[#This Row],[Admission Date]], Table14[[#This Row],[Discharge Date]]-Table14[[#This Row],[Admission Date]])</f>
        <v>1</v>
      </c>
      <c r="E28" s="6" t="str">
        <f>IF(Table14[[#This Row],[Discharge Date]]="","Still Admitted","Patient Discharged")</f>
        <v>Patient Discharged</v>
      </c>
      <c r="F28" s="6" t="str">
        <f>IF(WEEKDAY(Table14[[#This Row],[Admission Date]],2)&gt;5,"Weekend","Weekday")</f>
        <v>Weekday</v>
      </c>
      <c r="G28" t="s">
        <v>528</v>
      </c>
      <c r="H28">
        <v>18</v>
      </c>
      <c r="I28" t="str" cm="1">
        <f t="array" ref="I28">_xlfn.IFS(Table14[[#This Row],[Age]]&lt;18,"Children",Table14[[#This Row],[Age]]&lt;50,"Adult",Table14[[#This Row],[Age]]&gt;=50,"Elderly")</f>
        <v>Adult</v>
      </c>
      <c r="J28" t="s">
        <v>547</v>
      </c>
      <c r="K28" s="7">
        <v>20200</v>
      </c>
      <c r="L28" s="2" t="str" cm="1">
        <f t="array" ref="L28">_xlfn.IFS(Table14[[#This Row],[Treatment Cost]]&lt;50000,"Low Billing",Table14[[#This Row],[Treatment Cost]]&lt;200000,"Moderate Billing",Table14[[#This Row],[Treatment Cost]]&gt;=200000,"High Billing")</f>
        <v>Low Billing</v>
      </c>
      <c r="M28" t="s">
        <v>6</v>
      </c>
      <c r="N28" t="str">
        <f>IF(AND(Table14[[#This Row],[Outcome]]="Follow-up",Table14[[#This Row],[Admission Status]]="Patient Discharged"),"High Risk Patient","Low Risk Patient")</f>
        <v>Low Risk Patient</v>
      </c>
      <c r="O28" t="str">
        <f>IFERROR(VLOOKUP(Table14[[#This Row],[Department]],Doctor_Info!A:D,2,FALSE), "")</f>
        <v>Dr. Kofi</v>
      </c>
      <c r="P28" t="str">
        <f>IF(COUNTIF(A:A,Table14[[#This Row],[Patient ID]]&gt;1),"Returning Patient","New Patient")</f>
        <v>New Patient</v>
      </c>
      <c r="Q28" t="str">
        <f>_xlfn.XLOOKUP(Table14[[#This Row],[Department]], Doctor_Info!A:A, Doctor_Info!C:C, "")&amp;""</f>
        <v>102</v>
      </c>
      <c r="R28" t="str">
        <f>TEXT(Table14[[#This Row],[Admission Date]],"ddd")</f>
        <v>Thu</v>
      </c>
      <c r="S28" t="str">
        <f>TEXT(Table14[[#This Row],[Admission Date]],"mmm")</f>
        <v>Feb</v>
      </c>
      <c r="T28" t="str">
        <f>TEXT(Table14[[#This Row],[Admission Date]],"yyyy")</f>
        <v>2024</v>
      </c>
      <c r="U28" t="str">
        <f>TEXT(Table14[[#This Row],[Admission Date]],"mmm-yyyy")</f>
        <v>Feb-2024</v>
      </c>
      <c r="V28">
        <f t="shared" ca="1" si="0"/>
        <v>8</v>
      </c>
    </row>
    <row r="29" spans="1:22" x14ac:dyDescent="0.2">
      <c r="A29" t="s">
        <v>41</v>
      </c>
      <c r="B29" s="3">
        <v>45325</v>
      </c>
      <c r="C29" s="3">
        <v>45337</v>
      </c>
      <c r="D29">
        <f ca="1">IF(ISBLANK(Table14[[#This Row],[Discharge Date]]),TODAY()-Table14[[#This Row],[Admission Date]], Table14[[#This Row],[Discharge Date]]-Table14[[#This Row],[Admission Date]])</f>
        <v>12</v>
      </c>
      <c r="E29" s="6" t="str">
        <f>IF(Table14[[#This Row],[Discharge Date]]="","Still Admitted","Patient Discharged")</f>
        <v>Patient Discharged</v>
      </c>
      <c r="F29" s="6" t="str">
        <f>IF(WEEKDAY(Table14[[#This Row],[Admission Date]],2)&gt;5,"Weekend","Weekday")</f>
        <v>Weekend</v>
      </c>
      <c r="G29" t="s">
        <v>12</v>
      </c>
      <c r="H29">
        <v>16</v>
      </c>
      <c r="I29" t="str" cm="1">
        <f t="array" ref="I29">_xlfn.IFS(Table14[[#This Row],[Age]]&lt;18,"Children",Table14[[#This Row],[Age]]&lt;50,"Adult",Table14[[#This Row],[Age]]&gt;=50,"Elderly")</f>
        <v>Children</v>
      </c>
      <c r="J29" t="s">
        <v>546</v>
      </c>
      <c r="K29" s="7">
        <v>21170</v>
      </c>
      <c r="L29" s="2" t="str" cm="1">
        <f t="array" ref="L29">_xlfn.IFS(Table14[[#This Row],[Treatment Cost]]&lt;50000,"Low Billing",Table14[[#This Row],[Treatment Cost]]&lt;200000,"Moderate Billing",Table14[[#This Row],[Treatment Cost]]&gt;=200000,"High Billing")</f>
        <v>Low Billing</v>
      </c>
      <c r="M29" t="s">
        <v>8</v>
      </c>
      <c r="N29" t="str">
        <f>IF(AND(Table14[[#This Row],[Outcome]]="Follow-up",Table14[[#This Row],[Admission Status]]="Patient Discharged"),"High Risk Patient","Low Risk Patient")</f>
        <v>High Risk Patient</v>
      </c>
      <c r="O29" t="str">
        <f>IFERROR(VLOOKUP(Table14[[#This Row],[Department]],Doctor_Info!A:D,2,FALSE), "")</f>
        <v>Dr. Temi</v>
      </c>
      <c r="P29" t="str">
        <f>IF(COUNTIF(A:A,Table14[[#This Row],[Patient ID]]&gt;1),"Returning Patient","New Patient")</f>
        <v>New Patient</v>
      </c>
      <c r="Q29" t="str">
        <f>_xlfn.XLOOKUP(Table14[[#This Row],[Department]], Doctor_Info!A:A, Doctor_Info!C:C, "")&amp;""</f>
        <v>502</v>
      </c>
      <c r="R29" t="str">
        <f>TEXT(Table14[[#This Row],[Admission Date]],"ddd")</f>
        <v>Sat</v>
      </c>
      <c r="S29" t="str">
        <f>TEXT(Table14[[#This Row],[Admission Date]],"mmm")</f>
        <v>Feb</v>
      </c>
      <c r="T29" t="str">
        <f>TEXT(Table14[[#This Row],[Admission Date]],"yyyy")</f>
        <v>2024</v>
      </c>
      <c r="U29" t="str">
        <f>TEXT(Table14[[#This Row],[Admission Date]],"mmm-yyyy")</f>
        <v>Feb-2024</v>
      </c>
      <c r="V29">
        <f t="shared" ca="1" si="0"/>
        <v>8</v>
      </c>
    </row>
    <row r="30" spans="1:22" x14ac:dyDescent="0.2">
      <c r="A30" t="s">
        <v>42</v>
      </c>
      <c r="B30" s="3">
        <v>45327</v>
      </c>
      <c r="C30" s="3">
        <v>45328</v>
      </c>
      <c r="D30">
        <f ca="1">IF(ISBLANK(Table14[[#This Row],[Discharge Date]]),TODAY()-Table14[[#This Row],[Admission Date]], Table14[[#This Row],[Discharge Date]]-Table14[[#This Row],[Admission Date]])</f>
        <v>1</v>
      </c>
      <c r="E30" s="6" t="str">
        <f>IF(Table14[[#This Row],[Discharge Date]]="","Still Admitted","Patient Discharged")</f>
        <v>Patient Discharged</v>
      </c>
      <c r="F30" s="6" t="str">
        <f>IF(WEEKDAY(Table14[[#This Row],[Admission Date]],2)&gt;5,"Weekend","Weekday")</f>
        <v>Weekday</v>
      </c>
      <c r="G30" t="s">
        <v>528</v>
      </c>
      <c r="H30">
        <v>14</v>
      </c>
      <c r="I30" t="str" cm="1">
        <f t="array" ref="I30">_xlfn.IFS(Table14[[#This Row],[Age]]&lt;18,"Children",Table14[[#This Row],[Age]]&lt;50,"Adult",Table14[[#This Row],[Age]]&gt;=50,"Elderly")</f>
        <v>Children</v>
      </c>
      <c r="J30" t="s">
        <v>547</v>
      </c>
      <c r="K30" s="7">
        <v>22140</v>
      </c>
      <c r="L30" s="2" t="str" cm="1">
        <f t="array" ref="L30">_xlfn.IFS(Table14[[#This Row],[Treatment Cost]]&lt;50000,"Low Billing",Table14[[#This Row],[Treatment Cost]]&lt;200000,"Moderate Billing",Table14[[#This Row],[Treatment Cost]]&gt;=200000,"High Billing")</f>
        <v>Low Billing</v>
      </c>
      <c r="M30" t="s">
        <v>6</v>
      </c>
      <c r="N30" t="str">
        <f>IF(AND(Table14[[#This Row],[Outcome]]="Follow-up",Table14[[#This Row],[Admission Status]]="Patient Discharged"),"High Risk Patient","Low Risk Patient")</f>
        <v>Low Risk Patient</v>
      </c>
      <c r="O30" t="str">
        <f>IFERROR(VLOOKUP(Table14[[#This Row],[Department]],Doctor_Info!A:D,2,FALSE), "")</f>
        <v>Dr. Kofi</v>
      </c>
      <c r="P30" t="str">
        <f>IF(COUNTIF(A:A,Table14[[#This Row],[Patient ID]]&gt;1),"Returning Patient","New Patient")</f>
        <v>New Patient</v>
      </c>
      <c r="Q30" t="str">
        <f>_xlfn.XLOOKUP(Table14[[#This Row],[Department]], Doctor_Info!A:A, Doctor_Info!C:C, "")&amp;""</f>
        <v>102</v>
      </c>
      <c r="R30" t="str">
        <f>TEXT(Table14[[#This Row],[Admission Date]],"ddd")</f>
        <v>Mon</v>
      </c>
      <c r="S30" t="str">
        <f>TEXT(Table14[[#This Row],[Admission Date]],"mmm")</f>
        <v>Feb</v>
      </c>
      <c r="T30" t="str">
        <f>TEXT(Table14[[#This Row],[Admission Date]],"yyyy")</f>
        <v>2024</v>
      </c>
      <c r="U30" t="str">
        <f>TEXT(Table14[[#This Row],[Admission Date]],"mmm-yyyy")</f>
        <v>Feb-2024</v>
      </c>
      <c r="V30">
        <f t="shared" ca="1" si="0"/>
        <v>8</v>
      </c>
    </row>
    <row r="31" spans="1:22" x14ac:dyDescent="0.2">
      <c r="A31" t="s">
        <v>43</v>
      </c>
      <c r="B31" s="3">
        <v>45332</v>
      </c>
      <c r="D31">
        <f ca="1">IF(ISBLANK(Table14[[#This Row],[Discharge Date]]),TODAY()-Table14[[#This Row],[Admission Date]], Table14[[#This Row],[Discharge Date]]-Table14[[#This Row],[Admission Date]])</f>
        <v>806</v>
      </c>
      <c r="E31" s="6" t="str">
        <f>IF(Table14[[#This Row],[Discharge Date]]="","Still Admitted","Patient Discharged")</f>
        <v>Still Admitted</v>
      </c>
      <c r="F31" s="6" t="str">
        <f>IF(WEEKDAY(Table14[[#This Row],[Admission Date]],2)&gt;5,"Weekend","Weekday")</f>
        <v>Weekend</v>
      </c>
      <c r="G31" t="s">
        <v>10</v>
      </c>
      <c r="H31">
        <v>12</v>
      </c>
      <c r="I31" t="str" cm="1">
        <f t="array" ref="I31">_xlfn.IFS(Table14[[#This Row],[Age]]&lt;18,"Children",Table14[[#This Row],[Age]]&lt;50,"Adult",Table14[[#This Row],[Age]]&gt;=50,"Elderly")</f>
        <v>Children</v>
      </c>
      <c r="J31" t="s">
        <v>547</v>
      </c>
      <c r="K31" s="7">
        <v>23110</v>
      </c>
      <c r="L31" s="2" t="str" cm="1">
        <f t="array" ref="L31">_xlfn.IFS(Table14[[#This Row],[Treatment Cost]]&lt;50000,"Low Billing",Table14[[#This Row],[Treatment Cost]]&lt;200000,"Moderate Billing",Table14[[#This Row],[Treatment Cost]]&gt;=200000,"High Billing")</f>
        <v>Low Billing</v>
      </c>
      <c r="M31" t="s">
        <v>403</v>
      </c>
      <c r="N31" t="str">
        <f>IF(AND(Table14[[#This Row],[Outcome]]="Follow-up",Table14[[#This Row],[Admission Status]]="Patient Discharged"),"High Risk Patient","Low Risk Patient")</f>
        <v>Low Risk Patient</v>
      </c>
      <c r="O31" t="str">
        <f>IFERROR(VLOOKUP(Table14[[#This Row],[Department]],Doctor_Info!A:D,2,FALSE), "")</f>
        <v>Dr. George</v>
      </c>
      <c r="P31" t="str">
        <f>IF(COUNTIF(A:A,Table14[[#This Row],[Patient ID]]&gt;1),"Returning Patient","New Patient")</f>
        <v>New Patient</v>
      </c>
      <c r="Q31" t="str">
        <f>_xlfn.XLOOKUP(Table14[[#This Row],[Department]], Doctor_Info!A:A, Doctor_Info!C:C, "")&amp;""</f>
        <v>405</v>
      </c>
      <c r="R31" t="str">
        <f>TEXT(Table14[[#This Row],[Admission Date]],"ddd")</f>
        <v>Sat</v>
      </c>
      <c r="S31" t="str">
        <f>TEXT(Table14[[#This Row],[Admission Date]],"mmm")</f>
        <v>Feb</v>
      </c>
      <c r="T31" t="str">
        <f>TEXT(Table14[[#This Row],[Admission Date]],"yyyy")</f>
        <v>2024</v>
      </c>
      <c r="U31" t="str">
        <f>TEXT(Table14[[#This Row],[Admission Date]],"mmm-yyyy")</f>
        <v>Feb-2024</v>
      </c>
      <c r="V31">
        <f t="shared" ca="1" si="0"/>
        <v>8</v>
      </c>
    </row>
    <row r="32" spans="1:22" ht="17" customHeight="1" x14ac:dyDescent="0.2">
      <c r="A32" t="s">
        <v>44</v>
      </c>
      <c r="B32" s="3">
        <v>45319</v>
      </c>
      <c r="C32" s="3">
        <v>45327</v>
      </c>
      <c r="D32">
        <f ca="1">IF(ISBLANK(Table14[[#This Row],[Discharge Date]]),TODAY()-Table14[[#This Row],[Admission Date]], Table14[[#This Row],[Discharge Date]]-Table14[[#This Row],[Admission Date]])</f>
        <v>8</v>
      </c>
      <c r="E32" s="6" t="str">
        <f>IF(Table14[[#This Row],[Discharge Date]]="","Still Admitted","Patient Discharged")</f>
        <v>Patient Discharged</v>
      </c>
      <c r="F32" s="6" t="str">
        <f>IF(WEEKDAY(Table14[[#This Row],[Admission Date]],2)&gt;5,"Weekend","Weekday")</f>
        <v>Weekend</v>
      </c>
      <c r="G32" t="s">
        <v>7</v>
      </c>
      <c r="H32">
        <v>10</v>
      </c>
      <c r="I32" t="str" cm="1">
        <f t="array" ref="I32">_xlfn.IFS(Table14[[#This Row],[Age]]&lt;18,"Children",Table14[[#This Row],[Age]]&lt;50,"Adult",Table14[[#This Row],[Age]]&gt;=50,"Elderly")</f>
        <v>Children</v>
      </c>
      <c r="J32" t="s">
        <v>546</v>
      </c>
      <c r="K32" s="7">
        <v>24080</v>
      </c>
      <c r="L32" s="2" t="str" cm="1">
        <f t="array" ref="L32">_xlfn.IFS(Table14[[#This Row],[Treatment Cost]]&lt;50000,"Low Billing",Table14[[#This Row],[Treatment Cost]]&lt;200000,"Moderate Billing",Table14[[#This Row],[Treatment Cost]]&gt;=200000,"High Billing")</f>
        <v>Low Billing</v>
      </c>
      <c r="M32" t="s">
        <v>8</v>
      </c>
      <c r="N32" t="str">
        <f>IF(AND(Table14[[#This Row],[Outcome]]="Follow-up",Table14[[#This Row],[Admission Status]]="Patient Discharged"),"High Risk Patient","Low Risk Patient")</f>
        <v>High Risk Patient</v>
      </c>
      <c r="O32" t="str">
        <f>IFERROR(VLOOKUP(Table14[[#This Row],[Department]],Doctor_Info!A:D,2,FALSE), "")</f>
        <v>Dr. Ada</v>
      </c>
      <c r="P32" t="str">
        <f>IF(COUNTIF(A:A,Table14[[#This Row],[Patient ID]]&gt;1),"Returning Patient","New Patient")</f>
        <v>New Patient</v>
      </c>
      <c r="Q32" t="str">
        <f>_xlfn.XLOOKUP(Table14[[#This Row],[Department]], Doctor_Info!A:A, Doctor_Info!C:C, "")&amp;""</f>
        <v>301</v>
      </c>
      <c r="R32" t="str">
        <f>TEXT(Table14[[#This Row],[Admission Date]],"ddd")</f>
        <v>Sun</v>
      </c>
      <c r="S32" t="str">
        <f>TEXT(Table14[[#This Row],[Admission Date]],"mmm")</f>
        <v>Jan</v>
      </c>
      <c r="T32" t="str">
        <f>TEXT(Table14[[#This Row],[Admission Date]],"yyyy")</f>
        <v>2024</v>
      </c>
      <c r="U32" t="str">
        <f>TEXT(Table14[[#This Row],[Admission Date]],"mmm-yyyy")</f>
        <v>Jan-2024</v>
      </c>
      <c r="V32">
        <f t="shared" ca="1" si="0"/>
        <v>8</v>
      </c>
    </row>
    <row r="33" spans="1:22" x14ac:dyDescent="0.2">
      <c r="A33" t="s">
        <v>45</v>
      </c>
      <c r="B33" s="3">
        <v>45323</v>
      </c>
      <c r="C33" s="3">
        <v>45324</v>
      </c>
      <c r="D33">
        <f ca="1">IF(ISBLANK(Table14[[#This Row],[Discharge Date]]),TODAY()-Table14[[#This Row],[Admission Date]], Table14[[#This Row],[Discharge Date]]-Table14[[#This Row],[Admission Date]])</f>
        <v>1</v>
      </c>
      <c r="E33" s="6" t="str">
        <f>IF(Table14[[#This Row],[Discharge Date]]="","Still Admitted","Patient Discharged")</f>
        <v>Patient Discharged</v>
      </c>
      <c r="F33" s="6" t="str">
        <f>IF(WEEKDAY(Table14[[#This Row],[Admission Date]],2)&gt;5,"Weekend","Weekday")</f>
        <v>Weekday</v>
      </c>
      <c r="G33" t="s">
        <v>528</v>
      </c>
      <c r="H33">
        <v>8</v>
      </c>
      <c r="I33" t="str" cm="1">
        <f t="array" ref="I33">_xlfn.IFS(Table14[[#This Row],[Age]]&lt;18,"Children",Table14[[#This Row],[Age]]&lt;50,"Adult",Table14[[#This Row],[Age]]&gt;=50,"Elderly")</f>
        <v>Children</v>
      </c>
      <c r="J33" t="s">
        <v>547</v>
      </c>
      <c r="K33" s="7">
        <v>25050</v>
      </c>
      <c r="L33" s="2" t="str" cm="1">
        <f t="array" ref="L33">_xlfn.IFS(Table14[[#This Row],[Treatment Cost]]&lt;50000,"Low Billing",Table14[[#This Row],[Treatment Cost]]&lt;200000,"Moderate Billing",Table14[[#This Row],[Treatment Cost]]&gt;=200000,"High Billing")</f>
        <v>Low Billing</v>
      </c>
      <c r="M33" t="s">
        <v>6</v>
      </c>
      <c r="N33" t="str">
        <f>IF(AND(Table14[[#This Row],[Outcome]]="Follow-up",Table14[[#This Row],[Admission Status]]="Patient Discharged"),"High Risk Patient","Low Risk Patient")</f>
        <v>Low Risk Patient</v>
      </c>
      <c r="O33" t="str">
        <f>IFERROR(VLOOKUP(Table14[[#This Row],[Department]],Doctor_Info!A:D,2,FALSE), "")</f>
        <v>Dr. Kofi</v>
      </c>
      <c r="P33" t="str">
        <f>IF(COUNTIF(A:A,Table14[[#This Row],[Patient ID]]&gt;1),"Returning Patient","New Patient")</f>
        <v>New Patient</v>
      </c>
      <c r="Q33" t="str">
        <f>_xlfn.XLOOKUP(Table14[[#This Row],[Department]], Doctor_Info!A:A, Doctor_Info!C:C, "")&amp;""</f>
        <v>102</v>
      </c>
      <c r="R33" t="str">
        <f>TEXT(Table14[[#This Row],[Admission Date]],"ddd")</f>
        <v>Thu</v>
      </c>
      <c r="S33" t="str">
        <f>TEXT(Table14[[#This Row],[Admission Date]],"mmm")</f>
        <v>Feb</v>
      </c>
      <c r="T33" t="str">
        <f>TEXT(Table14[[#This Row],[Admission Date]],"yyyy")</f>
        <v>2024</v>
      </c>
      <c r="U33" t="str">
        <f>TEXT(Table14[[#This Row],[Admission Date]],"mmm-yyyy")</f>
        <v>Feb-2024</v>
      </c>
      <c r="V33">
        <f t="shared" ca="1" si="0"/>
        <v>8</v>
      </c>
    </row>
    <row r="34" spans="1:22" x14ac:dyDescent="0.2">
      <c r="A34" t="s">
        <v>46</v>
      </c>
      <c r="B34" s="3">
        <v>45325</v>
      </c>
      <c r="C34" s="3">
        <v>45337</v>
      </c>
      <c r="D34">
        <f ca="1">IF(ISBLANK(Table14[[#This Row],[Discharge Date]]),TODAY()-Table14[[#This Row],[Admission Date]], Table14[[#This Row],[Discharge Date]]-Table14[[#This Row],[Admission Date]])</f>
        <v>12</v>
      </c>
      <c r="E34" s="6" t="str">
        <f>IF(Table14[[#This Row],[Discharge Date]]="","Still Admitted","Patient Discharged")</f>
        <v>Patient Discharged</v>
      </c>
      <c r="F34" s="6" t="str">
        <f>IF(WEEKDAY(Table14[[#This Row],[Admission Date]],2)&gt;5,"Weekend","Weekday")</f>
        <v>Weekend</v>
      </c>
      <c r="G34" t="s">
        <v>12</v>
      </c>
      <c r="H34">
        <v>6</v>
      </c>
      <c r="I34" t="str" cm="1">
        <f t="array" ref="I34">_xlfn.IFS(Table14[[#This Row],[Age]]&lt;18,"Children",Table14[[#This Row],[Age]]&lt;50,"Adult",Table14[[#This Row],[Age]]&gt;=50,"Elderly")</f>
        <v>Children</v>
      </c>
      <c r="J34" t="s">
        <v>546</v>
      </c>
      <c r="K34" s="7">
        <v>26020</v>
      </c>
      <c r="L34" s="2" t="str" cm="1">
        <f t="array" ref="L34">_xlfn.IFS(Table14[[#This Row],[Treatment Cost]]&lt;50000,"Low Billing",Table14[[#This Row],[Treatment Cost]]&lt;200000,"Moderate Billing",Table14[[#This Row],[Treatment Cost]]&gt;=200000,"High Billing")</f>
        <v>Low Billing</v>
      </c>
      <c r="M34" t="s">
        <v>8</v>
      </c>
      <c r="N34" t="str">
        <f>IF(AND(Table14[[#This Row],[Outcome]]="Follow-up",Table14[[#This Row],[Admission Status]]="Patient Discharged"),"High Risk Patient","Low Risk Patient")</f>
        <v>High Risk Patient</v>
      </c>
      <c r="O34" t="str">
        <f>IFERROR(VLOOKUP(Table14[[#This Row],[Department]],Doctor_Info!A:D,2,FALSE), "")</f>
        <v>Dr. Temi</v>
      </c>
      <c r="P34" t="str">
        <f>IF(COUNTIF(A:A,Table14[[#This Row],[Patient ID]]&gt;1),"Returning Patient","New Patient")</f>
        <v>New Patient</v>
      </c>
      <c r="Q34" t="str">
        <f>_xlfn.XLOOKUP(Table14[[#This Row],[Department]], Doctor_Info!A:A, Doctor_Info!C:C, "")&amp;""</f>
        <v>502</v>
      </c>
      <c r="R34" t="str">
        <f>TEXT(Table14[[#This Row],[Admission Date]],"ddd")</f>
        <v>Sat</v>
      </c>
      <c r="S34" t="str">
        <f>TEXT(Table14[[#This Row],[Admission Date]],"mmm")</f>
        <v>Feb</v>
      </c>
      <c r="T34" t="str">
        <f>TEXT(Table14[[#This Row],[Admission Date]],"yyyy")</f>
        <v>2024</v>
      </c>
      <c r="U34" t="str">
        <f>TEXT(Table14[[#This Row],[Admission Date]],"mmm-yyyy")</f>
        <v>Feb-2024</v>
      </c>
      <c r="V34">
        <f t="shared" ca="1" si="0"/>
        <v>8</v>
      </c>
    </row>
    <row r="35" spans="1:22" x14ac:dyDescent="0.2">
      <c r="A35" t="s">
        <v>47</v>
      </c>
      <c r="B35" s="3">
        <v>45327</v>
      </c>
      <c r="C35" s="3">
        <v>45328</v>
      </c>
      <c r="D35">
        <f ca="1">IF(ISBLANK(Table14[[#This Row],[Discharge Date]]),TODAY()-Table14[[#This Row],[Admission Date]], Table14[[#This Row],[Discharge Date]]-Table14[[#This Row],[Admission Date]])</f>
        <v>1</v>
      </c>
      <c r="E35" s="6" t="str">
        <f>IF(Table14[[#This Row],[Discharge Date]]="","Still Admitted","Patient Discharged")</f>
        <v>Patient Discharged</v>
      </c>
      <c r="F35" s="6" t="str">
        <f>IF(WEEKDAY(Table14[[#This Row],[Admission Date]],2)&gt;5,"Weekend","Weekday")</f>
        <v>Weekday</v>
      </c>
      <c r="G35" t="s">
        <v>528</v>
      </c>
      <c r="H35">
        <v>4</v>
      </c>
      <c r="I35" t="str" cm="1">
        <f t="array" ref="I35">_xlfn.IFS(Table14[[#This Row],[Age]]&lt;18,"Children",Table14[[#This Row],[Age]]&lt;50,"Adult",Table14[[#This Row],[Age]]&gt;=50,"Elderly")</f>
        <v>Children</v>
      </c>
      <c r="J35" t="s">
        <v>547</v>
      </c>
      <c r="K35" s="7">
        <v>26990</v>
      </c>
      <c r="L35" s="2" t="str" cm="1">
        <f t="array" ref="L35">_xlfn.IFS(Table14[[#This Row],[Treatment Cost]]&lt;50000,"Low Billing",Table14[[#This Row],[Treatment Cost]]&lt;200000,"Moderate Billing",Table14[[#This Row],[Treatment Cost]]&gt;=200000,"High Billing")</f>
        <v>Low Billing</v>
      </c>
      <c r="M35" t="s">
        <v>6</v>
      </c>
      <c r="N35" t="str">
        <f>IF(AND(Table14[[#This Row],[Outcome]]="Follow-up",Table14[[#This Row],[Admission Status]]="Patient Discharged"),"High Risk Patient","Low Risk Patient")</f>
        <v>Low Risk Patient</v>
      </c>
      <c r="O35" t="str">
        <f>IFERROR(VLOOKUP(Table14[[#This Row],[Department]],Doctor_Info!A:D,2,FALSE), "")</f>
        <v>Dr. Kofi</v>
      </c>
      <c r="P35" t="str">
        <f>IF(COUNTIF(A:A,Table14[[#This Row],[Patient ID]]&gt;1),"Returning Patient","New Patient")</f>
        <v>New Patient</v>
      </c>
      <c r="Q35" t="str">
        <f>_xlfn.XLOOKUP(Table14[[#This Row],[Department]], Doctor_Info!A:A, Doctor_Info!C:C, "")&amp;""</f>
        <v>102</v>
      </c>
      <c r="R35" t="str">
        <f>TEXT(Table14[[#This Row],[Admission Date]],"ddd")</f>
        <v>Mon</v>
      </c>
      <c r="S35" t="str">
        <f>TEXT(Table14[[#This Row],[Admission Date]],"mmm")</f>
        <v>Feb</v>
      </c>
      <c r="T35" t="str">
        <f>TEXT(Table14[[#This Row],[Admission Date]],"yyyy")</f>
        <v>2024</v>
      </c>
      <c r="U35" t="str">
        <f>TEXT(Table14[[#This Row],[Admission Date]],"mmm-yyyy")</f>
        <v>Feb-2024</v>
      </c>
      <c r="V35">
        <f t="shared" ca="1" si="0"/>
        <v>8</v>
      </c>
    </row>
    <row r="36" spans="1:22" x14ac:dyDescent="0.2">
      <c r="A36" t="s">
        <v>48</v>
      </c>
      <c r="B36" s="3">
        <v>45332</v>
      </c>
      <c r="D36">
        <f ca="1">IF(ISBLANK(Table14[[#This Row],[Discharge Date]]),TODAY()-Table14[[#This Row],[Admission Date]], Table14[[#This Row],[Discharge Date]]-Table14[[#This Row],[Admission Date]])</f>
        <v>806</v>
      </c>
      <c r="E36" s="6" t="str">
        <f>IF(Table14[[#This Row],[Discharge Date]]="","Still Admitted","Patient Discharged")</f>
        <v>Still Admitted</v>
      </c>
      <c r="F36" s="6" t="str">
        <f>IF(WEEKDAY(Table14[[#This Row],[Admission Date]],2)&gt;5,"Weekend","Weekday")</f>
        <v>Weekend</v>
      </c>
      <c r="G36" t="s">
        <v>10</v>
      </c>
      <c r="H36">
        <v>2</v>
      </c>
      <c r="I36" t="str" cm="1">
        <f t="array" ref="I36">_xlfn.IFS(Table14[[#This Row],[Age]]&lt;18,"Children",Table14[[#This Row],[Age]]&lt;50,"Adult",Table14[[#This Row],[Age]]&gt;=50,"Elderly")</f>
        <v>Children</v>
      </c>
      <c r="J36" t="s">
        <v>547</v>
      </c>
      <c r="K36" s="7">
        <v>27960</v>
      </c>
      <c r="L36" s="2" t="str" cm="1">
        <f t="array" ref="L36">_xlfn.IFS(Table14[[#This Row],[Treatment Cost]]&lt;50000,"Low Billing",Table14[[#This Row],[Treatment Cost]]&lt;200000,"Moderate Billing",Table14[[#This Row],[Treatment Cost]]&gt;=200000,"High Billing")</f>
        <v>Low Billing</v>
      </c>
      <c r="M36" t="s">
        <v>403</v>
      </c>
      <c r="N36" t="str">
        <f>IF(AND(Table14[[#This Row],[Outcome]]="Follow-up",Table14[[#This Row],[Admission Status]]="Patient Discharged"),"High Risk Patient","Low Risk Patient")</f>
        <v>Low Risk Patient</v>
      </c>
      <c r="O36" t="str">
        <f>IFERROR(VLOOKUP(Table14[[#This Row],[Department]],Doctor_Info!A:D,2,FALSE), "")</f>
        <v>Dr. George</v>
      </c>
      <c r="P36" t="str">
        <f>IF(COUNTIF(A:A,Table14[[#This Row],[Patient ID]]&gt;1),"Returning Patient","New Patient")</f>
        <v>New Patient</v>
      </c>
      <c r="Q36" t="str">
        <f>_xlfn.XLOOKUP(Table14[[#This Row],[Department]], Doctor_Info!A:A, Doctor_Info!C:C, "")&amp;""</f>
        <v>405</v>
      </c>
      <c r="R36" t="str">
        <f>TEXT(Table14[[#This Row],[Admission Date]],"ddd")</f>
        <v>Sat</v>
      </c>
      <c r="S36" t="str">
        <f>TEXT(Table14[[#This Row],[Admission Date]],"mmm")</f>
        <v>Feb</v>
      </c>
      <c r="T36" t="str">
        <f>TEXT(Table14[[#This Row],[Admission Date]],"yyyy")</f>
        <v>2024</v>
      </c>
      <c r="U36" t="str">
        <f>TEXT(Table14[[#This Row],[Admission Date]],"mmm-yyyy")</f>
        <v>Feb-2024</v>
      </c>
      <c r="V36">
        <f t="shared" ca="1" si="0"/>
        <v>8</v>
      </c>
    </row>
    <row r="37" spans="1:22" x14ac:dyDescent="0.2">
      <c r="A37" t="s">
        <v>49</v>
      </c>
      <c r="B37" s="3">
        <v>45319</v>
      </c>
      <c r="C37" s="3">
        <v>45327</v>
      </c>
      <c r="D37">
        <f ca="1">IF(ISBLANK(Table14[[#This Row],[Discharge Date]]),TODAY()-Table14[[#This Row],[Admission Date]], Table14[[#This Row],[Discharge Date]]-Table14[[#This Row],[Admission Date]])</f>
        <v>8</v>
      </c>
      <c r="E37" s="6" t="str">
        <f>IF(Table14[[#This Row],[Discharge Date]]="","Still Admitted","Patient Discharged")</f>
        <v>Patient Discharged</v>
      </c>
      <c r="F37" s="6" t="str">
        <f>IF(WEEKDAY(Table14[[#This Row],[Admission Date]],2)&gt;5,"Weekend","Weekday")</f>
        <v>Weekend</v>
      </c>
      <c r="G37" t="s">
        <v>7</v>
      </c>
      <c r="H37">
        <v>0</v>
      </c>
      <c r="I37" t="str" cm="1">
        <f t="array" ref="I37">_xlfn.IFS(Table14[[#This Row],[Age]]&lt;18,"Children",Table14[[#This Row],[Age]]&lt;50,"Adult",Table14[[#This Row],[Age]]&gt;=50,"Elderly")</f>
        <v>Children</v>
      </c>
      <c r="J37" t="s">
        <v>546</v>
      </c>
      <c r="K37" s="7">
        <v>28930</v>
      </c>
      <c r="L37" s="2" t="str" cm="1">
        <f t="array" ref="L37">_xlfn.IFS(Table14[[#This Row],[Treatment Cost]]&lt;50000,"Low Billing",Table14[[#This Row],[Treatment Cost]]&lt;200000,"Moderate Billing",Table14[[#This Row],[Treatment Cost]]&gt;=200000,"High Billing")</f>
        <v>Low Billing</v>
      </c>
      <c r="M37" t="s">
        <v>8</v>
      </c>
      <c r="N37" t="str">
        <f>IF(AND(Table14[[#This Row],[Outcome]]="Follow-up",Table14[[#This Row],[Admission Status]]="Patient Discharged"),"High Risk Patient","Low Risk Patient")</f>
        <v>High Risk Patient</v>
      </c>
      <c r="O37" t="str">
        <f>IFERROR(VLOOKUP(Table14[[#This Row],[Department]],Doctor_Info!A:D,2,FALSE), "")</f>
        <v>Dr. Ada</v>
      </c>
      <c r="P37" t="str">
        <f>IF(COUNTIF(A:A,Table14[[#This Row],[Patient ID]]&gt;1),"Returning Patient","New Patient")</f>
        <v>New Patient</v>
      </c>
      <c r="Q37" t="str">
        <f>_xlfn.XLOOKUP(Table14[[#This Row],[Department]], Doctor_Info!A:A, Doctor_Info!C:C, "")&amp;""</f>
        <v>301</v>
      </c>
      <c r="R37" t="str">
        <f>TEXT(Table14[[#This Row],[Admission Date]],"ddd")</f>
        <v>Sun</v>
      </c>
      <c r="S37" t="str">
        <f>TEXT(Table14[[#This Row],[Admission Date]],"mmm")</f>
        <v>Jan</v>
      </c>
      <c r="T37" t="str">
        <f>TEXT(Table14[[#This Row],[Admission Date]],"yyyy")</f>
        <v>2024</v>
      </c>
      <c r="U37" t="str">
        <f>TEXT(Table14[[#This Row],[Admission Date]],"mmm-yyyy")</f>
        <v>Jan-2024</v>
      </c>
      <c r="V37">
        <f t="shared" ca="1" si="0"/>
        <v>8</v>
      </c>
    </row>
    <row r="38" spans="1:22" x14ac:dyDescent="0.2">
      <c r="A38" t="s">
        <v>50</v>
      </c>
      <c r="B38" s="3">
        <v>45323</v>
      </c>
      <c r="C38" s="3">
        <v>45324</v>
      </c>
      <c r="D38">
        <f ca="1">IF(ISBLANK(Table14[[#This Row],[Discharge Date]]),TODAY()-Table14[[#This Row],[Admission Date]], Table14[[#This Row],[Discharge Date]]-Table14[[#This Row],[Admission Date]])</f>
        <v>1</v>
      </c>
      <c r="E38" s="6" t="str">
        <f>IF(Table14[[#This Row],[Discharge Date]]="","Still Admitted","Patient Discharged")</f>
        <v>Patient Discharged</v>
      </c>
      <c r="F38" s="6" t="str">
        <f>IF(WEEKDAY(Table14[[#This Row],[Admission Date]],2)&gt;5,"Weekend","Weekday")</f>
        <v>Weekday</v>
      </c>
      <c r="G38" t="s">
        <v>528</v>
      </c>
      <c r="H38">
        <v>2</v>
      </c>
      <c r="I38" t="str" cm="1">
        <f t="array" ref="I38">_xlfn.IFS(Table14[[#This Row],[Age]]&lt;18,"Children",Table14[[#This Row],[Age]]&lt;50,"Adult",Table14[[#This Row],[Age]]&gt;=50,"Elderly")</f>
        <v>Children</v>
      </c>
      <c r="J38" t="s">
        <v>547</v>
      </c>
      <c r="K38" s="7">
        <v>29900</v>
      </c>
      <c r="L38" s="2" t="str" cm="1">
        <f t="array" ref="L38">_xlfn.IFS(Table14[[#This Row],[Treatment Cost]]&lt;50000,"Low Billing",Table14[[#This Row],[Treatment Cost]]&lt;200000,"Moderate Billing",Table14[[#This Row],[Treatment Cost]]&gt;=200000,"High Billing")</f>
        <v>Low Billing</v>
      </c>
      <c r="M38" t="s">
        <v>6</v>
      </c>
      <c r="N38" t="str">
        <f>IF(AND(Table14[[#This Row],[Outcome]]="Follow-up",Table14[[#This Row],[Admission Status]]="Patient Discharged"),"High Risk Patient","Low Risk Patient")</f>
        <v>Low Risk Patient</v>
      </c>
      <c r="O38" t="str">
        <f>IFERROR(VLOOKUP(Table14[[#This Row],[Department]],Doctor_Info!A:D,2,FALSE), "")</f>
        <v>Dr. Kofi</v>
      </c>
      <c r="P38" t="str">
        <f>IF(COUNTIF(A:A,Table14[[#This Row],[Patient ID]]&gt;1),"Returning Patient","New Patient")</f>
        <v>New Patient</v>
      </c>
      <c r="Q38" t="str">
        <f>_xlfn.XLOOKUP(Table14[[#This Row],[Department]], Doctor_Info!A:A, Doctor_Info!C:C, "")&amp;""</f>
        <v>102</v>
      </c>
      <c r="R38" t="str">
        <f>TEXT(Table14[[#This Row],[Admission Date]],"ddd")</f>
        <v>Thu</v>
      </c>
      <c r="S38" t="str">
        <f>TEXT(Table14[[#This Row],[Admission Date]],"mmm")</f>
        <v>Feb</v>
      </c>
      <c r="T38" t="str">
        <f>TEXT(Table14[[#This Row],[Admission Date]],"yyyy")</f>
        <v>2024</v>
      </c>
      <c r="U38" t="str">
        <f>TEXT(Table14[[#This Row],[Admission Date]],"mmm-yyyy")</f>
        <v>Feb-2024</v>
      </c>
      <c r="V38">
        <f t="shared" ca="1" si="0"/>
        <v>8</v>
      </c>
    </row>
    <row r="39" spans="1:22" x14ac:dyDescent="0.2">
      <c r="A39" t="s">
        <v>51</v>
      </c>
      <c r="B39" s="3">
        <v>45325</v>
      </c>
      <c r="C39" s="3">
        <v>45337</v>
      </c>
      <c r="D39">
        <f ca="1">IF(ISBLANK(Table14[[#This Row],[Discharge Date]]),TODAY()-Table14[[#This Row],[Admission Date]], Table14[[#This Row],[Discharge Date]]-Table14[[#This Row],[Admission Date]])</f>
        <v>12</v>
      </c>
      <c r="E39" s="6" t="str">
        <f>IF(Table14[[#This Row],[Discharge Date]]="","Still Admitted","Patient Discharged")</f>
        <v>Patient Discharged</v>
      </c>
      <c r="F39" s="6" t="str">
        <f>IF(WEEKDAY(Table14[[#This Row],[Admission Date]],2)&gt;5,"Weekend","Weekday")</f>
        <v>Weekend</v>
      </c>
      <c r="G39" t="s">
        <v>12</v>
      </c>
      <c r="H39">
        <v>4</v>
      </c>
      <c r="I39" t="str" cm="1">
        <f t="array" ref="I39">_xlfn.IFS(Table14[[#This Row],[Age]]&lt;18,"Children",Table14[[#This Row],[Age]]&lt;50,"Adult",Table14[[#This Row],[Age]]&gt;=50,"Elderly")</f>
        <v>Children</v>
      </c>
      <c r="J39" t="s">
        <v>546</v>
      </c>
      <c r="K39" s="7">
        <v>30870</v>
      </c>
      <c r="L39" s="2" t="str" cm="1">
        <f t="array" ref="L39">_xlfn.IFS(Table14[[#This Row],[Treatment Cost]]&lt;50000,"Low Billing",Table14[[#This Row],[Treatment Cost]]&lt;200000,"Moderate Billing",Table14[[#This Row],[Treatment Cost]]&gt;=200000,"High Billing")</f>
        <v>Low Billing</v>
      </c>
      <c r="M39" t="s">
        <v>8</v>
      </c>
      <c r="N39" t="str">
        <f>IF(AND(Table14[[#This Row],[Outcome]]="Follow-up",Table14[[#This Row],[Admission Status]]="Patient Discharged"),"High Risk Patient","Low Risk Patient")</f>
        <v>High Risk Patient</v>
      </c>
      <c r="O39" t="str">
        <f>IFERROR(VLOOKUP(Table14[[#This Row],[Department]],Doctor_Info!A:D,2,FALSE), "")</f>
        <v>Dr. Temi</v>
      </c>
      <c r="P39" t="str">
        <f>IF(COUNTIF(A:A,Table14[[#This Row],[Patient ID]]&gt;1),"Returning Patient","New Patient")</f>
        <v>New Patient</v>
      </c>
      <c r="Q39" t="str">
        <f>_xlfn.XLOOKUP(Table14[[#This Row],[Department]], Doctor_Info!A:A, Doctor_Info!C:C, "")&amp;""</f>
        <v>502</v>
      </c>
      <c r="R39" t="str">
        <f>TEXT(Table14[[#This Row],[Admission Date]],"ddd")</f>
        <v>Sat</v>
      </c>
      <c r="S39" t="str">
        <f>TEXT(Table14[[#This Row],[Admission Date]],"mmm")</f>
        <v>Feb</v>
      </c>
      <c r="T39" t="str">
        <f>TEXT(Table14[[#This Row],[Admission Date]],"yyyy")</f>
        <v>2024</v>
      </c>
      <c r="U39" t="str">
        <f>TEXT(Table14[[#This Row],[Admission Date]],"mmm-yyyy")</f>
        <v>Feb-2024</v>
      </c>
      <c r="V39">
        <f t="shared" ca="1" si="0"/>
        <v>8</v>
      </c>
    </row>
    <row r="40" spans="1:22" x14ac:dyDescent="0.2">
      <c r="A40" t="s">
        <v>52</v>
      </c>
      <c r="B40" s="3">
        <v>45327</v>
      </c>
      <c r="C40" s="3">
        <v>45328</v>
      </c>
      <c r="D40">
        <f ca="1">IF(ISBLANK(Table14[[#This Row],[Discharge Date]]),TODAY()-Table14[[#This Row],[Admission Date]], Table14[[#This Row],[Discharge Date]]-Table14[[#This Row],[Admission Date]])</f>
        <v>1</v>
      </c>
      <c r="E40" s="6" t="str">
        <f>IF(Table14[[#This Row],[Discharge Date]]="","Still Admitted","Patient Discharged")</f>
        <v>Patient Discharged</v>
      </c>
      <c r="F40" s="6" t="str">
        <f>IF(WEEKDAY(Table14[[#This Row],[Admission Date]],2)&gt;5,"Weekend","Weekday")</f>
        <v>Weekday</v>
      </c>
      <c r="G40" t="s">
        <v>528</v>
      </c>
      <c r="H40">
        <v>6</v>
      </c>
      <c r="I40" t="str" cm="1">
        <f t="array" ref="I40">_xlfn.IFS(Table14[[#This Row],[Age]]&lt;18,"Children",Table14[[#This Row],[Age]]&lt;50,"Adult",Table14[[#This Row],[Age]]&gt;=50,"Elderly")</f>
        <v>Children</v>
      </c>
      <c r="J40" t="s">
        <v>547</v>
      </c>
      <c r="K40" s="7">
        <v>31840</v>
      </c>
      <c r="L40" s="2" t="str" cm="1">
        <f t="array" ref="L40">_xlfn.IFS(Table14[[#This Row],[Treatment Cost]]&lt;50000,"Low Billing",Table14[[#This Row],[Treatment Cost]]&lt;200000,"Moderate Billing",Table14[[#This Row],[Treatment Cost]]&gt;=200000,"High Billing")</f>
        <v>Low Billing</v>
      </c>
      <c r="M40" t="s">
        <v>6</v>
      </c>
      <c r="N40" t="str">
        <f>IF(AND(Table14[[#This Row],[Outcome]]="Follow-up",Table14[[#This Row],[Admission Status]]="Patient Discharged"),"High Risk Patient","Low Risk Patient")</f>
        <v>Low Risk Patient</v>
      </c>
      <c r="O40" t="str">
        <f>IFERROR(VLOOKUP(Table14[[#This Row],[Department]],Doctor_Info!A:D,2,FALSE), "")</f>
        <v>Dr. Kofi</v>
      </c>
      <c r="P40" t="str">
        <f>IF(COUNTIF(A:A,Table14[[#This Row],[Patient ID]]&gt;1),"Returning Patient","New Patient")</f>
        <v>New Patient</v>
      </c>
      <c r="Q40" t="str">
        <f>_xlfn.XLOOKUP(Table14[[#This Row],[Department]], Doctor_Info!A:A, Doctor_Info!C:C, "")&amp;""</f>
        <v>102</v>
      </c>
      <c r="R40" t="str">
        <f>TEXT(Table14[[#This Row],[Admission Date]],"ddd")</f>
        <v>Mon</v>
      </c>
      <c r="S40" t="str">
        <f>TEXT(Table14[[#This Row],[Admission Date]],"mmm")</f>
        <v>Feb</v>
      </c>
      <c r="T40" t="str">
        <f>TEXT(Table14[[#This Row],[Admission Date]],"yyyy")</f>
        <v>2024</v>
      </c>
      <c r="U40" t="str">
        <f>TEXT(Table14[[#This Row],[Admission Date]],"mmm-yyyy")</f>
        <v>Feb-2024</v>
      </c>
      <c r="V40">
        <f t="shared" ca="1" si="0"/>
        <v>8</v>
      </c>
    </row>
    <row r="41" spans="1:22" x14ac:dyDescent="0.2">
      <c r="A41" t="s">
        <v>53</v>
      </c>
      <c r="B41" s="3">
        <v>45332</v>
      </c>
      <c r="D41">
        <f ca="1">IF(ISBLANK(Table14[[#This Row],[Discharge Date]]),TODAY()-Table14[[#This Row],[Admission Date]], Table14[[#This Row],[Discharge Date]]-Table14[[#This Row],[Admission Date]])</f>
        <v>806</v>
      </c>
      <c r="E41" s="6" t="str">
        <f>IF(Table14[[#This Row],[Discharge Date]]="","Still Admitted","Patient Discharged")</f>
        <v>Still Admitted</v>
      </c>
      <c r="F41" s="6" t="str">
        <f>IF(WEEKDAY(Table14[[#This Row],[Admission Date]],2)&gt;5,"Weekend","Weekday")</f>
        <v>Weekend</v>
      </c>
      <c r="G41" t="s">
        <v>10</v>
      </c>
      <c r="H41">
        <v>8</v>
      </c>
      <c r="I41" t="str" cm="1">
        <f t="array" ref="I41">_xlfn.IFS(Table14[[#This Row],[Age]]&lt;18,"Children",Table14[[#This Row],[Age]]&lt;50,"Adult",Table14[[#This Row],[Age]]&gt;=50,"Elderly")</f>
        <v>Children</v>
      </c>
      <c r="J41" t="s">
        <v>547</v>
      </c>
      <c r="K41" s="7">
        <v>32810</v>
      </c>
      <c r="L41" s="2" t="str" cm="1">
        <f t="array" ref="L41">_xlfn.IFS(Table14[[#This Row],[Treatment Cost]]&lt;50000,"Low Billing",Table14[[#This Row],[Treatment Cost]]&lt;200000,"Moderate Billing",Table14[[#This Row],[Treatment Cost]]&gt;=200000,"High Billing")</f>
        <v>Low Billing</v>
      </c>
      <c r="M41" t="s">
        <v>403</v>
      </c>
      <c r="N41" t="str">
        <f>IF(AND(Table14[[#This Row],[Outcome]]="Follow-up",Table14[[#This Row],[Admission Status]]="Patient Discharged"),"High Risk Patient","Low Risk Patient")</f>
        <v>Low Risk Patient</v>
      </c>
      <c r="O41" t="str">
        <f>IFERROR(VLOOKUP(Table14[[#This Row],[Department]],Doctor_Info!A:D,2,FALSE), "")</f>
        <v>Dr. George</v>
      </c>
      <c r="P41" t="str">
        <f>IF(COUNTIF(A:A,Table14[[#This Row],[Patient ID]]&gt;1),"Returning Patient","New Patient")</f>
        <v>New Patient</v>
      </c>
      <c r="Q41" t="str">
        <f>_xlfn.XLOOKUP(Table14[[#This Row],[Department]], Doctor_Info!A:A, Doctor_Info!C:C, "")&amp;""</f>
        <v>405</v>
      </c>
      <c r="R41" t="str">
        <f>TEXT(Table14[[#This Row],[Admission Date]],"ddd")</f>
        <v>Sat</v>
      </c>
      <c r="S41" t="str">
        <f>TEXT(Table14[[#This Row],[Admission Date]],"mmm")</f>
        <v>Feb</v>
      </c>
      <c r="T41" t="str">
        <f>TEXT(Table14[[#This Row],[Admission Date]],"yyyy")</f>
        <v>2024</v>
      </c>
      <c r="U41" t="str">
        <f>TEXT(Table14[[#This Row],[Admission Date]],"mmm-yyyy")</f>
        <v>Feb-2024</v>
      </c>
      <c r="V41">
        <f t="shared" ca="1" si="0"/>
        <v>8</v>
      </c>
    </row>
    <row r="42" spans="1:22" x14ac:dyDescent="0.2">
      <c r="A42" t="s">
        <v>54</v>
      </c>
      <c r="B42" s="3">
        <v>45319</v>
      </c>
      <c r="C42" s="3">
        <v>45327</v>
      </c>
      <c r="D42">
        <f ca="1">IF(ISBLANK(Table14[[#This Row],[Discharge Date]]),TODAY()-Table14[[#This Row],[Admission Date]], Table14[[#This Row],[Discharge Date]]-Table14[[#This Row],[Admission Date]])</f>
        <v>8</v>
      </c>
      <c r="E42" s="6" t="str">
        <f>IF(Table14[[#This Row],[Discharge Date]]="","Still Admitted","Patient Discharged")</f>
        <v>Patient Discharged</v>
      </c>
      <c r="F42" s="6" t="str">
        <f>IF(WEEKDAY(Table14[[#This Row],[Admission Date]],2)&gt;5,"Weekend","Weekday")</f>
        <v>Weekend</v>
      </c>
      <c r="G42" t="s">
        <v>7</v>
      </c>
      <c r="H42">
        <v>10</v>
      </c>
      <c r="I42" t="str" cm="1">
        <f t="array" ref="I42">_xlfn.IFS(Table14[[#This Row],[Age]]&lt;18,"Children",Table14[[#This Row],[Age]]&lt;50,"Adult",Table14[[#This Row],[Age]]&gt;=50,"Elderly")</f>
        <v>Children</v>
      </c>
      <c r="J42" t="s">
        <v>546</v>
      </c>
      <c r="K42" s="7">
        <v>33780</v>
      </c>
      <c r="L42" s="2" t="str" cm="1">
        <f t="array" ref="L42">_xlfn.IFS(Table14[[#This Row],[Treatment Cost]]&lt;50000,"Low Billing",Table14[[#This Row],[Treatment Cost]]&lt;200000,"Moderate Billing",Table14[[#This Row],[Treatment Cost]]&gt;=200000,"High Billing")</f>
        <v>Low Billing</v>
      </c>
      <c r="M42" t="s">
        <v>8</v>
      </c>
      <c r="N42" t="str">
        <f>IF(AND(Table14[[#This Row],[Outcome]]="Follow-up",Table14[[#This Row],[Admission Status]]="Patient Discharged"),"High Risk Patient","Low Risk Patient")</f>
        <v>High Risk Patient</v>
      </c>
      <c r="O42" t="str">
        <f>IFERROR(VLOOKUP(Table14[[#This Row],[Department]],Doctor_Info!A:D,2,FALSE), "")</f>
        <v>Dr. Ada</v>
      </c>
      <c r="P42" t="str">
        <f>IF(COUNTIF(A:A,Table14[[#This Row],[Patient ID]]&gt;1),"Returning Patient","New Patient")</f>
        <v>New Patient</v>
      </c>
      <c r="Q42" t="str">
        <f>_xlfn.XLOOKUP(Table14[[#This Row],[Department]], Doctor_Info!A:A, Doctor_Info!C:C, "")&amp;""</f>
        <v>301</v>
      </c>
      <c r="R42" t="str">
        <f>TEXT(Table14[[#This Row],[Admission Date]],"ddd")</f>
        <v>Sun</v>
      </c>
      <c r="S42" t="str">
        <f>TEXT(Table14[[#This Row],[Admission Date]],"mmm")</f>
        <v>Jan</v>
      </c>
      <c r="T42" t="str">
        <f>TEXT(Table14[[#This Row],[Admission Date]],"yyyy")</f>
        <v>2024</v>
      </c>
      <c r="U42" t="str">
        <f>TEXT(Table14[[#This Row],[Admission Date]],"mmm-yyyy")</f>
        <v>Jan-2024</v>
      </c>
      <c r="V42">
        <f t="shared" ca="1" si="0"/>
        <v>8</v>
      </c>
    </row>
    <row r="43" spans="1:22" x14ac:dyDescent="0.2">
      <c r="A43" t="s">
        <v>55</v>
      </c>
      <c r="B43" s="3">
        <v>45323</v>
      </c>
      <c r="C43" s="3">
        <v>45324</v>
      </c>
      <c r="D43">
        <f ca="1">IF(ISBLANK(Table14[[#This Row],[Discharge Date]]),TODAY()-Table14[[#This Row],[Admission Date]], Table14[[#This Row],[Discharge Date]]-Table14[[#This Row],[Admission Date]])</f>
        <v>1</v>
      </c>
      <c r="E43" s="6" t="str">
        <f>IF(Table14[[#This Row],[Discharge Date]]="","Still Admitted","Patient Discharged")</f>
        <v>Patient Discharged</v>
      </c>
      <c r="F43" s="6" t="str">
        <f>IF(WEEKDAY(Table14[[#This Row],[Admission Date]],2)&gt;5,"Weekend","Weekday")</f>
        <v>Weekday</v>
      </c>
      <c r="G43" t="s">
        <v>528</v>
      </c>
      <c r="H43">
        <v>12</v>
      </c>
      <c r="I43" t="str" cm="1">
        <f t="array" ref="I43">_xlfn.IFS(Table14[[#This Row],[Age]]&lt;18,"Children",Table14[[#This Row],[Age]]&lt;50,"Adult",Table14[[#This Row],[Age]]&gt;=50,"Elderly")</f>
        <v>Children</v>
      </c>
      <c r="J43" t="s">
        <v>547</v>
      </c>
      <c r="K43" s="7">
        <v>34750</v>
      </c>
      <c r="L43" s="2" t="str" cm="1">
        <f t="array" ref="L43">_xlfn.IFS(Table14[[#This Row],[Treatment Cost]]&lt;50000,"Low Billing",Table14[[#This Row],[Treatment Cost]]&lt;200000,"Moderate Billing",Table14[[#This Row],[Treatment Cost]]&gt;=200000,"High Billing")</f>
        <v>Low Billing</v>
      </c>
      <c r="M43" t="s">
        <v>6</v>
      </c>
      <c r="N43" t="str">
        <f>IF(AND(Table14[[#This Row],[Outcome]]="Follow-up",Table14[[#This Row],[Admission Status]]="Patient Discharged"),"High Risk Patient","Low Risk Patient")</f>
        <v>Low Risk Patient</v>
      </c>
      <c r="O43" t="str">
        <f>IFERROR(VLOOKUP(Table14[[#This Row],[Department]],Doctor_Info!A:D,2,FALSE), "")</f>
        <v>Dr. Kofi</v>
      </c>
      <c r="P43" t="str">
        <f>IF(COUNTIF(A:A,Table14[[#This Row],[Patient ID]]&gt;1),"Returning Patient","New Patient")</f>
        <v>New Patient</v>
      </c>
      <c r="Q43" t="str">
        <f>_xlfn.XLOOKUP(Table14[[#This Row],[Department]], Doctor_Info!A:A, Doctor_Info!C:C, "")&amp;""</f>
        <v>102</v>
      </c>
      <c r="R43" t="str">
        <f>TEXT(Table14[[#This Row],[Admission Date]],"ddd")</f>
        <v>Thu</v>
      </c>
      <c r="S43" t="str">
        <f>TEXT(Table14[[#This Row],[Admission Date]],"mmm")</f>
        <v>Feb</v>
      </c>
      <c r="T43" t="str">
        <f>TEXT(Table14[[#This Row],[Admission Date]],"yyyy")</f>
        <v>2024</v>
      </c>
      <c r="U43" t="str">
        <f>TEXT(Table14[[#This Row],[Admission Date]],"mmm-yyyy")</f>
        <v>Feb-2024</v>
      </c>
      <c r="V43">
        <f t="shared" ca="1" si="0"/>
        <v>8</v>
      </c>
    </row>
    <row r="44" spans="1:22" x14ac:dyDescent="0.2">
      <c r="A44" t="s">
        <v>56</v>
      </c>
      <c r="B44" s="3">
        <v>45325</v>
      </c>
      <c r="C44" s="3">
        <v>45337</v>
      </c>
      <c r="D44">
        <f ca="1">IF(ISBLANK(Table14[[#This Row],[Discharge Date]]),TODAY()-Table14[[#This Row],[Admission Date]], Table14[[#This Row],[Discharge Date]]-Table14[[#This Row],[Admission Date]])</f>
        <v>12</v>
      </c>
      <c r="E44" s="6" t="str">
        <f>IF(Table14[[#This Row],[Discharge Date]]="","Still Admitted","Patient Discharged")</f>
        <v>Patient Discharged</v>
      </c>
      <c r="F44" s="6" t="str">
        <f>IF(WEEKDAY(Table14[[#This Row],[Admission Date]],2)&gt;5,"Weekend","Weekday")</f>
        <v>Weekend</v>
      </c>
      <c r="G44" t="s">
        <v>12</v>
      </c>
      <c r="H44">
        <v>14</v>
      </c>
      <c r="I44" t="str" cm="1">
        <f t="array" ref="I44">_xlfn.IFS(Table14[[#This Row],[Age]]&lt;18,"Children",Table14[[#This Row],[Age]]&lt;50,"Adult",Table14[[#This Row],[Age]]&gt;=50,"Elderly")</f>
        <v>Children</v>
      </c>
      <c r="J44" t="s">
        <v>546</v>
      </c>
      <c r="K44" s="7">
        <v>35720</v>
      </c>
      <c r="L44" s="2" t="str" cm="1">
        <f t="array" ref="L44">_xlfn.IFS(Table14[[#This Row],[Treatment Cost]]&lt;50000,"Low Billing",Table14[[#This Row],[Treatment Cost]]&lt;200000,"Moderate Billing",Table14[[#This Row],[Treatment Cost]]&gt;=200000,"High Billing")</f>
        <v>Low Billing</v>
      </c>
      <c r="M44" t="s">
        <v>8</v>
      </c>
      <c r="N44" t="str">
        <f>IF(AND(Table14[[#This Row],[Outcome]]="Follow-up",Table14[[#This Row],[Admission Status]]="Patient Discharged"),"High Risk Patient","Low Risk Patient")</f>
        <v>High Risk Patient</v>
      </c>
      <c r="O44" t="str">
        <f>IFERROR(VLOOKUP(Table14[[#This Row],[Department]],Doctor_Info!A:D,2,FALSE), "")</f>
        <v>Dr. Temi</v>
      </c>
      <c r="P44" t="str">
        <f>IF(COUNTIF(A:A,Table14[[#This Row],[Patient ID]]&gt;1),"Returning Patient","New Patient")</f>
        <v>New Patient</v>
      </c>
      <c r="Q44" t="str">
        <f>_xlfn.XLOOKUP(Table14[[#This Row],[Department]], Doctor_Info!A:A, Doctor_Info!C:C, "")&amp;""</f>
        <v>502</v>
      </c>
      <c r="R44" t="str">
        <f>TEXT(Table14[[#This Row],[Admission Date]],"ddd")</f>
        <v>Sat</v>
      </c>
      <c r="S44" t="str">
        <f>TEXT(Table14[[#This Row],[Admission Date]],"mmm")</f>
        <v>Feb</v>
      </c>
      <c r="T44" t="str">
        <f>TEXT(Table14[[#This Row],[Admission Date]],"yyyy")</f>
        <v>2024</v>
      </c>
      <c r="U44" t="str">
        <f>TEXT(Table14[[#This Row],[Admission Date]],"mmm-yyyy")</f>
        <v>Feb-2024</v>
      </c>
      <c r="V44">
        <f t="shared" ca="1" si="0"/>
        <v>8</v>
      </c>
    </row>
    <row r="45" spans="1:22" x14ac:dyDescent="0.2">
      <c r="A45" t="s">
        <v>57</v>
      </c>
      <c r="B45" s="3">
        <v>45327</v>
      </c>
      <c r="C45" s="3">
        <v>45328</v>
      </c>
      <c r="D45">
        <f ca="1">IF(ISBLANK(Table14[[#This Row],[Discharge Date]]),TODAY()-Table14[[#This Row],[Admission Date]], Table14[[#This Row],[Discharge Date]]-Table14[[#This Row],[Admission Date]])</f>
        <v>1</v>
      </c>
      <c r="E45" s="6" t="str">
        <f>IF(Table14[[#This Row],[Discharge Date]]="","Still Admitted","Patient Discharged")</f>
        <v>Patient Discharged</v>
      </c>
      <c r="F45" s="6" t="str">
        <f>IF(WEEKDAY(Table14[[#This Row],[Admission Date]],2)&gt;5,"Weekend","Weekday")</f>
        <v>Weekday</v>
      </c>
      <c r="G45" t="s">
        <v>528</v>
      </c>
      <c r="H45">
        <v>16</v>
      </c>
      <c r="I45" t="str" cm="1">
        <f t="array" ref="I45">_xlfn.IFS(Table14[[#This Row],[Age]]&lt;18,"Children",Table14[[#This Row],[Age]]&lt;50,"Adult",Table14[[#This Row],[Age]]&gt;=50,"Elderly")</f>
        <v>Children</v>
      </c>
      <c r="J45" t="s">
        <v>547</v>
      </c>
      <c r="K45" s="7">
        <v>36690</v>
      </c>
      <c r="L45" s="2" t="str" cm="1">
        <f t="array" ref="L45">_xlfn.IFS(Table14[[#This Row],[Treatment Cost]]&lt;50000,"Low Billing",Table14[[#This Row],[Treatment Cost]]&lt;200000,"Moderate Billing",Table14[[#This Row],[Treatment Cost]]&gt;=200000,"High Billing")</f>
        <v>Low Billing</v>
      </c>
      <c r="M45" t="s">
        <v>6</v>
      </c>
      <c r="N45" t="str">
        <f>IF(AND(Table14[[#This Row],[Outcome]]="Follow-up",Table14[[#This Row],[Admission Status]]="Patient Discharged"),"High Risk Patient","Low Risk Patient")</f>
        <v>Low Risk Patient</v>
      </c>
      <c r="O45" t="str">
        <f>IFERROR(VLOOKUP(Table14[[#This Row],[Department]],Doctor_Info!A:D,2,FALSE), "")</f>
        <v>Dr. Kofi</v>
      </c>
      <c r="P45" t="str">
        <f>IF(COUNTIF(A:A,Table14[[#This Row],[Patient ID]]&gt;1),"Returning Patient","New Patient")</f>
        <v>New Patient</v>
      </c>
      <c r="Q45" t="str">
        <f>_xlfn.XLOOKUP(Table14[[#This Row],[Department]], Doctor_Info!A:A, Doctor_Info!C:C, "")&amp;""</f>
        <v>102</v>
      </c>
      <c r="R45" t="str">
        <f>TEXT(Table14[[#This Row],[Admission Date]],"ddd")</f>
        <v>Mon</v>
      </c>
      <c r="S45" t="str">
        <f>TEXT(Table14[[#This Row],[Admission Date]],"mmm")</f>
        <v>Feb</v>
      </c>
      <c r="T45" t="str">
        <f>TEXT(Table14[[#This Row],[Admission Date]],"yyyy")</f>
        <v>2024</v>
      </c>
      <c r="U45" t="str">
        <f>TEXT(Table14[[#This Row],[Admission Date]],"mmm-yyyy")</f>
        <v>Feb-2024</v>
      </c>
      <c r="V45">
        <f t="shared" ca="1" si="0"/>
        <v>8</v>
      </c>
    </row>
    <row r="46" spans="1:22" x14ac:dyDescent="0.2">
      <c r="A46" t="s">
        <v>58</v>
      </c>
      <c r="B46" s="3">
        <v>45332</v>
      </c>
      <c r="D46">
        <f ca="1">IF(ISBLANK(Table14[[#This Row],[Discharge Date]]),TODAY()-Table14[[#This Row],[Admission Date]], Table14[[#This Row],[Discharge Date]]-Table14[[#This Row],[Admission Date]])</f>
        <v>806</v>
      </c>
      <c r="E46" s="6" t="str">
        <f>IF(Table14[[#This Row],[Discharge Date]]="","Still Admitted","Patient Discharged")</f>
        <v>Still Admitted</v>
      </c>
      <c r="F46" s="6" t="str">
        <f>IF(WEEKDAY(Table14[[#This Row],[Admission Date]],2)&gt;5,"Weekend","Weekday")</f>
        <v>Weekend</v>
      </c>
      <c r="G46" t="s">
        <v>10</v>
      </c>
      <c r="H46">
        <v>18</v>
      </c>
      <c r="I46" t="str" cm="1">
        <f t="array" ref="I46">_xlfn.IFS(Table14[[#This Row],[Age]]&lt;18,"Children",Table14[[#This Row],[Age]]&lt;50,"Adult",Table14[[#This Row],[Age]]&gt;=50,"Elderly")</f>
        <v>Adult</v>
      </c>
      <c r="J46" t="s">
        <v>547</v>
      </c>
      <c r="K46" s="7">
        <v>37660</v>
      </c>
      <c r="L46" s="2" t="str" cm="1">
        <f t="array" ref="L46">_xlfn.IFS(Table14[[#This Row],[Treatment Cost]]&lt;50000,"Low Billing",Table14[[#This Row],[Treatment Cost]]&lt;200000,"Moderate Billing",Table14[[#This Row],[Treatment Cost]]&gt;=200000,"High Billing")</f>
        <v>Low Billing</v>
      </c>
      <c r="M46" t="s">
        <v>403</v>
      </c>
      <c r="N46" t="str">
        <f>IF(AND(Table14[[#This Row],[Outcome]]="Follow-up",Table14[[#This Row],[Admission Status]]="Patient Discharged"),"High Risk Patient","Low Risk Patient")</f>
        <v>Low Risk Patient</v>
      </c>
      <c r="O46" t="str">
        <f>IFERROR(VLOOKUP(Table14[[#This Row],[Department]],Doctor_Info!A:D,2,FALSE), "")</f>
        <v>Dr. George</v>
      </c>
      <c r="P46" t="str">
        <f>IF(COUNTIF(A:A,Table14[[#This Row],[Patient ID]]&gt;1),"Returning Patient","New Patient")</f>
        <v>New Patient</v>
      </c>
      <c r="Q46" t="str">
        <f>_xlfn.XLOOKUP(Table14[[#This Row],[Department]], Doctor_Info!A:A, Doctor_Info!C:C, "")&amp;""</f>
        <v>405</v>
      </c>
      <c r="R46" t="str">
        <f>TEXT(Table14[[#This Row],[Admission Date]],"ddd")</f>
        <v>Sat</v>
      </c>
      <c r="S46" t="str">
        <f>TEXT(Table14[[#This Row],[Admission Date]],"mmm")</f>
        <v>Feb</v>
      </c>
      <c r="T46" t="str">
        <f>TEXT(Table14[[#This Row],[Admission Date]],"yyyy")</f>
        <v>2024</v>
      </c>
      <c r="U46" t="str">
        <f>TEXT(Table14[[#This Row],[Admission Date]],"mmm-yyyy")</f>
        <v>Feb-2024</v>
      </c>
      <c r="V46">
        <f t="shared" ca="1" si="0"/>
        <v>8</v>
      </c>
    </row>
    <row r="47" spans="1:22" x14ac:dyDescent="0.2">
      <c r="A47" t="s">
        <v>59</v>
      </c>
      <c r="B47" s="3">
        <v>45319</v>
      </c>
      <c r="C47" s="3">
        <v>45327</v>
      </c>
      <c r="D47">
        <f ca="1">IF(ISBLANK(Table14[[#This Row],[Discharge Date]]),TODAY()-Table14[[#This Row],[Admission Date]], Table14[[#This Row],[Discharge Date]]-Table14[[#This Row],[Admission Date]])</f>
        <v>8</v>
      </c>
      <c r="E47" s="6" t="str">
        <f>IF(Table14[[#This Row],[Discharge Date]]="","Still Admitted","Patient Discharged")</f>
        <v>Patient Discharged</v>
      </c>
      <c r="F47" s="6" t="str">
        <f>IF(WEEKDAY(Table14[[#This Row],[Admission Date]],2)&gt;5,"Weekend","Weekday")</f>
        <v>Weekend</v>
      </c>
      <c r="G47" t="s">
        <v>7</v>
      </c>
      <c r="H47">
        <v>20</v>
      </c>
      <c r="I47" t="str" cm="1">
        <f t="array" ref="I47">_xlfn.IFS(Table14[[#This Row],[Age]]&lt;18,"Children",Table14[[#This Row],[Age]]&lt;50,"Adult",Table14[[#This Row],[Age]]&gt;=50,"Elderly")</f>
        <v>Adult</v>
      </c>
      <c r="J47" t="s">
        <v>546</v>
      </c>
      <c r="K47" s="7">
        <v>38630</v>
      </c>
      <c r="L47" s="2" t="str" cm="1">
        <f t="array" ref="L47">_xlfn.IFS(Table14[[#This Row],[Treatment Cost]]&lt;50000,"Low Billing",Table14[[#This Row],[Treatment Cost]]&lt;200000,"Moderate Billing",Table14[[#This Row],[Treatment Cost]]&gt;=200000,"High Billing")</f>
        <v>Low Billing</v>
      </c>
      <c r="M47" t="s">
        <v>8</v>
      </c>
      <c r="N47" t="str">
        <f>IF(AND(Table14[[#This Row],[Outcome]]="Follow-up",Table14[[#This Row],[Admission Status]]="Patient Discharged"),"High Risk Patient","Low Risk Patient")</f>
        <v>High Risk Patient</v>
      </c>
      <c r="O47" t="str">
        <f>IFERROR(VLOOKUP(Table14[[#This Row],[Department]],Doctor_Info!A:D,2,FALSE), "")</f>
        <v>Dr. Ada</v>
      </c>
      <c r="P47" t="str">
        <f>IF(COUNTIF(A:A,Table14[[#This Row],[Patient ID]]&gt;1),"Returning Patient","New Patient")</f>
        <v>New Patient</v>
      </c>
      <c r="Q47" t="str">
        <f>_xlfn.XLOOKUP(Table14[[#This Row],[Department]], Doctor_Info!A:A, Doctor_Info!C:C, "")&amp;""</f>
        <v>301</v>
      </c>
      <c r="R47" t="str">
        <f>TEXT(Table14[[#This Row],[Admission Date]],"ddd")</f>
        <v>Sun</v>
      </c>
      <c r="S47" t="str">
        <f>TEXT(Table14[[#This Row],[Admission Date]],"mmm")</f>
        <v>Jan</v>
      </c>
      <c r="T47" t="str">
        <f>TEXT(Table14[[#This Row],[Admission Date]],"yyyy")</f>
        <v>2024</v>
      </c>
      <c r="U47" t="str">
        <f>TEXT(Table14[[#This Row],[Admission Date]],"mmm-yyyy")</f>
        <v>Jan-2024</v>
      </c>
      <c r="V47">
        <f t="shared" ca="1" si="0"/>
        <v>8</v>
      </c>
    </row>
    <row r="48" spans="1:22" x14ac:dyDescent="0.2">
      <c r="A48" t="s">
        <v>60</v>
      </c>
      <c r="B48" s="3">
        <v>45323</v>
      </c>
      <c r="C48" s="3">
        <v>45324</v>
      </c>
      <c r="D48">
        <f ca="1">IF(ISBLANK(Table14[[#This Row],[Discharge Date]]),TODAY()-Table14[[#This Row],[Admission Date]], Table14[[#This Row],[Discharge Date]]-Table14[[#This Row],[Admission Date]])</f>
        <v>1</v>
      </c>
      <c r="E48" s="6" t="str">
        <f>IF(Table14[[#This Row],[Discharge Date]]="","Still Admitted","Patient Discharged")</f>
        <v>Patient Discharged</v>
      </c>
      <c r="F48" s="6" t="str">
        <f>IF(WEEKDAY(Table14[[#This Row],[Admission Date]],2)&gt;5,"Weekend","Weekday")</f>
        <v>Weekday</v>
      </c>
      <c r="G48" t="s">
        <v>528</v>
      </c>
      <c r="H48">
        <v>22</v>
      </c>
      <c r="I48" t="str" cm="1">
        <f t="array" ref="I48">_xlfn.IFS(Table14[[#This Row],[Age]]&lt;18,"Children",Table14[[#This Row],[Age]]&lt;50,"Adult",Table14[[#This Row],[Age]]&gt;=50,"Elderly")</f>
        <v>Adult</v>
      </c>
      <c r="J48" t="s">
        <v>547</v>
      </c>
      <c r="K48" s="7">
        <v>39600</v>
      </c>
      <c r="L48" s="2" t="str" cm="1">
        <f t="array" ref="L48">_xlfn.IFS(Table14[[#This Row],[Treatment Cost]]&lt;50000,"Low Billing",Table14[[#This Row],[Treatment Cost]]&lt;200000,"Moderate Billing",Table14[[#This Row],[Treatment Cost]]&gt;=200000,"High Billing")</f>
        <v>Low Billing</v>
      </c>
      <c r="M48" t="s">
        <v>6</v>
      </c>
      <c r="N48" t="str">
        <f>IF(AND(Table14[[#This Row],[Outcome]]="Follow-up",Table14[[#This Row],[Admission Status]]="Patient Discharged"),"High Risk Patient","Low Risk Patient")</f>
        <v>Low Risk Patient</v>
      </c>
      <c r="O48" t="str">
        <f>IFERROR(VLOOKUP(Table14[[#This Row],[Department]],Doctor_Info!A:D,2,FALSE), "")</f>
        <v>Dr. Kofi</v>
      </c>
      <c r="P48" t="str">
        <f>IF(COUNTIF(A:A,Table14[[#This Row],[Patient ID]]&gt;1),"Returning Patient","New Patient")</f>
        <v>New Patient</v>
      </c>
      <c r="Q48" t="str">
        <f>_xlfn.XLOOKUP(Table14[[#This Row],[Department]], Doctor_Info!A:A, Doctor_Info!C:C, "")&amp;""</f>
        <v>102</v>
      </c>
      <c r="R48" t="str">
        <f>TEXT(Table14[[#This Row],[Admission Date]],"ddd")</f>
        <v>Thu</v>
      </c>
      <c r="S48" t="str">
        <f>TEXT(Table14[[#This Row],[Admission Date]],"mmm")</f>
        <v>Feb</v>
      </c>
      <c r="T48" t="str">
        <f>TEXT(Table14[[#This Row],[Admission Date]],"yyyy")</f>
        <v>2024</v>
      </c>
      <c r="U48" t="str">
        <f>TEXT(Table14[[#This Row],[Admission Date]],"mmm-yyyy")</f>
        <v>Feb-2024</v>
      </c>
      <c r="V48">
        <f t="shared" ca="1" si="0"/>
        <v>8</v>
      </c>
    </row>
    <row r="49" spans="1:22" x14ac:dyDescent="0.2">
      <c r="A49" t="s">
        <v>61</v>
      </c>
      <c r="B49" s="3">
        <v>45325</v>
      </c>
      <c r="C49" s="3">
        <v>45337</v>
      </c>
      <c r="D49">
        <f ca="1">IF(ISBLANK(Table14[[#This Row],[Discharge Date]]),TODAY()-Table14[[#This Row],[Admission Date]], Table14[[#This Row],[Discharge Date]]-Table14[[#This Row],[Admission Date]])</f>
        <v>12</v>
      </c>
      <c r="E49" s="6" t="str">
        <f>IF(Table14[[#This Row],[Discharge Date]]="","Still Admitted","Patient Discharged")</f>
        <v>Patient Discharged</v>
      </c>
      <c r="F49" s="6" t="str">
        <f>IF(WEEKDAY(Table14[[#This Row],[Admission Date]],2)&gt;5,"Weekend","Weekday")</f>
        <v>Weekend</v>
      </c>
      <c r="G49" t="s">
        <v>12</v>
      </c>
      <c r="H49">
        <v>24</v>
      </c>
      <c r="I49" t="str" cm="1">
        <f t="array" ref="I49">_xlfn.IFS(Table14[[#This Row],[Age]]&lt;18,"Children",Table14[[#This Row],[Age]]&lt;50,"Adult",Table14[[#This Row],[Age]]&gt;=50,"Elderly")</f>
        <v>Adult</v>
      </c>
      <c r="J49" t="s">
        <v>546</v>
      </c>
      <c r="K49" s="7">
        <v>40570</v>
      </c>
      <c r="L49" s="2" t="str" cm="1">
        <f t="array" ref="L49">_xlfn.IFS(Table14[[#This Row],[Treatment Cost]]&lt;50000,"Low Billing",Table14[[#This Row],[Treatment Cost]]&lt;200000,"Moderate Billing",Table14[[#This Row],[Treatment Cost]]&gt;=200000,"High Billing")</f>
        <v>Low Billing</v>
      </c>
      <c r="M49" t="s">
        <v>8</v>
      </c>
      <c r="N49" t="str">
        <f>IF(AND(Table14[[#This Row],[Outcome]]="Follow-up",Table14[[#This Row],[Admission Status]]="Patient Discharged"),"High Risk Patient","Low Risk Patient")</f>
        <v>High Risk Patient</v>
      </c>
      <c r="O49" t="str">
        <f>IFERROR(VLOOKUP(Table14[[#This Row],[Department]],Doctor_Info!A:D,2,FALSE), "")</f>
        <v>Dr. Temi</v>
      </c>
      <c r="P49" t="str">
        <f>IF(COUNTIF(A:A,Table14[[#This Row],[Patient ID]]&gt;1),"Returning Patient","New Patient")</f>
        <v>New Patient</v>
      </c>
      <c r="Q49" t="str">
        <f>_xlfn.XLOOKUP(Table14[[#This Row],[Department]], Doctor_Info!A:A, Doctor_Info!C:C, "")&amp;""</f>
        <v>502</v>
      </c>
      <c r="R49" t="str">
        <f>TEXT(Table14[[#This Row],[Admission Date]],"ddd")</f>
        <v>Sat</v>
      </c>
      <c r="S49" t="str">
        <f>TEXT(Table14[[#This Row],[Admission Date]],"mmm")</f>
        <v>Feb</v>
      </c>
      <c r="T49" t="str">
        <f>TEXT(Table14[[#This Row],[Admission Date]],"yyyy")</f>
        <v>2024</v>
      </c>
      <c r="U49" t="str">
        <f>TEXT(Table14[[#This Row],[Admission Date]],"mmm-yyyy")</f>
        <v>Feb-2024</v>
      </c>
      <c r="V49">
        <f t="shared" ca="1" si="0"/>
        <v>8</v>
      </c>
    </row>
    <row r="50" spans="1:22" x14ac:dyDescent="0.2">
      <c r="A50" t="s">
        <v>62</v>
      </c>
      <c r="B50" s="3">
        <v>45327</v>
      </c>
      <c r="C50" s="3">
        <v>45328</v>
      </c>
      <c r="D50">
        <f ca="1">IF(ISBLANK(Table14[[#This Row],[Discharge Date]]),TODAY()-Table14[[#This Row],[Admission Date]], Table14[[#This Row],[Discharge Date]]-Table14[[#This Row],[Admission Date]])</f>
        <v>1</v>
      </c>
      <c r="E50" s="6" t="str">
        <f>IF(Table14[[#This Row],[Discharge Date]]="","Still Admitted","Patient Discharged")</f>
        <v>Patient Discharged</v>
      </c>
      <c r="F50" s="6" t="str">
        <f>IF(WEEKDAY(Table14[[#This Row],[Admission Date]],2)&gt;5,"Weekend","Weekday")</f>
        <v>Weekday</v>
      </c>
      <c r="G50" t="s">
        <v>528</v>
      </c>
      <c r="H50">
        <v>26</v>
      </c>
      <c r="I50" t="str" cm="1">
        <f t="array" ref="I50">_xlfn.IFS(Table14[[#This Row],[Age]]&lt;18,"Children",Table14[[#This Row],[Age]]&lt;50,"Adult",Table14[[#This Row],[Age]]&gt;=50,"Elderly")</f>
        <v>Adult</v>
      </c>
      <c r="J50" t="s">
        <v>547</v>
      </c>
      <c r="K50" s="7">
        <v>41540</v>
      </c>
      <c r="L50" s="2" t="str" cm="1">
        <f t="array" ref="L50">_xlfn.IFS(Table14[[#This Row],[Treatment Cost]]&lt;50000,"Low Billing",Table14[[#This Row],[Treatment Cost]]&lt;200000,"Moderate Billing",Table14[[#This Row],[Treatment Cost]]&gt;=200000,"High Billing")</f>
        <v>Low Billing</v>
      </c>
      <c r="M50" t="s">
        <v>6</v>
      </c>
      <c r="N50" t="str">
        <f>IF(AND(Table14[[#This Row],[Outcome]]="Follow-up",Table14[[#This Row],[Admission Status]]="Patient Discharged"),"High Risk Patient","Low Risk Patient")</f>
        <v>Low Risk Patient</v>
      </c>
      <c r="O50" t="str">
        <f>IFERROR(VLOOKUP(Table14[[#This Row],[Department]],Doctor_Info!A:D,2,FALSE), "")</f>
        <v>Dr. Kofi</v>
      </c>
      <c r="P50" t="str">
        <f>IF(COUNTIF(A:A,Table14[[#This Row],[Patient ID]]&gt;1),"Returning Patient","New Patient")</f>
        <v>New Patient</v>
      </c>
      <c r="Q50" t="str">
        <f>_xlfn.XLOOKUP(Table14[[#This Row],[Department]], Doctor_Info!A:A, Doctor_Info!C:C, "")&amp;""</f>
        <v>102</v>
      </c>
      <c r="R50" t="str">
        <f>TEXT(Table14[[#This Row],[Admission Date]],"ddd")</f>
        <v>Mon</v>
      </c>
      <c r="S50" t="str">
        <f>TEXT(Table14[[#This Row],[Admission Date]],"mmm")</f>
        <v>Feb</v>
      </c>
      <c r="T50" t="str">
        <f>TEXT(Table14[[#This Row],[Admission Date]],"yyyy")</f>
        <v>2024</v>
      </c>
      <c r="U50" t="str">
        <f>TEXT(Table14[[#This Row],[Admission Date]],"mmm-yyyy")</f>
        <v>Feb-2024</v>
      </c>
      <c r="V50">
        <f t="shared" ca="1" si="0"/>
        <v>8</v>
      </c>
    </row>
    <row r="51" spans="1:22" x14ac:dyDescent="0.2">
      <c r="A51" t="s">
        <v>63</v>
      </c>
      <c r="B51" s="3">
        <v>45332</v>
      </c>
      <c r="D51">
        <f ca="1">IF(ISBLANK(Table14[[#This Row],[Discharge Date]]),TODAY()-Table14[[#This Row],[Admission Date]], Table14[[#This Row],[Discharge Date]]-Table14[[#This Row],[Admission Date]])</f>
        <v>806</v>
      </c>
      <c r="E51" s="6" t="str">
        <f>IF(Table14[[#This Row],[Discharge Date]]="","Still Admitted","Patient Discharged")</f>
        <v>Still Admitted</v>
      </c>
      <c r="F51" s="6" t="str">
        <f>IF(WEEKDAY(Table14[[#This Row],[Admission Date]],2)&gt;5,"Weekend","Weekday")</f>
        <v>Weekend</v>
      </c>
      <c r="G51" t="s">
        <v>10</v>
      </c>
      <c r="H51">
        <v>28</v>
      </c>
      <c r="I51" t="str" cm="1">
        <f t="array" ref="I51">_xlfn.IFS(Table14[[#This Row],[Age]]&lt;18,"Children",Table14[[#This Row],[Age]]&lt;50,"Adult",Table14[[#This Row],[Age]]&gt;=50,"Elderly")</f>
        <v>Adult</v>
      </c>
      <c r="J51" t="s">
        <v>547</v>
      </c>
      <c r="K51" s="7">
        <v>42510</v>
      </c>
      <c r="L51" s="2" t="str" cm="1">
        <f t="array" ref="L51">_xlfn.IFS(Table14[[#This Row],[Treatment Cost]]&lt;50000,"Low Billing",Table14[[#This Row],[Treatment Cost]]&lt;200000,"Moderate Billing",Table14[[#This Row],[Treatment Cost]]&gt;=200000,"High Billing")</f>
        <v>Low Billing</v>
      </c>
      <c r="M51" t="s">
        <v>403</v>
      </c>
      <c r="N51" t="str">
        <f>IF(AND(Table14[[#This Row],[Outcome]]="Follow-up",Table14[[#This Row],[Admission Status]]="Patient Discharged"),"High Risk Patient","Low Risk Patient")</f>
        <v>Low Risk Patient</v>
      </c>
      <c r="O51" t="str">
        <f>IFERROR(VLOOKUP(Table14[[#This Row],[Department]],Doctor_Info!A:D,2,FALSE), "")</f>
        <v>Dr. George</v>
      </c>
      <c r="P51" t="str">
        <f>IF(COUNTIF(A:A,Table14[[#This Row],[Patient ID]]&gt;1),"Returning Patient","New Patient")</f>
        <v>New Patient</v>
      </c>
      <c r="Q51" t="str">
        <f>_xlfn.XLOOKUP(Table14[[#This Row],[Department]], Doctor_Info!A:A, Doctor_Info!C:C, "")&amp;""</f>
        <v>405</v>
      </c>
      <c r="R51" t="str">
        <f>TEXT(Table14[[#This Row],[Admission Date]],"ddd")</f>
        <v>Sat</v>
      </c>
      <c r="S51" t="str">
        <f>TEXT(Table14[[#This Row],[Admission Date]],"mmm")</f>
        <v>Feb</v>
      </c>
      <c r="T51" t="str">
        <f>TEXT(Table14[[#This Row],[Admission Date]],"yyyy")</f>
        <v>2024</v>
      </c>
      <c r="U51" t="str">
        <f>TEXT(Table14[[#This Row],[Admission Date]],"mmm-yyyy")</f>
        <v>Feb-2024</v>
      </c>
      <c r="V51">
        <f t="shared" ca="1" si="0"/>
        <v>8</v>
      </c>
    </row>
    <row r="52" spans="1:22" x14ac:dyDescent="0.2">
      <c r="A52" t="s">
        <v>64</v>
      </c>
      <c r="B52" s="3">
        <v>45319</v>
      </c>
      <c r="C52" s="3">
        <v>45327</v>
      </c>
      <c r="D52">
        <f ca="1">IF(ISBLANK(Table14[[#This Row],[Discharge Date]]),TODAY()-Table14[[#This Row],[Admission Date]], Table14[[#This Row],[Discharge Date]]-Table14[[#This Row],[Admission Date]])</f>
        <v>8</v>
      </c>
      <c r="E52" s="6" t="str">
        <f>IF(Table14[[#This Row],[Discharge Date]]="","Still Admitted","Patient Discharged")</f>
        <v>Patient Discharged</v>
      </c>
      <c r="F52" s="6" t="str">
        <f>IF(WEEKDAY(Table14[[#This Row],[Admission Date]],2)&gt;5,"Weekend","Weekday")</f>
        <v>Weekend</v>
      </c>
      <c r="G52" t="s">
        <v>7</v>
      </c>
      <c r="H52">
        <v>30</v>
      </c>
      <c r="I52" t="str" cm="1">
        <f t="array" ref="I52">_xlfn.IFS(Table14[[#This Row],[Age]]&lt;18,"Children",Table14[[#This Row],[Age]]&lt;50,"Adult",Table14[[#This Row],[Age]]&gt;=50,"Elderly")</f>
        <v>Adult</v>
      </c>
      <c r="J52" t="s">
        <v>546</v>
      </c>
      <c r="K52" s="7">
        <v>43480</v>
      </c>
      <c r="L52" s="2" t="str" cm="1">
        <f t="array" ref="L52">_xlfn.IFS(Table14[[#This Row],[Treatment Cost]]&lt;50000,"Low Billing",Table14[[#This Row],[Treatment Cost]]&lt;200000,"Moderate Billing",Table14[[#This Row],[Treatment Cost]]&gt;=200000,"High Billing")</f>
        <v>Low Billing</v>
      </c>
      <c r="M52" t="s">
        <v>8</v>
      </c>
      <c r="N52" t="str">
        <f>IF(AND(Table14[[#This Row],[Outcome]]="Follow-up",Table14[[#This Row],[Admission Status]]="Patient Discharged"),"High Risk Patient","Low Risk Patient")</f>
        <v>High Risk Patient</v>
      </c>
      <c r="O52" t="str">
        <f>IFERROR(VLOOKUP(Table14[[#This Row],[Department]],Doctor_Info!A:D,2,FALSE), "")</f>
        <v>Dr. Ada</v>
      </c>
      <c r="P52" t="str">
        <f>IF(COUNTIF(A:A,Table14[[#This Row],[Patient ID]]&gt;1),"Returning Patient","New Patient")</f>
        <v>New Patient</v>
      </c>
      <c r="Q52" t="str">
        <f>_xlfn.XLOOKUP(Table14[[#This Row],[Department]], Doctor_Info!A:A, Doctor_Info!C:C, "")&amp;""</f>
        <v>301</v>
      </c>
      <c r="R52" t="str">
        <f>TEXT(Table14[[#This Row],[Admission Date]],"ddd")</f>
        <v>Sun</v>
      </c>
      <c r="S52" t="str">
        <f>TEXT(Table14[[#This Row],[Admission Date]],"mmm")</f>
        <v>Jan</v>
      </c>
      <c r="T52" t="str">
        <f>TEXT(Table14[[#This Row],[Admission Date]],"yyyy")</f>
        <v>2024</v>
      </c>
      <c r="U52" t="str">
        <f>TEXT(Table14[[#This Row],[Admission Date]],"mmm-yyyy")</f>
        <v>Jan-2024</v>
      </c>
      <c r="V52">
        <f t="shared" ca="1" si="0"/>
        <v>8</v>
      </c>
    </row>
    <row r="53" spans="1:22" x14ac:dyDescent="0.2">
      <c r="A53" t="s">
        <v>65</v>
      </c>
      <c r="B53" s="3">
        <v>45323</v>
      </c>
      <c r="C53" s="3">
        <v>45324</v>
      </c>
      <c r="D53">
        <f ca="1">IF(ISBLANK(Table14[[#This Row],[Discharge Date]]),TODAY()-Table14[[#This Row],[Admission Date]], Table14[[#This Row],[Discharge Date]]-Table14[[#This Row],[Admission Date]])</f>
        <v>1</v>
      </c>
      <c r="E53" s="6" t="str">
        <f>IF(Table14[[#This Row],[Discharge Date]]="","Still Admitted","Patient Discharged")</f>
        <v>Patient Discharged</v>
      </c>
      <c r="F53" s="6" t="str">
        <f>IF(WEEKDAY(Table14[[#This Row],[Admission Date]],2)&gt;5,"Weekend","Weekday")</f>
        <v>Weekday</v>
      </c>
      <c r="G53" t="s">
        <v>528</v>
      </c>
      <c r="H53">
        <v>32</v>
      </c>
      <c r="I53" t="str" cm="1">
        <f t="array" ref="I53">_xlfn.IFS(Table14[[#This Row],[Age]]&lt;18,"Children",Table14[[#This Row],[Age]]&lt;50,"Adult",Table14[[#This Row],[Age]]&gt;=50,"Elderly")</f>
        <v>Adult</v>
      </c>
      <c r="J53" t="s">
        <v>547</v>
      </c>
      <c r="K53" s="7">
        <v>44450</v>
      </c>
      <c r="L53" s="2" t="str" cm="1">
        <f t="array" ref="L53">_xlfn.IFS(Table14[[#This Row],[Treatment Cost]]&lt;50000,"Low Billing",Table14[[#This Row],[Treatment Cost]]&lt;200000,"Moderate Billing",Table14[[#This Row],[Treatment Cost]]&gt;=200000,"High Billing")</f>
        <v>Low Billing</v>
      </c>
      <c r="M53" t="s">
        <v>6</v>
      </c>
      <c r="N53" t="str">
        <f>IF(AND(Table14[[#This Row],[Outcome]]="Follow-up",Table14[[#This Row],[Admission Status]]="Patient Discharged"),"High Risk Patient","Low Risk Patient")</f>
        <v>Low Risk Patient</v>
      </c>
      <c r="O53" t="str">
        <f>IFERROR(VLOOKUP(Table14[[#This Row],[Department]],Doctor_Info!A:D,2,FALSE), "")</f>
        <v>Dr. Kofi</v>
      </c>
      <c r="P53" t="str">
        <f>IF(COUNTIF(A:A,Table14[[#This Row],[Patient ID]]&gt;1),"Returning Patient","New Patient")</f>
        <v>New Patient</v>
      </c>
      <c r="Q53" t="str">
        <f>_xlfn.XLOOKUP(Table14[[#This Row],[Department]], Doctor_Info!A:A, Doctor_Info!C:C, "")&amp;""</f>
        <v>102</v>
      </c>
      <c r="R53" t="str">
        <f>TEXT(Table14[[#This Row],[Admission Date]],"ddd")</f>
        <v>Thu</v>
      </c>
      <c r="S53" t="str">
        <f>TEXT(Table14[[#This Row],[Admission Date]],"mmm")</f>
        <v>Feb</v>
      </c>
      <c r="T53" t="str">
        <f>TEXT(Table14[[#This Row],[Admission Date]],"yyyy")</f>
        <v>2024</v>
      </c>
      <c r="U53" t="str">
        <f>TEXT(Table14[[#This Row],[Admission Date]],"mmm-yyyy")</f>
        <v>Feb-2024</v>
      </c>
      <c r="V53">
        <f t="shared" ca="1" si="0"/>
        <v>8</v>
      </c>
    </row>
    <row r="54" spans="1:22" x14ac:dyDescent="0.2">
      <c r="A54" t="s">
        <v>66</v>
      </c>
      <c r="B54" s="3">
        <v>45325</v>
      </c>
      <c r="C54" s="3">
        <v>45337</v>
      </c>
      <c r="D54">
        <f ca="1">IF(ISBLANK(Table14[[#This Row],[Discharge Date]]),TODAY()-Table14[[#This Row],[Admission Date]], Table14[[#This Row],[Discharge Date]]-Table14[[#This Row],[Admission Date]])</f>
        <v>12</v>
      </c>
      <c r="E54" s="6" t="str">
        <f>IF(Table14[[#This Row],[Discharge Date]]="","Still Admitted","Patient Discharged")</f>
        <v>Patient Discharged</v>
      </c>
      <c r="F54" s="6" t="str">
        <f>IF(WEEKDAY(Table14[[#This Row],[Admission Date]],2)&gt;5,"Weekend","Weekday")</f>
        <v>Weekend</v>
      </c>
      <c r="G54" t="s">
        <v>12</v>
      </c>
      <c r="H54">
        <v>34</v>
      </c>
      <c r="I54" t="str" cm="1">
        <f t="array" ref="I54">_xlfn.IFS(Table14[[#This Row],[Age]]&lt;18,"Children",Table14[[#This Row],[Age]]&lt;50,"Adult",Table14[[#This Row],[Age]]&gt;=50,"Elderly")</f>
        <v>Adult</v>
      </c>
      <c r="J54" t="s">
        <v>546</v>
      </c>
      <c r="K54" s="7">
        <v>45420</v>
      </c>
      <c r="L54" s="2" t="str" cm="1">
        <f t="array" ref="L54">_xlfn.IFS(Table14[[#This Row],[Treatment Cost]]&lt;50000,"Low Billing",Table14[[#This Row],[Treatment Cost]]&lt;200000,"Moderate Billing",Table14[[#This Row],[Treatment Cost]]&gt;=200000,"High Billing")</f>
        <v>Low Billing</v>
      </c>
      <c r="M54" t="s">
        <v>8</v>
      </c>
      <c r="N54" t="str">
        <f>IF(AND(Table14[[#This Row],[Outcome]]="Follow-up",Table14[[#This Row],[Admission Status]]="Patient Discharged"),"High Risk Patient","Low Risk Patient")</f>
        <v>High Risk Patient</v>
      </c>
      <c r="O54" t="str">
        <f>IFERROR(VLOOKUP(Table14[[#This Row],[Department]],Doctor_Info!A:D,2,FALSE), "")</f>
        <v>Dr. Temi</v>
      </c>
      <c r="P54" t="str">
        <f>IF(COUNTIF(A:A,Table14[[#This Row],[Patient ID]]&gt;1),"Returning Patient","New Patient")</f>
        <v>New Patient</v>
      </c>
      <c r="Q54" t="str">
        <f>_xlfn.XLOOKUP(Table14[[#This Row],[Department]], Doctor_Info!A:A, Doctor_Info!C:C, "")&amp;""</f>
        <v>502</v>
      </c>
      <c r="R54" t="str">
        <f>TEXT(Table14[[#This Row],[Admission Date]],"ddd")</f>
        <v>Sat</v>
      </c>
      <c r="S54" t="str">
        <f>TEXT(Table14[[#This Row],[Admission Date]],"mmm")</f>
        <v>Feb</v>
      </c>
      <c r="T54" t="str">
        <f>TEXT(Table14[[#This Row],[Admission Date]],"yyyy")</f>
        <v>2024</v>
      </c>
      <c r="U54" t="str">
        <f>TEXT(Table14[[#This Row],[Admission Date]],"mmm-yyyy")</f>
        <v>Feb-2024</v>
      </c>
      <c r="V54">
        <f t="shared" ca="1" si="0"/>
        <v>8</v>
      </c>
    </row>
    <row r="55" spans="1:22" x14ac:dyDescent="0.2">
      <c r="A55" t="s">
        <v>67</v>
      </c>
      <c r="B55" s="3">
        <v>45327</v>
      </c>
      <c r="C55" s="3">
        <v>45328</v>
      </c>
      <c r="D55">
        <f ca="1">IF(ISBLANK(Table14[[#This Row],[Discharge Date]]),TODAY()-Table14[[#This Row],[Admission Date]], Table14[[#This Row],[Discharge Date]]-Table14[[#This Row],[Admission Date]])</f>
        <v>1</v>
      </c>
      <c r="E55" s="6" t="str">
        <f>IF(Table14[[#This Row],[Discharge Date]]="","Still Admitted","Patient Discharged")</f>
        <v>Patient Discharged</v>
      </c>
      <c r="F55" s="6" t="str">
        <f>IF(WEEKDAY(Table14[[#This Row],[Admission Date]],2)&gt;5,"Weekend","Weekday")</f>
        <v>Weekday</v>
      </c>
      <c r="G55" t="s">
        <v>528</v>
      </c>
      <c r="H55">
        <v>36</v>
      </c>
      <c r="I55" t="str" cm="1">
        <f t="array" ref="I55">_xlfn.IFS(Table14[[#This Row],[Age]]&lt;18,"Children",Table14[[#This Row],[Age]]&lt;50,"Adult",Table14[[#This Row],[Age]]&gt;=50,"Elderly")</f>
        <v>Adult</v>
      </c>
      <c r="J55" t="s">
        <v>547</v>
      </c>
      <c r="K55" s="7">
        <v>46390</v>
      </c>
      <c r="L55" s="2" t="str" cm="1">
        <f t="array" ref="L55">_xlfn.IFS(Table14[[#This Row],[Treatment Cost]]&lt;50000,"Low Billing",Table14[[#This Row],[Treatment Cost]]&lt;200000,"Moderate Billing",Table14[[#This Row],[Treatment Cost]]&gt;=200000,"High Billing")</f>
        <v>Low Billing</v>
      </c>
      <c r="M55" t="s">
        <v>6</v>
      </c>
      <c r="N55" t="str">
        <f>IF(AND(Table14[[#This Row],[Outcome]]="Follow-up",Table14[[#This Row],[Admission Status]]="Patient Discharged"),"High Risk Patient","Low Risk Patient")</f>
        <v>Low Risk Patient</v>
      </c>
      <c r="O55" t="str">
        <f>IFERROR(VLOOKUP(Table14[[#This Row],[Department]],Doctor_Info!A:D,2,FALSE), "")</f>
        <v>Dr. Kofi</v>
      </c>
      <c r="P55" t="str">
        <f>IF(COUNTIF(A:A,Table14[[#This Row],[Patient ID]]&gt;1),"Returning Patient","New Patient")</f>
        <v>New Patient</v>
      </c>
      <c r="Q55" t="str">
        <f>_xlfn.XLOOKUP(Table14[[#This Row],[Department]], Doctor_Info!A:A, Doctor_Info!C:C, "")&amp;""</f>
        <v>102</v>
      </c>
      <c r="R55" t="str">
        <f>TEXT(Table14[[#This Row],[Admission Date]],"ddd")</f>
        <v>Mon</v>
      </c>
      <c r="S55" t="str">
        <f>TEXT(Table14[[#This Row],[Admission Date]],"mmm")</f>
        <v>Feb</v>
      </c>
      <c r="T55" t="str">
        <f>TEXT(Table14[[#This Row],[Admission Date]],"yyyy")</f>
        <v>2024</v>
      </c>
      <c r="U55" t="str">
        <f>TEXT(Table14[[#This Row],[Admission Date]],"mmm-yyyy")</f>
        <v>Feb-2024</v>
      </c>
      <c r="V55">
        <f t="shared" ca="1" si="0"/>
        <v>8</v>
      </c>
    </row>
    <row r="56" spans="1:22" x14ac:dyDescent="0.2">
      <c r="A56" t="s">
        <v>68</v>
      </c>
      <c r="B56" s="3">
        <v>45332</v>
      </c>
      <c r="D56">
        <f ca="1">IF(ISBLANK(Table14[[#This Row],[Discharge Date]]),TODAY()-Table14[[#This Row],[Admission Date]], Table14[[#This Row],[Discharge Date]]-Table14[[#This Row],[Admission Date]])</f>
        <v>806</v>
      </c>
      <c r="E56" s="6" t="str">
        <f>IF(Table14[[#This Row],[Discharge Date]]="","Still Admitted","Patient Discharged")</f>
        <v>Still Admitted</v>
      </c>
      <c r="F56" s="6" t="str">
        <f>IF(WEEKDAY(Table14[[#This Row],[Admission Date]],2)&gt;5,"Weekend","Weekday")</f>
        <v>Weekend</v>
      </c>
      <c r="G56" t="s">
        <v>10</v>
      </c>
      <c r="H56">
        <v>38</v>
      </c>
      <c r="I56" t="str" cm="1">
        <f t="array" ref="I56">_xlfn.IFS(Table14[[#This Row],[Age]]&lt;18,"Children",Table14[[#This Row],[Age]]&lt;50,"Adult",Table14[[#This Row],[Age]]&gt;=50,"Elderly")</f>
        <v>Adult</v>
      </c>
      <c r="J56" t="s">
        <v>547</v>
      </c>
      <c r="K56" s="7">
        <v>47360</v>
      </c>
      <c r="L56" s="2" t="str" cm="1">
        <f t="array" ref="L56">_xlfn.IFS(Table14[[#This Row],[Treatment Cost]]&lt;50000,"Low Billing",Table14[[#This Row],[Treatment Cost]]&lt;200000,"Moderate Billing",Table14[[#This Row],[Treatment Cost]]&gt;=200000,"High Billing")</f>
        <v>Low Billing</v>
      </c>
      <c r="M56" t="s">
        <v>403</v>
      </c>
      <c r="N56" t="str">
        <f>IF(AND(Table14[[#This Row],[Outcome]]="Follow-up",Table14[[#This Row],[Admission Status]]="Patient Discharged"),"High Risk Patient","Low Risk Patient")</f>
        <v>Low Risk Patient</v>
      </c>
      <c r="O56" t="str">
        <f>IFERROR(VLOOKUP(Table14[[#This Row],[Department]],Doctor_Info!A:D,2,FALSE), "")</f>
        <v>Dr. George</v>
      </c>
      <c r="P56" t="str">
        <f>IF(COUNTIF(A:A,Table14[[#This Row],[Patient ID]]&gt;1),"Returning Patient","New Patient")</f>
        <v>New Patient</v>
      </c>
      <c r="Q56" t="str">
        <f>_xlfn.XLOOKUP(Table14[[#This Row],[Department]], Doctor_Info!A:A, Doctor_Info!C:C, "")&amp;""</f>
        <v>405</v>
      </c>
      <c r="R56" t="str">
        <f>TEXT(Table14[[#This Row],[Admission Date]],"ddd")</f>
        <v>Sat</v>
      </c>
      <c r="S56" t="str">
        <f>TEXT(Table14[[#This Row],[Admission Date]],"mmm")</f>
        <v>Feb</v>
      </c>
      <c r="T56" t="str">
        <f>TEXT(Table14[[#This Row],[Admission Date]],"yyyy")</f>
        <v>2024</v>
      </c>
      <c r="U56" t="str">
        <f>TEXT(Table14[[#This Row],[Admission Date]],"mmm-yyyy")</f>
        <v>Feb-2024</v>
      </c>
      <c r="V56">
        <f t="shared" ca="1" si="0"/>
        <v>8</v>
      </c>
    </row>
    <row r="57" spans="1:22" x14ac:dyDescent="0.2">
      <c r="A57" t="s">
        <v>69</v>
      </c>
      <c r="B57" s="3">
        <v>45319</v>
      </c>
      <c r="C57" s="3">
        <v>45327</v>
      </c>
      <c r="D57">
        <f ca="1">IF(ISBLANK(Table14[[#This Row],[Discharge Date]]),TODAY()-Table14[[#This Row],[Admission Date]], Table14[[#This Row],[Discharge Date]]-Table14[[#This Row],[Admission Date]])</f>
        <v>8</v>
      </c>
      <c r="E57" s="6" t="str">
        <f>IF(Table14[[#This Row],[Discharge Date]]="","Still Admitted","Patient Discharged")</f>
        <v>Patient Discharged</v>
      </c>
      <c r="F57" s="6" t="str">
        <f>IF(WEEKDAY(Table14[[#This Row],[Admission Date]],2)&gt;5,"Weekend","Weekday")</f>
        <v>Weekend</v>
      </c>
      <c r="G57" t="s">
        <v>7</v>
      </c>
      <c r="H57">
        <v>40</v>
      </c>
      <c r="I57" t="str" cm="1">
        <f t="array" ref="I57">_xlfn.IFS(Table14[[#This Row],[Age]]&lt;18,"Children",Table14[[#This Row],[Age]]&lt;50,"Adult",Table14[[#This Row],[Age]]&gt;=50,"Elderly")</f>
        <v>Adult</v>
      </c>
      <c r="J57" t="s">
        <v>546</v>
      </c>
      <c r="K57" s="7">
        <v>48330</v>
      </c>
      <c r="L57" s="2" t="str" cm="1">
        <f t="array" ref="L57">_xlfn.IFS(Table14[[#This Row],[Treatment Cost]]&lt;50000,"Low Billing",Table14[[#This Row],[Treatment Cost]]&lt;200000,"Moderate Billing",Table14[[#This Row],[Treatment Cost]]&gt;=200000,"High Billing")</f>
        <v>Low Billing</v>
      </c>
      <c r="M57" t="s">
        <v>8</v>
      </c>
      <c r="N57" t="str">
        <f>IF(AND(Table14[[#This Row],[Outcome]]="Follow-up",Table14[[#This Row],[Admission Status]]="Patient Discharged"),"High Risk Patient","Low Risk Patient")</f>
        <v>High Risk Patient</v>
      </c>
      <c r="O57" t="str">
        <f>IFERROR(VLOOKUP(Table14[[#This Row],[Department]],Doctor_Info!A:D,2,FALSE), "")</f>
        <v>Dr. Ada</v>
      </c>
      <c r="P57" t="str">
        <f>IF(COUNTIF(A:A,Table14[[#This Row],[Patient ID]]&gt;1),"Returning Patient","New Patient")</f>
        <v>New Patient</v>
      </c>
      <c r="Q57" t="str">
        <f>_xlfn.XLOOKUP(Table14[[#This Row],[Department]], Doctor_Info!A:A, Doctor_Info!C:C, "")&amp;""</f>
        <v>301</v>
      </c>
      <c r="R57" t="str">
        <f>TEXT(Table14[[#This Row],[Admission Date]],"ddd")</f>
        <v>Sun</v>
      </c>
      <c r="S57" t="str">
        <f>TEXT(Table14[[#This Row],[Admission Date]],"mmm")</f>
        <v>Jan</v>
      </c>
      <c r="T57" t="str">
        <f>TEXT(Table14[[#This Row],[Admission Date]],"yyyy")</f>
        <v>2024</v>
      </c>
      <c r="U57" t="str">
        <f>TEXT(Table14[[#This Row],[Admission Date]],"mmm-yyyy")</f>
        <v>Jan-2024</v>
      </c>
      <c r="V57">
        <f t="shared" ca="1" si="0"/>
        <v>8</v>
      </c>
    </row>
    <row r="58" spans="1:22" x14ac:dyDescent="0.2">
      <c r="A58" t="s">
        <v>70</v>
      </c>
      <c r="B58" s="3">
        <v>45323</v>
      </c>
      <c r="C58" s="3">
        <v>45324</v>
      </c>
      <c r="D58">
        <f ca="1">IF(ISBLANK(Table14[[#This Row],[Discharge Date]]),TODAY()-Table14[[#This Row],[Admission Date]], Table14[[#This Row],[Discharge Date]]-Table14[[#This Row],[Admission Date]])</f>
        <v>1</v>
      </c>
      <c r="E58" s="6" t="str">
        <f>IF(Table14[[#This Row],[Discharge Date]]="","Still Admitted","Patient Discharged")</f>
        <v>Patient Discharged</v>
      </c>
      <c r="F58" s="6" t="str">
        <f>IF(WEEKDAY(Table14[[#This Row],[Admission Date]],2)&gt;5,"Weekend","Weekday")</f>
        <v>Weekday</v>
      </c>
      <c r="G58" t="s">
        <v>528</v>
      </c>
      <c r="H58">
        <v>42</v>
      </c>
      <c r="I58" t="str" cm="1">
        <f t="array" ref="I58">_xlfn.IFS(Table14[[#This Row],[Age]]&lt;18,"Children",Table14[[#This Row],[Age]]&lt;50,"Adult",Table14[[#This Row],[Age]]&gt;=50,"Elderly")</f>
        <v>Adult</v>
      </c>
      <c r="J58" t="s">
        <v>547</v>
      </c>
      <c r="K58" s="7">
        <v>49300</v>
      </c>
      <c r="L58" s="2" t="str" cm="1">
        <f t="array" ref="L58">_xlfn.IFS(Table14[[#This Row],[Treatment Cost]]&lt;50000,"Low Billing",Table14[[#This Row],[Treatment Cost]]&lt;200000,"Moderate Billing",Table14[[#This Row],[Treatment Cost]]&gt;=200000,"High Billing")</f>
        <v>Low Billing</v>
      </c>
      <c r="M58" t="s">
        <v>6</v>
      </c>
      <c r="N58" t="str">
        <f>IF(AND(Table14[[#This Row],[Outcome]]="Follow-up",Table14[[#This Row],[Admission Status]]="Patient Discharged"),"High Risk Patient","Low Risk Patient")</f>
        <v>Low Risk Patient</v>
      </c>
      <c r="O58" t="str">
        <f>IFERROR(VLOOKUP(Table14[[#This Row],[Department]],Doctor_Info!A:D,2,FALSE), "")</f>
        <v>Dr. Kofi</v>
      </c>
      <c r="P58" t="str">
        <f>IF(COUNTIF(A:A,Table14[[#This Row],[Patient ID]]&gt;1),"Returning Patient","New Patient")</f>
        <v>New Patient</v>
      </c>
      <c r="Q58" t="str">
        <f>_xlfn.XLOOKUP(Table14[[#This Row],[Department]], Doctor_Info!A:A, Doctor_Info!C:C, "")&amp;""</f>
        <v>102</v>
      </c>
      <c r="R58" t="str">
        <f>TEXT(Table14[[#This Row],[Admission Date]],"ddd")</f>
        <v>Thu</v>
      </c>
      <c r="S58" t="str">
        <f>TEXT(Table14[[#This Row],[Admission Date]],"mmm")</f>
        <v>Feb</v>
      </c>
      <c r="T58" t="str">
        <f>TEXT(Table14[[#This Row],[Admission Date]],"yyyy")</f>
        <v>2024</v>
      </c>
      <c r="U58" t="str">
        <f>TEXT(Table14[[#This Row],[Admission Date]],"mmm-yyyy")</f>
        <v>Feb-2024</v>
      </c>
      <c r="V58">
        <f t="shared" ca="1" si="0"/>
        <v>8</v>
      </c>
    </row>
    <row r="59" spans="1:22" x14ac:dyDescent="0.2">
      <c r="A59" t="s">
        <v>71</v>
      </c>
      <c r="B59" s="3">
        <v>45325</v>
      </c>
      <c r="C59" s="3">
        <v>45337</v>
      </c>
      <c r="D59">
        <f ca="1">IF(ISBLANK(Table14[[#This Row],[Discharge Date]]),TODAY()-Table14[[#This Row],[Admission Date]], Table14[[#This Row],[Discharge Date]]-Table14[[#This Row],[Admission Date]])</f>
        <v>12</v>
      </c>
      <c r="E59" s="6" t="str">
        <f>IF(Table14[[#This Row],[Discharge Date]]="","Still Admitted","Patient Discharged")</f>
        <v>Patient Discharged</v>
      </c>
      <c r="F59" s="6" t="str">
        <f>IF(WEEKDAY(Table14[[#This Row],[Admission Date]],2)&gt;5,"Weekend","Weekday")</f>
        <v>Weekend</v>
      </c>
      <c r="G59" t="s">
        <v>12</v>
      </c>
      <c r="H59">
        <v>44</v>
      </c>
      <c r="I59" t="str" cm="1">
        <f t="array" ref="I59">_xlfn.IFS(Table14[[#This Row],[Age]]&lt;18,"Children",Table14[[#This Row],[Age]]&lt;50,"Adult",Table14[[#This Row],[Age]]&gt;=50,"Elderly")</f>
        <v>Adult</v>
      </c>
      <c r="J59" t="s">
        <v>546</v>
      </c>
      <c r="K59" s="7">
        <v>50270</v>
      </c>
      <c r="L59" s="2" t="str" cm="1">
        <f t="array" ref="L59">_xlfn.IFS(Table14[[#This Row],[Treatment Cost]]&lt;50000,"Low Billing",Table14[[#This Row],[Treatment Cost]]&lt;200000,"Moderate Billing",Table14[[#This Row],[Treatment Cost]]&gt;=200000,"High Billing")</f>
        <v>Moderate Billing</v>
      </c>
      <c r="M59" t="s">
        <v>8</v>
      </c>
      <c r="N59" t="str">
        <f>IF(AND(Table14[[#This Row],[Outcome]]="Follow-up",Table14[[#This Row],[Admission Status]]="Patient Discharged"),"High Risk Patient","Low Risk Patient")</f>
        <v>High Risk Patient</v>
      </c>
      <c r="O59" t="str">
        <f>IFERROR(VLOOKUP(Table14[[#This Row],[Department]],Doctor_Info!A:D,2,FALSE), "")</f>
        <v>Dr. Temi</v>
      </c>
      <c r="P59" t="str">
        <f>IF(COUNTIF(A:A,Table14[[#This Row],[Patient ID]]&gt;1),"Returning Patient","New Patient")</f>
        <v>New Patient</v>
      </c>
      <c r="Q59" t="str">
        <f>_xlfn.XLOOKUP(Table14[[#This Row],[Department]], Doctor_Info!A:A, Doctor_Info!C:C, "")&amp;""</f>
        <v>502</v>
      </c>
      <c r="R59" t="str">
        <f>TEXT(Table14[[#This Row],[Admission Date]],"ddd")</f>
        <v>Sat</v>
      </c>
      <c r="S59" t="str">
        <f>TEXT(Table14[[#This Row],[Admission Date]],"mmm")</f>
        <v>Feb</v>
      </c>
      <c r="T59" t="str">
        <f>TEXT(Table14[[#This Row],[Admission Date]],"yyyy")</f>
        <v>2024</v>
      </c>
      <c r="U59" t="str">
        <f>TEXT(Table14[[#This Row],[Admission Date]],"mmm-yyyy")</f>
        <v>Feb-2024</v>
      </c>
      <c r="V59">
        <f t="shared" ca="1" si="0"/>
        <v>8</v>
      </c>
    </row>
    <row r="60" spans="1:22" x14ac:dyDescent="0.2">
      <c r="A60" t="s">
        <v>72</v>
      </c>
      <c r="B60" s="3">
        <v>45327</v>
      </c>
      <c r="C60" s="3">
        <v>45328</v>
      </c>
      <c r="D60">
        <f ca="1">IF(ISBLANK(Table14[[#This Row],[Discharge Date]]),TODAY()-Table14[[#This Row],[Admission Date]], Table14[[#This Row],[Discharge Date]]-Table14[[#This Row],[Admission Date]])</f>
        <v>1</v>
      </c>
      <c r="E60" s="6" t="str">
        <f>IF(Table14[[#This Row],[Discharge Date]]="","Still Admitted","Patient Discharged")</f>
        <v>Patient Discharged</v>
      </c>
      <c r="F60" s="6" t="str">
        <f>IF(WEEKDAY(Table14[[#This Row],[Admission Date]],2)&gt;5,"Weekend","Weekday")</f>
        <v>Weekday</v>
      </c>
      <c r="G60" t="s">
        <v>528</v>
      </c>
      <c r="H60">
        <v>46</v>
      </c>
      <c r="I60" t="str" cm="1">
        <f t="array" ref="I60">_xlfn.IFS(Table14[[#This Row],[Age]]&lt;18,"Children",Table14[[#This Row],[Age]]&lt;50,"Adult",Table14[[#This Row],[Age]]&gt;=50,"Elderly")</f>
        <v>Adult</v>
      </c>
      <c r="J60" t="s">
        <v>547</v>
      </c>
      <c r="K60" s="7">
        <v>51240</v>
      </c>
      <c r="L60" s="2" t="str" cm="1">
        <f t="array" ref="L60">_xlfn.IFS(Table14[[#This Row],[Treatment Cost]]&lt;50000,"Low Billing",Table14[[#This Row],[Treatment Cost]]&lt;200000,"Moderate Billing",Table14[[#This Row],[Treatment Cost]]&gt;=200000,"High Billing")</f>
        <v>Moderate Billing</v>
      </c>
      <c r="M60" t="s">
        <v>6</v>
      </c>
      <c r="N60" t="str">
        <f>IF(AND(Table14[[#This Row],[Outcome]]="Follow-up",Table14[[#This Row],[Admission Status]]="Patient Discharged"),"High Risk Patient","Low Risk Patient")</f>
        <v>Low Risk Patient</v>
      </c>
      <c r="O60" t="str">
        <f>IFERROR(VLOOKUP(Table14[[#This Row],[Department]],Doctor_Info!A:D,2,FALSE), "")</f>
        <v>Dr. Kofi</v>
      </c>
      <c r="P60" t="str">
        <f>IF(COUNTIF(A:A,Table14[[#This Row],[Patient ID]]&gt;1),"Returning Patient","New Patient")</f>
        <v>New Patient</v>
      </c>
      <c r="Q60" t="str">
        <f>_xlfn.XLOOKUP(Table14[[#This Row],[Department]], Doctor_Info!A:A, Doctor_Info!C:C, "")&amp;""</f>
        <v>102</v>
      </c>
      <c r="R60" t="str">
        <f>TEXT(Table14[[#This Row],[Admission Date]],"ddd")</f>
        <v>Mon</v>
      </c>
      <c r="S60" t="str">
        <f>TEXT(Table14[[#This Row],[Admission Date]],"mmm")</f>
        <v>Feb</v>
      </c>
      <c r="T60" t="str">
        <f>TEXT(Table14[[#This Row],[Admission Date]],"yyyy")</f>
        <v>2024</v>
      </c>
      <c r="U60" t="str">
        <f>TEXT(Table14[[#This Row],[Admission Date]],"mmm-yyyy")</f>
        <v>Feb-2024</v>
      </c>
      <c r="V60">
        <f t="shared" ca="1" si="0"/>
        <v>8</v>
      </c>
    </row>
    <row r="61" spans="1:22" x14ac:dyDescent="0.2">
      <c r="A61" t="s">
        <v>73</v>
      </c>
      <c r="B61" s="3">
        <v>45332</v>
      </c>
      <c r="D61">
        <f ca="1">IF(ISBLANK(Table14[[#This Row],[Discharge Date]]),TODAY()-Table14[[#This Row],[Admission Date]], Table14[[#This Row],[Discharge Date]]-Table14[[#This Row],[Admission Date]])</f>
        <v>806</v>
      </c>
      <c r="E61" s="6" t="str">
        <f>IF(Table14[[#This Row],[Discharge Date]]="","Still Admitted","Patient Discharged")</f>
        <v>Still Admitted</v>
      </c>
      <c r="F61" s="6" t="str">
        <f>IF(WEEKDAY(Table14[[#This Row],[Admission Date]],2)&gt;5,"Weekend","Weekday")</f>
        <v>Weekend</v>
      </c>
      <c r="G61" t="s">
        <v>10</v>
      </c>
      <c r="H61">
        <v>48</v>
      </c>
      <c r="I61" t="str" cm="1">
        <f t="array" ref="I61">_xlfn.IFS(Table14[[#This Row],[Age]]&lt;18,"Children",Table14[[#This Row],[Age]]&lt;50,"Adult",Table14[[#This Row],[Age]]&gt;=50,"Elderly")</f>
        <v>Adult</v>
      </c>
      <c r="J61" t="s">
        <v>547</v>
      </c>
      <c r="K61" s="7">
        <v>52210</v>
      </c>
      <c r="L61" s="2" t="str" cm="1">
        <f t="array" ref="L61">_xlfn.IFS(Table14[[#This Row],[Treatment Cost]]&lt;50000,"Low Billing",Table14[[#This Row],[Treatment Cost]]&lt;200000,"Moderate Billing",Table14[[#This Row],[Treatment Cost]]&gt;=200000,"High Billing")</f>
        <v>Moderate Billing</v>
      </c>
      <c r="M61" t="s">
        <v>403</v>
      </c>
      <c r="N61" t="str">
        <f>IF(AND(Table14[[#This Row],[Outcome]]="Follow-up",Table14[[#This Row],[Admission Status]]="Patient Discharged"),"High Risk Patient","Low Risk Patient")</f>
        <v>Low Risk Patient</v>
      </c>
      <c r="O61" t="str">
        <f>IFERROR(VLOOKUP(Table14[[#This Row],[Department]],Doctor_Info!A:D,2,FALSE), "")</f>
        <v>Dr. George</v>
      </c>
      <c r="P61" t="str">
        <f>IF(COUNTIF(A:A,Table14[[#This Row],[Patient ID]]&gt;1),"Returning Patient","New Patient")</f>
        <v>New Patient</v>
      </c>
      <c r="Q61" t="str">
        <f>_xlfn.XLOOKUP(Table14[[#This Row],[Department]], Doctor_Info!A:A, Doctor_Info!C:C, "")&amp;""</f>
        <v>405</v>
      </c>
      <c r="R61" t="str">
        <f>TEXT(Table14[[#This Row],[Admission Date]],"ddd")</f>
        <v>Sat</v>
      </c>
      <c r="S61" t="str">
        <f>TEXT(Table14[[#This Row],[Admission Date]],"mmm")</f>
        <v>Feb</v>
      </c>
      <c r="T61" t="str">
        <f>TEXT(Table14[[#This Row],[Admission Date]],"yyyy")</f>
        <v>2024</v>
      </c>
      <c r="U61" t="str">
        <f>TEXT(Table14[[#This Row],[Admission Date]],"mmm-yyyy")</f>
        <v>Feb-2024</v>
      </c>
      <c r="V61">
        <f t="shared" ca="1" si="0"/>
        <v>8</v>
      </c>
    </row>
    <row r="62" spans="1:22" x14ac:dyDescent="0.2">
      <c r="A62" t="s">
        <v>74</v>
      </c>
      <c r="B62" s="3">
        <v>45319</v>
      </c>
      <c r="C62" s="3">
        <v>45327</v>
      </c>
      <c r="D62">
        <f ca="1">IF(ISBLANK(Table14[[#This Row],[Discharge Date]]),TODAY()-Table14[[#This Row],[Admission Date]], Table14[[#This Row],[Discharge Date]]-Table14[[#This Row],[Admission Date]])</f>
        <v>8</v>
      </c>
      <c r="E62" s="6" t="str">
        <f>IF(Table14[[#This Row],[Discharge Date]]="","Still Admitted","Patient Discharged")</f>
        <v>Patient Discharged</v>
      </c>
      <c r="F62" s="6" t="str">
        <f>IF(WEEKDAY(Table14[[#This Row],[Admission Date]],2)&gt;5,"Weekend","Weekday")</f>
        <v>Weekend</v>
      </c>
      <c r="G62" t="s">
        <v>7</v>
      </c>
      <c r="H62">
        <v>50</v>
      </c>
      <c r="I62" t="str" cm="1">
        <f t="array" ref="I62">_xlfn.IFS(Table14[[#This Row],[Age]]&lt;18,"Children",Table14[[#This Row],[Age]]&lt;50,"Adult",Table14[[#This Row],[Age]]&gt;=50,"Elderly")</f>
        <v>Elderly</v>
      </c>
      <c r="J62" t="s">
        <v>546</v>
      </c>
      <c r="K62" s="7">
        <v>53180</v>
      </c>
      <c r="L62" s="2" t="str" cm="1">
        <f t="array" ref="L62">_xlfn.IFS(Table14[[#This Row],[Treatment Cost]]&lt;50000,"Low Billing",Table14[[#This Row],[Treatment Cost]]&lt;200000,"Moderate Billing",Table14[[#This Row],[Treatment Cost]]&gt;=200000,"High Billing")</f>
        <v>Moderate Billing</v>
      </c>
      <c r="M62" t="s">
        <v>8</v>
      </c>
      <c r="N62" t="str">
        <f>IF(AND(Table14[[#This Row],[Outcome]]="Follow-up",Table14[[#This Row],[Admission Status]]="Patient Discharged"),"High Risk Patient","Low Risk Patient")</f>
        <v>High Risk Patient</v>
      </c>
      <c r="O62" t="str">
        <f>IFERROR(VLOOKUP(Table14[[#This Row],[Department]],Doctor_Info!A:D,2,FALSE), "")</f>
        <v>Dr. Ada</v>
      </c>
      <c r="P62" t="str">
        <f>IF(COUNTIF(A:A,Table14[[#This Row],[Patient ID]]&gt;1),"Returning Patient","New Patient")</f>
        <v>New Patient</v>
      </c>
      <c r="Q62" t="str">
        <f>_xlfn.XLOOKUP(Table14[[#This Row],[Department]], Doctor_Info!A:A, Doctor_Info!C:C, "")&amp;""</f>
        <v>301</v>
      </c>
      <c r="R62" t="str">
        <f>TEXT(Table14[[#This Row],[Admission Date]],"ddd")</f>
        <v>Sun</v>
      </c>
      <c r="S62" t="str">
        <f>TEXT(Table14[[#This Row],[Admission Date]],"mmm")</f>
        <v>Jan</v>
      </c>
      <c r="T62" t="str">
        <f>TEXT(Table14[[#This Row],[Admission Date]],"yyyy")</f>
        <v>2024</v>
      </c>
      <c r="U62" t="str">
        <f>TEXT(Table14[[#This Row],[Admission Date]],"mmm-yyyy")</f>
        <v>Jan-2024</v>
      </c>
      <c r="V62">
        <f t="shared" ca="1" si="0"/>
        <v>8</v>
      </c>
    </row>
    <row r="63" spans="1:22" x14ac:dyDescent="0.2">
      <c r="A63" t="s">
        <v>75</v>
      </c>
      <c r="B63" s="3">
        <v>45323</v>
      </c>
      <c r="C63" s="3">
        <v>45324</v>
      </c>
      <c r="D63">
        <f ca="1">IF(ISBLANK(Table14[[#This Row],[Discharge Date]]),TODAY()-Table14[[#This Row],[Admission Date]], Table14[[#This Row],[Discharge Date]]-Table14[[#This Row],[Admission Date]])</f>
        <v>1</v>
      </c>
      <c r="E63" s="6" t="str">
        <f>IF(Table14[[#This Row],[Discharge Date]]="","Still Admitted","Patient Discharged")</f>
        <v>Patient Discharged</v>
      </c>
      <c r="F63" s="6" t="str">
        <f>IF(WEEKDAY(Table14[[#This Row],[Admission Date]],2)&gt;5,"Weekend","Weekday")</f>
        <v>Weekday</v>
      </c>
      <c r="G63" t="s">
        <v>528</v>
      </c>
      <c r="H63">
        <v>52</v>
      </c>
      <c r="I63" t="str" cm="1">
        <f t="array" ref="I63">_xlfn.IFS(Table14[[#This Row],[Age]]&lt;18,"Children",Table14[[#This Row],[Age]]&lt;50,"Adult",Table14[[#This Row],[Age]]&gt;=50,"Elderly")</f>
        <v>Elderly</v>
      </c>
      <c r="J63" t="s">
        <v>547</v>
      </c>
      <c r="K63" s="7">
        <v>54150</v>
      </c>
      <c r="L63" s="2" t="str" cm="1">
        <f t="array" ref="L63">_xlfn.IFS(Table14[[#This Row],[Treatment Cost]]&lt;50000,"Low Billing",Table14[[#This Row],[Treatment Cost]]&lt;200000,"Moderate Billing",Table14[[#This Row],[Treatment Cost]]&gt;=200000,"High Billing")</f>
        <v>Moderate Billing</v>
      </c>
      <c r="M63" t="s">
        <v>6</v>
      </c>
      <c r="N63" t="str">
        <f>IF(AND(Table14[[#This Row],[Outcome]]="Follow-up",Table14[[#This Row],[Admission Status]]="Patient Discharged"),"High Risk Patient","Low Risk Patient")</f>
        <v>Low Risk Patient</v>
      </c>
      <c r="O63" t="str">
        <f>IFERROR(VLOOKUP(Table14[[#This Row],[Department]],Doctor_Info!A:D,2,FALSE), "")</f>
        <v>Dr. Kofi</v>
      </c>
      <c r="P63" t="str">
        <f>IF(COUNTIF(A:A,Table14[[#This Row],[Patient ID]]&gt;1),"Returning Patient","New Patient")</f>
        <v>New Patient</v>
      </c>
      <c r="Q63" t="str">
        <f>_xlfn.XLOOKUP(Table14[[#This Row],[Department]], Doctor_Info!A:A, Doctor_Info!C:C, "")&amp;""</f>
        <v>102</v>
      </c>
      <c r="R63" t="str">
        <f>TEXT(Table14[[#This Row],[Admission Date]],"ddd")</f>
        <v>Thu</v>
      </c>
      <c r="S63" t="str">
        <f>TEXT(Table14[[#This Row],[Admission Date]],"mmm")</f>
        <v>Feb</v>
      </c>
      <c r="T63" t="str">
        <f>TEXT(Table14[[#This Row],[Admission Date]],"yyyy")</f>
        <v>2024</v>
      </c>
      <c r="U63" t="str">
        <f>TEXT(Table14[[#This Row],[Admission Date]],"mmm-yyyy")</f>
        <v>Feb-2024</v>
      </c>
      <c r="V63">
        <f t="shared" ca="1" si="0"/>
        <v>8</v>
      </c>
    </row>
    <row r="64" spans="1:22" x14ac:dyDescent="0.2">
      <c r="A64" t="s">
        <v>76</v>
      </c>
      <c r="B64" s="3">
        <v>45325</v>
      </c>
      <c r="C64" s="3">
        <v>45337</v>
      </c>
      <c r="D64">
        <f ca="1">IF(ISBLANK(Table14[[#This Row],[Discharge Date]]),TODAY()-Table14[[#This Row],[Admission Date]], Table14[[#This Row],[Discharge Date]]-Table14[[#This Row],[Admission Date]])</f>
        <v>12</v>
      </c>
      <c r="E64" s="6" t="str">
        <f>IF(Table14[[#This Row],[Discharge Date]]="","Still Admitted","Patient Discharged")</f>
        <v>Patient Discharged</v>
      </c>
      <c r="F64" s="6" t="str">
        <f>IF(WEEKDAY(Table14[[#This Row],[Admission Date]],2)&gt;5,"Weekend","Weekday")</f>
        <v>Weekend</v>
      </c>
      <c r="G64" t="s">
        <v>12</v>
      </c>
      <c r="H64">
        <v>54</v>
      </c>
      <c r="I64" t="str" cm="1">
        <f t="array" ref="I64">_xlfn.IFS(Table14[[#This Row],[Age]]&lt;18,"Children",Table14[[#This Row],[Age]]&lt;50,"Adult",Table14[[#This Row],[Age]]&gt;=50,"Elderly")</f>
        <v>Elderly</v>
      </c>
      <c r="J64" t="s">
        <v>546</v>
      </c>
      <c r="K64" s="7">
        <v>55120</v>
      </c>
      <c r="L64" s="2" t="str" cm="1">
        <f t="array" ref="L64">_xlfn.IFS(Table14[[#This Row],[Treatment Cost]]&lt;50000,"Low Billing",Table14[[#This Row],[Treatment Cost]]&lt;200000,"Moderate Billing",Table14[[#This Row],[Treatment Cost]]&gt;=200000,"High Billing")</f>
        <v>Moderate Billing</v>
      </c>
      <c r="M64" t="s">
        <v>8</v>
      </c>
      <c r="N64" t="str">
        <f>IF(AND(Table14[[#This Row],[Outcome]]="Follow-up",Table14[[#This Row],[Admission Status]]="Patient Discharged"),"High Risk Patient","Low Risk Patient")</f>
        <v>High Risk Patient</v>
      </c>
      <c r="O64" t="str">
        <f>IFERROR(VLOOKUP(Table14[[#This Row],[Department]],Doctor_Info!A:D,2,FALSE), "")</f>
        <v>Dr. Temi</v>
      </c>
      <c r="P64" t="str">
        <f>IF(COUNTIF(A:A,Table14[[#This Row],[Patient ID]]&gt;1),"Returning Patient","New Patient")</f>
        <v>New Patient</v>
      </c>
      <c r="Q64" t="str">
        <f>_xlfn.XLOOKUP(Table14[[#This Row],[Department]], Doctor_Info!A:A, Doctor_Info!C:C, "")&amp;""</f>
        <v>502</v>
      </c>
      <c r="R64" t="str">
        <f>TEXT(Table14[[#This Row],[Admission Date]],"ddd")</f>
        <v>Sat</v>
      </c>
      <c r="S64" t="str">
        <f>TEXT(Table14[[#This Row],[Admission Date]],"mmm")</f>
        <v>Feb</v>
      </c>
      <c r="T64" t="str">
        <f>TEXT(Table14[[#This Row],[Admission Date]],"yyyy")</f>
        <v>2024</v>
      </c>
      <c r="U64" t="str">
        <f>TEXT(Table14[[#This Row],[Admission Date]],"mmm-yyyy")</f>
        <v>Feb-2024</v>
      </c>
      <c r="V64">
        <f t="shared" ca="1" si="0"/>
        <v>8</v>
      </c>
    </row>
    <row r="65" spans="1:22" x14ac:dyDescent="0.2">
      <c r="A65" t="s">
        <v>77</v>
      </c>
      <c r="B65" s="3">
        <v>45327</v>
      </c>
      <c r="C65" s="3">
        <v>45328</v>
      </c>
      <c r="D65">
        <f ca="1">IF(ISBLANK(Table14[[#This Row],[Discharge Date]]),TODAY()-Table14[[#This Row],[Admission Date]], Table14[[#This Row],[Discharge Date]]-Table14[[#This Row],[Admission Date]])</f>
        <v>1</v>
      </c>
      <c r="E65" s="6" t="str">
        <f>IF(Table14[[#This Row],[Discharge Date]]="","Still Admitted","Patient Discharged")</f>
        <v>Patient Discharged</v>
      </c>
      <c r="F65" s="6" t="str">
        <f>IF(WEEKDAY(Table14[[#This Row],[Admission Date]],2)&gt;5,"Weekend","Weekday")</f>
        <v>Weekday</v>
      </c>
      <c r="G65" t="s">
        <v>528</v>
      </c>
      <c r="H65">
        <v>56</v>
      </c>
      <c r="I65" t="str" cm="1">
        <f t="array" ref="I65">_xlfn.IFS(Table14[[#This Row],[Age]]&lt;18,"Children",Table14[[#This Row],[Age]]&lt;50,"Adult",Table14[[#This Row],[Age]]&gt;=50,"Elderly")</f>
        <v>Elderly</v>
      </c>
      <c r="J65" t="s">
        <v>547</v>
      </c>
      <c r="K65" s="7">
        <v>56090</v>
      </c>
      <c r="L65" s="2" t="str" cm="1">
        <f t="array" ref="L65">_xlfn.IFS(Table14[[#This Row],[Treatment Cost]]&lt;50000,"Low Billing",Table14[[#This Row],[Treatment Cost]]&lt;200000,"Moderate Billing",Table14[[#This Row],[Treatment Cost]]&gt;=200000,"High Billing")</f>
        <v>Moderate Billing</v>
      </c>
      <c r="M65" t="s">
        <v>6</v>
      </c>
      <c r="N65" t="str">
        <f>IF(AND(Table14[[#This Row],[Outcome]]="Follow-up",Table14[[#This Row],[Admission Status]]="Patient Discharged"),"High Risk Patient","Low Risk Patient")</f>
        <v>Low Risk Patient</v>
      </c>
      <c r="O65" t="str">
        <f>IFERROR(VLOOKUP(Table14[[#This Row],[Department]],Doctor_Info!A:D,2,FALSE), "")</f>
        <v>Dr. Kofi</v>
      </c>
      <c r="P65" t="str">
        <f>IF(COUNTIF(A:A,Table14[[#This Row],[Patient ID]]&gt;1),"Returning Patient","New Patient")</f>
        <v>New Patient</v>
      </c>
      <c r="Q65" t="str">
        <f>_xlfn.XLOOKUP(Table14[[#This Row],[Department]], Doctor_Info!A:A, Doctor_Info!C:C, "")&amp;""</f>
        <v>102</v>
      </c>
      <c r="R65" t="str">
        <f>TEXT(Table14[[#This Row],[Admission Date]],"ddd")</f>
        <v>Mon</v>
      </c>
      <c r="S65" t="str">
        <f>TEXT(Table14[[#This Row],[Admission Date]],"mmm")</f>
        <v>Feb</v>
      </c>
      <c r="T65" t="str">
        <f>TEXT(Table14[[#This Row],[Admission Date]],"yyyy")</f>
        <v>2024</v>
      </c>
      <c r="U65" t="str">
        <f>TEXT(Table14[[#This Row],[Admission Date]],"mmm-yyyy")</f>
        <v>Feb-2024</v>
      </c>
      <c r="V65">
        <f t="shared" ca="1" si="0"/>
        <v>8</v>
      </c>
    </row>
    <row r="66" spans="1:22" x14ac:dyDescent="0.2">
      <c r="A66" t="s">
        <v>78</v>
      </c>
      <c r="B66" s="3">
        <v>45332</v>
      </c>
      <c r="D66">
        <f ca="1">IF(ISBLANK(Table14[[#This Row],[Discharge Date]]),TODAY()-Table14[[#This Row],[Admission Date]], Table14[[#This Row],[Discharge Date]]-Table14[[#This Row],[Admission Date]])</f>
        <v>806</v>
      </c>
      <c r="E66" s="6" t="str">
        <f>IF(Table14[[#This Row],[Discharge Date]]="","Still Admitted","Patient Discharged")</f>
        <v>Still Admitted</v>
      </c>
      <c r="F66" s="6" t="str">
        <f>IF(WEEKDAY(Table14[[#This Row],[Admission Date]],2)&gt;5,"Weekend","Weekday")</f>
        <v>Weekend</v>
      </c>
      <c r="G66" t="s">
        <v>10</v>
      </c>
      <c r="H66">
        <v>58</v>
      </c>
      <c r="I66" t="str" cm="1">
        <f t="array" ref="I66">_xlfn.IFS(Table14[[#This Row],[Age]]&lt;18,"Children",Table14[[#This Row],[Age]]&lt;50,"Adult",Table14[[#This Row],[Age]]&gt;=50,"Elderly")</f>
        <v>Elderly</v>
      </c>
      <c r="J66" t="s">
        <v>547</v>
      </c>
      <c r="K66" s="7">
        <v>57060</v>
      </c>
      <c r="L66" s="2" t="str" cm="1">
        <f t="array" ref="L66">_xlfn.IFS(Table14[[#This Row],[Treatment Cost]]&lt;50000,"Low Billing",Table14[[#This Row],[Treatment Cost]]&lt;200000,"Moderate Billing",Table14[[#This Row],[Treatment Cost]]&gt;=200000,"High Billing")</f>
        <v>Moderate Billing</v>
      </c>
      <c r="M66" t="s">
        <v>403</v>
      </c>
      <c r="N66" t="str">
        <f>IF(AND(Table14[[#This Row],[Outcome]]="Follow-up",Table14[[#This Row],[Admission Status]]="Patient Discharged"),"High Risk Patient","Low Risk Patient")</f>
        <v>Low Risk Patient</v>
      </c>
      <c r="O66" t="str">
        <f>IFERROR(VLOOKUP(Table14[[#This Row],[Department]],Doctor_Info!A:D,2,FALSE), "")</f>
        <v>Dr. George</v>
      </c>
      <c r="P66" t="str">
        <f>IF(COUNTIF(A:A,Table14[[#This Row],[Patient ID]]&gt;1),"Returning Patient","New Patient")</f>
        <v>New Patient</v>
      </c>
      <c r="Q66" t="str">
        <f>_xlfn.XLOOKUP(Table14[[#This Row],[Department]], Doctor_Info!A:A, Doctor_Info!C:C, "")&amp;""</f>
        <v>405</v>
      </c>
      <c r="R66" t="str">
        <f>TEXT(Table14[[#This Row],[Admission Date]],"ddd")</f>
        <v>Sat</v>
      </c>
      <c r="S66" t="str">
        <f>TEXT(Table14[[#This Row],[Admission Date]],"mmm")</f>
        <v>Feb</v>
      </c>
      <c r="T66" t="str">
        <f>TEXT(Table14[[#This Row],[Admission Date]],"yyyy")</f>
        <v>2024</v>
      </c>
      <c r="U66" t="str">
        <f>TEXT(Table14[[#This Row],[Admission Date]],"mmm-yyyy")</f>
        <v>Feb-2024</v>
      </c>
      <c r="V66">
        <f t="shared" ref="V66:V129" ca="1" si="1">MEDIAN($D$2:$D$484)</f>
        <v>8</v>
      </c>
    </row>
    <row r="67" spans="1:22" x14ac:dyDescent="0.2">
      <c r="A67" t="s">
        <v>79</v>
      </c>
      <c r="B67" s="3">
        <v>45319</v>
      </c>
      <c r="C67" s="3">
        <v>45327</v>
      </c>
      <c r="D67">
        <f ca="1">IF(ISBLANK(Table14[[#This Row],[Discharge Date]]),TODAY()-Table14[[#This Row],[Admission Date]], Table14[[#This Row],[Discharge Date]]-Table14[[#This Row],[Admission Date]])</f>
        <v>8</v>
      </c>
      <c r="E67" s="6" t="str">
        <f>IF(Table14[[#This Row],[Discharge Date]]="","Still Admitted","Patient Discharged")</f>
        <v>Patient Discharged</v>
      </c>
      <c r="F67" s="6" t="str">
        <f>IF(WEEKDAY(Table14[[#This Row],[Admission Date]],2)&gt;5,"Weekend","Weekday")</f>
        <v>Weekend</v>
      </c>
      <c r="G67" t="s">
        <v>7</v>
      </c>
      <c r="H67">
        <v>60</v>
      </c>
      <c r="I67" t="str" cm="1">
        <f t="array" ref="I67">_xlfn.IFS(Table14[[#This Row],[Age]]&lt;18,"Children",Table14[[#This Row],[Age]]&lt;50,"Adult",Table14[[#This Row],[Age]]&gt;=50,"Elderly")</f>
        <v>Elderly</v>
      </c>
      <c r="J67" t="s">
        <v>546</v>
      </c>
      <c r="K67" s="7">
        <v>58030</v>
      </c>
      <c r="L67" s="2" t="str" cm="1">
        <f t="array" ref="L67">_xlfn.IFS(Table14[[#This Row],[Treatment Cost]]&lt;50000,"Low Billing",Table14[[#This Row],[Treatment Cost]]&lt;200000,"Moderate Billing",Table14[[#This Row],[Treatment Cost]]&gt;=200000,"High Billing")</f>
        <v>Moderate Billing</v>
      </c>
      <c r="M67" t="s">
        <v>8</v>
      </c>
      <c r="N67" t="str">
        <f>IF(AND(Table14[[#This Row],[Outcome]]="Follow-up",Table14[[#This Row],[Admission Status]]="Patient Discharged"),"High Risk Patient","Low Risk Patient")</f>
        <v>High Risk Patient</v>
      </c>
      <c r="O67" t="str">
        <f>IFERROR(VLOOKUP(Table14[[#This Row],[Department]],Doctor_Info!A:D,2,FALSE), "")</f>
        <v>Dr. Ada</v>
      </c>
      <c r="P67" t="str">
        <f>IF(COUNTIF(A:A,Table14[[#This Row],[Patient ID]]&gt;1),"Returning Patient","New Patient")</f>
        <v>New Patient</v>
      </c>
      <c r="Q67" t="str">
        <f>_xlfn.XLOOKUP(Table14[[#This Row],[Department]], Doctor_Info!A:A, Doctor_Info!C:C, "")&amp;""</f>
        <v>301</v>
      </c>
      <c r="R67" t="str">
        <f>TEXT(Table14[[#This Row],[Admission Date]],"ddd")</f>
        <v>Sun</v>
      </c>
      <c r="S67" t="str">
        <f>TEXT(Table14[[#This Row],[Admission Date]],"mmm")</f>
        <v>Jan</v>
      </c>
      <c r="T67" t="str">
        <f>TEXT(Table14[[#This Row],[Admission Date]],"yyyy")</f>
        <v>2024</v>
      </c>
      <c r="U67" t="str">
        <f>TEXT(Table14[[#This Row],[Admission Date]],"mmm-yyyy")</f>
        <v>Jan-2024</v>
      </c>
      <c r="V67">
        <f t="shared" ca="1" si="1"/>
        <v>8</v>
      </c>
    </row>
    <row r="68" spans="1:22" x14ac:dyDescent="0.2">
      <c r="A68" t="s">
        <v>80</v>
      </c>
      <c r="B68" s="3">
        <v>45323</v>
      </c>
      <c r="C68" s="3">
        <v>45324</v>
      </c>
      <c r="D68">
        <f ca="1">IF(ISBLANK(Table14[[#This Row],[Discharge Date]]),TODAY()-Table14[[#This Row],[Admission Date]], Table14[[#This Row],[Discharge Date]]-Table14[[#This Row],[Admission Date]])</f>
        <v>1</v>
      </c>
      <c r="E68" s="6" t="str">
        <f>IF(Table14[[#This Row],[Discharge Date]]="","Still Admitted","Patient Discharged")</f>
        <v>Patient Discharged</v>
      </c>
      <c r="F68" s="6" t="str">
        <f>IF(WEEKDAY(Table14[[#This Row],[Admission Date]],2)&gt;5,"Weekend","Weekday")</f>
        <v>Weekday</v>
      </c>
      <c r="G68" t="s">
        <v>528</v>
      </c>
      <c r="H68">
        <v>62</v>
      </c>
      <c r="I68" t="str" cm="1">
        <f t="array" ref="I68">_xlfn.IFS(Table14[[#This Row],[Age]]&lt;18,"Children",Table14[[#This Row],[Age]]&lt;50,"Adult",Table14[[#This Row],[Age]]&gt;=50,"Elderly")</f>
        <v>Elderly</v>
      </c>
      <c r="J68" t="s">
        <v>547</v>
      </c>
      <c r="K68" s="7">
        <v>59000</v>
      </c>
      <c r="L68" s="2" t="str" cm="1">
        <f t="array" ref="L68">_xlfn.IFS(Table14[[#This Row],[Treatment Cost]]&lt;50000,"Low Billing",Table14[[#This Row],[Treatment Cost]]&lt;200000,"Moderate Billing",Table14[[#This Row],[Treatment Cost]]&gt;=200000,"High Billing")</f>
        <v>Moderate Billing</v>
      </c>
      <c r="M68" t="s">
        <v>6</v>
      </c>
      <c r="N68" t="str">
        <f>IF(AND(Table14[[#This Row],[Outcome]]="Follow-up",Table14[[#This Row],[Admission Status]]="Patient Discharged"),"High Risk Patient","Low Risk Patient")</f>
        <v>Low Risk Patient</v>
      </c>
      <c r="O68" t="str">
        <f>IFERROR(VLOOKUP(Table14[[#This Row],[Department]],Doctor_Info!A:D,2,FALSE), "")</f>
        <v>Dr. Kofi</v>
      </c>
      <c r="P68" t="str">
        <f>IF(COUNTIF(A:A,Table14[[#This Row],[Patient ID]]&gt;1),"Returning Patient","New Patient")</f>
        <v>New Patient</v>
      </c>
      <c r="Q68" t="str">
        <f>_xlfn.XLOOKUP(Table14[[#This Row],[Department]], Doctor_Info!A:A, Doctor_Info!C:C, "")&amp;""</f>
        <v>102</v>
      </c>
      <c r="R68" t="str">
        <f>TEXT(Table14[[#This Row],[Admission Date]],"ddd")</f>
        <v>Thu</v>
      </c>
      <c r="S68" t="str">
        <f>TEXT(Table14[[#This Row],[Admission Date]],"mmm")</f>
        <v>Feb</v>
      </c>
      <c r="T68" t="str">
        <f>TEXT(Table14[[#This Row],[Admission Date]],"yyyy")</f>
        <v>2024</v>
      </c>
      <c r="U68" t="str">
        <f>TEXT(Table14[[#This Row],[Admission Date]],"mmm-yyyy")</f>
        <v>Feb-2024</v>
      </c>
      <c r="V68">
        <f t="shared" ca="1" si="1"/>
        <v>8</v>
      </c>
    </row>
    <row r="69" spans="1:22" x14ac:dyDescent="0.2">
      <c r="A69" t="s">
        <v>81</v>
      </c>
      <c r="B69" s="3">
        <v>45325</v>
      </c>
      <c r="C69" s="3">
        <v>45337</v>
      </c>
      <c r="D69">
        <f ca="1">IF(ISBLANK(Table14[[#This Row],[Discharge Date]]),TODAY()-Table14[[#This Row],[Admission Date]], Table14[[#This Row],[Discharge Date]]-Table14[[#This Row],[Admission Date]])</f>
        <v>12</v>
      </c>
      <c r="E69" s="6" t="str">
        <f>IF(Table14[[#This Row],[Discharge Date]]="","Still Admitted","Patient Discharged")</f>
        <v>Patient Discharged</v>
      </c>
      <c r="F69" s="6" t="str">
        <f>IF(WEEKDAY(Table14[[#This Row],[Admission Date]],2)&gt;5,"Weekend","Weekday")</f>
        <v>Weekend</v>
      </c>
      <c r="G69" t="s">
        <v>12</v>
      </c>
      <c r="H69">
        <v>64</v>
      </c>
      <c r="I69" t="str" cm="1">
        <f t="array" ref="I69">_xlfn.IFS(Table14[[#This Row],[Age]]&lt;18,"Children",Table14[[#This Row],[Age]]&lt;50,"Adult",Table14[[#This Row],[Age]]&gt;=50,"Elderly")</f>
        <v>Elderly</v>
      </c>
      <c r="J69" t="s">
        <v>546</v>
      </c>
      <c r="K69" s="7">
        <v>59970</v>
      </c>
      <c r="L69" s="2" t="str" cm="1">
        <f t="array" ref="L69">_xlfn.IFS(Table14[[#This Row],[Treatment Cost]]&lt;50000,"Low Billing",Table14[[#This Row],[Treatment Cost]]&lt;200000,"Moderate Billing",Table14[[#This Row],[Treatment Cost]]&gt;=200000,"High Billing")</f>
        <v>Moderate Billing</v>
      </c>
      <c r="M69" t="s">
        <v>8</v>
      </c>
      <c r="N69" t="str">
        <f>IF(AND(Table14[[#This Row],[Outcome]]="Follow-up",Table14[[#This Row],[Admission Status]]="Patient Discharged"),"High Risk Patient","Low Risk Patient")</f>
        <v>High Risk Patient</v>
      </c>
      <c r="O69" t="str">
        <f>IFERROR(VLOOKUP(Table14[[#This Row],[Department]],Doctor_Info!A:D,2,FALSE), "")</f>
        <v>Dr. Temi</v>
      </c>
      <c r="P69" t="str">
        <f>IF(COUNTIF(A:A,Table14[[#This Row],[Patient ID]]&gt;1),"Returning Patient","New Patient")</f>
        <v>New Patient</v>
      </c>
      <c r="Q69" t="str">
        <f>_xlfn.XLOOKUP(Table14[[#This Row],[Department]], Doctor_Info!A:A, Doctor_Info!C:C, "")&amp;""</f>
        <v>502</v>
      </c>
      <c r="R69" t="str">
        <f>TEXT(Table14[[#This Row],[Admission Date]],"ddd")</f>
        <v>Sat</v>
      </c>
      <c r="S69" t="str">
        <f>TEXT(Table14[[#This Row],[Admission Date]],"mmm")</f>
        <v>Feb</v>
      </c>
      <c r="T69" t="str">
        <f>TEXT(Table14[[#This Row],[Admission Date]],"yyyy")</f>
        <v>2024</v>
      </c>
      <c r="U69" t="str">
        <f>TEXT(Table14[[#This Row],[Admission Date]],"mmm-yyyy")</f>
        <v>Feb-2024</v>
      </c>
      <c r="V69">
        <f t="shared" ca="1" si="1"/>
        <v>8</v>
      </c>
    </row>
    <row r="70" spans="1:22" x14ac:dyDescent="0.2">
      <c r="A70" t="s">
        <v>82</v>
      </c>
      <c r="B70" s="3">
        <v>45327</v>
      </c>
      <c r="C70" s="3">
        <v>45328</v>
      </c>
      <c r="D70">
        <f ca="1">IF(ISBLANK(Table14[[#This Row],[Discharge Date]]),TODAY()-Table14[[#This Row],[Admission Date]], Table14[[#This Row],[Discharge Date]]-Table14[[#This Row],[Admission Date]])</f>
        <v>1</v>
      </c>
      <c r="E70" s="6" t="str">
        <f>IF(Table14[[#This Row],[Discharge Date]]="","Still Admitted","Patient Discharged")</f>
        <v>Patient Discharged</v>
      </c>
      <c r="F70" s="6" t="str">
        <f>IF(WEEKDAY(Table14[[#This Row],[Admission Date]],2)&gt;5,"Weekend","Weekday")</f>
        <v>Weekday</v>
      </c>
      <c r="G70" t="s">
        <v>528</v>
      </c>
      <c r="H70">
        <v>66</v>
      </c>
      <c r="I70" t="str" cm="1">
        <f t="array" ref="I70">_xlfn.IFS(Table14[[#This Row],[Age]]&lt;18,"Children",Table14[[#This Row],[Age]]&lt;50,"Adult",Table14[[#This Row],[Age]]&gt;=50,"Elderly")</f>
        <v>Elderly</v>
      </c>
      <c r="J70" t="s">
        <v>547</v>
      </c>
      <c r="K70" s="7">
        <v>60940</v>
      </c>
      <c r="L70" s="2" t="str" cm="1">
        <f t="array" ref="L70">_xlfn.IFS(Table14[[#This Row],[Treatment Cost]]&lt;50000,"Low Billing",Table14[[#This Row],[Treatment Cost]]&lt;200000,"Moderate Billing",Table14[[#This Row],[Treatment Cost]]&gt;=200000,"High Billing")</f>
        <v>Moderate Billing</v>
      </c>
      <c r="M70" t="s">
        <v>6</v>
      </c>
      <c r="N70" t="str">
        <f>IF(AND(Table14[[#This Row],[Outcome]]="Follow-up",Table14[[#This Row],[Admission Status]]="Patient Discharged"),"High Risk Patient","Low Risk Patient")</f>
        <v>Low Risk Patient</v>
      </c>
      <c r="O70" t="str">
        <f>IFERROR(VLOOKUP(Table14[[#This Row],[Department]],Doctor_Info!A:D,2,FALSE), "")</f>
        <v>Dr. Kofi</v>
      </c>
      <c r="P70" t="str">
        <f>IF(COUNTIF(A:A,Table14[[#This Row],[Patient ID]]&gt;1),"Returning Patient","New Patient")</f>
        <v>New Patient</v>
      </c>
      <c r="Q70" t="str">
        <f>_xlfn.XLOOKUP(Table14[[#This Row],[Department]], Doctor_Info!A:A, Doctor_Info!C:C, "")&amp;""</f>
        <v>102</v>
      </c>
      <c r="R70" t="str">
        <f>TEXT(Table14[[#This Row],[Admission Date]],"ddd")</f>
        <v>Mon</v>
      </c>
      <c r="S70" t="str">
        <f>TEXT(Table14[[#This Row],[Admission Date]],"mmm")</f>
        <v>Feb</v>
      </c>
      <c r="T70" t="str">
        <f>TEXT(Table14[[#This Row],[Admission Date]],"yyyy")</f>
        <v>2024</v>
      </c>
      <c r="U70" t="str">
        <f>TEXT(Table14[[#This Row],[Admission Date]],"mmm-yyyy")</f>
        <v>Feb-2024</v>
      </c>
      <c r="V70">
        <f t="shared" ca="1" si="1"/>
        <v>8</v>
      </c>
    </row>
    <row r="71" spans="1:22" x14ac:dyDescent="0.2">
      <c r="A71" t="s">
        <v>83</v>
      </c>
      <c r="B71" s="3">
        <v>45332</v>
      </c>
      <c r="D71">
        <f ca="1">IF(ISBLANK(Table14[[#This Row],[Discharge Date]]),TODAY()-Table14[[#This Row],[Admission Date]], Table14[[#This Row],[Discharge Date]]-Table14[[#This Row],[Admission Date]])</f>
        <v>806</v>
      </c>
      <c r="E71" s="6" t="str">
        <f>IF(Table14[[#This Row],[Discharge Date]]="","Still Admitted","Patient Discharged")</f>
        <v>Still Admitted</v>
      </c>
      <c r="F71" s="6" t="str">
        <f>IF(WEEKDAY(Table14[[#This Row],[Admission Date]],2)&gt;5,"Weekend","Weekday")</f>
        <v>Weekend</v>
      </c>
      <c r="G71" t="s">
        <v>10</v>
      </c>
      <c r="H71">
        <v>68</v>
      </c>
      <c r="I71" t="str" cm="1">
        <f t="array" ref="I71">_xlfn.IFS(Table14[[#This Row],[Age]]&lt;18,"Children",Table14[[#This Row],[Age]]&lt;50,"Adult",Table14[[#This Row],[Age]]&gt;=50,"Elderly")</f>
        <v>Elderly</v>
      </c>
      <c r="J71" t="s">
        <v>547</v>
      </c>
      <c r="K71" s="7">
        <v>61910</v>
      </c>
      <c r="L71" s="2" t="str" cm="1">
        <f t="array" ref="L71">_xlfn.IFS(Table14[[#This Row],[Treatment Cost]]&lt;50000,"Low Billing",Table14[[#This Row],[Treatment Cost]]&lt;200000,"Moderate Billing",Table14[[#This Row],[Treatment Cost]]&gt;=200000,"High Billing")</f>
        <v>Moderate Billing</v>
      </c>
      <c r="M71" t="s">
        <v>403</v>
      </c>
      <c r="N71" t="str">
        <f>IF(AND(Table14[[#This Row],[Outcome]]="Follow-up",Table14[[#This Row],[Admission Status]]="Patient Discharged"),"High Risk Patient","Low Risk Patient")</f>
        <v>Low Risk Patient</v>
      </c>
      <c r="O71" t="str">
        <f>IFERROR(VLOOKUP(Table14[[#This Row],[Department]],Doctor_Info!A:D,2,FALSE), "")</f>
        <v>Dr. George</v>
      </c>
      <c r="P71" t="str">
        <f>IF(COUNTIF(A:A,Table14[[#This Row],[Patient ID]]&gt;1),"Returning Patient","New Patient")</f>
        <v>New Patient</v>
      </c>
      <c r="Q71" t="str">
        <f>_xlfn.XLOOKUP(Table14[[#This Row],[Department]], Doctor_Info!A:A, Doctor_Info!C:C, "")&amp;""</f>
        <v>405</v>
      </c>
      <c r="R71" t="str">
        <f>TEXT(Table14[[#This Row],[Admission Date]],"ddd")</f>
        <v>Sat</v>
      </c>
      <c r="S71" t="str">
        <f>TEXT(Table14[[#This Row],[Admission Date]],"mmm")</f>
        <v>Feb</v>
      </c>
      <c r="T71" t="str">
        <f>TEXT(Table14[[#This Row],[Admission Date]],"yyyy")</f>
        <v>2024</v>
      </c>
      <c r="U71" t="str">
        <f>TEXT(Table14[[#This Row],[Admission Date]],"mmm-yyyy")</f>
        <v>Feb-2024</v>
      </c>
      <c r="V71">
        <f t="shared" ca="1" si="1"/>
        <v>8</v>
      </c>
    </row>
    <row r="72" spans="1:22" x14ac:dyDescent="0.2">
      <c r="A72" t="s">
        <v>84</v>
      </c>
      <c r="B72" s="3">
        <v>45319</v>
      </c>
      <c r="C72" s="3">
        <v>45327</v>
      </c>
      <c r="D72">
        <f ca="1">IF(ISBLANK(Table14[[#This Row],[Discharge Date]]),TODAY()-Table14[[#This Row],[Admission Date]], Table14[[#This Row],[Discharge Date]]-Table14[[#This Row],[Admission Date]])</f>
        <v>8</v>
      </c>
      <c r="E72" s="6" t="str">
        <f>IF(Table14[[#This Row],[Discharge Date]]="","Still Admitted","Patient Discharged")</f>
        <v>Patient Discharged</v>
      </c>
      <c r="F72" s="6" t="str">
        <f>IF(WEEKDAY(Table14[[#This Row],[Admission Date]],2)&gt;5,"Weekend","Weekday")</f>
        <v>Weekend</v>
      </c>
      <c r="G72" t="s">
        <v>7</v>
      </c>
      <c r="H72">
        <v>70</v>
      </c>
      <c r="I72" t="str" cm="1">
        <f t="array" ref="I72">_xlfn.IFS(Table14[[#This Row],[Age]]&lt;18,"Children",Table14[[#This Row],[Age]]&lt;50,"Adult",Table14[[#This Row],[Age]]&gt;=50,"Elderly")</f>
        <v>Elderly</v>
      </c>
      <c r="J72" t="s">
        <v>546</v>
      </c>
      <c r="K72" s="7">
        <v>62880</v>
      </c>
      <c r="L72" s="2" t="str" cm="1">
        <f t="array" ref="L72">_xlfn.IFS(Table14[[#This Row],[Treatment Cost]]&lt;50000,"Low Billing",Table14[[#This Row],[Treatment Cost]]&lt;200000,"Moderate Billing",Table14[[#This Row],[Treatment Cost]]&gt;=200000,"High Billing")</f>
        <v>Moderate Billing</v>
      </c>
      <c r="M72" t="s">
        <v>8</v>
      </c>
      <c r="N72" t="str">
        <f>IF(AND(Table14[[#This Row],[Outcome]]="Follow-up",Table14[[#This Row],[Admission Status]]="Patient Discharged"),"High Risk Patient","Low Risk Patient")</f>
        <v>High Risk Patient</v>
      </c>
      <c r="O72" t="str">
        <f>IFERROR(VLOOKUP(Table14[[#This Row],[Department]],Doctor_Info!A:D,2,FALSE), "")</f>
        <v>Dr. Ada</v>
      </c>
      <c r="P72" t="str">
        <f>IF(COUNTIF(A:A,Table14[[#This Row],[Patient ID]]&gt;1),"Returning Patient","New Patient")</f>
        <v>New Patient</v>
      </c>
      <c r="Q72" t="str">
        <f>_xlfn.XLOOKUP(Table14[[#This Row],[Department]], Doctor_Info!A:A, Doctor_Info!C:C, "")&amp;""</f>
        <v>301</v>
      </c>
      <c r="R72" t="str">
        <f>TEXT(Table14[[#This Row],[Admission Date]],"ddd")</f>
        <v>Sun</v>
      </c>
      <c r="S72" t="str">
        <f>TEXT(Table14[[#This Row],[Admission Date]],"mmm")</f>
        <v>Jan</v>
      </c>
      <c r="T72" t="str">
        <f>TEXT(Table14[[#This Row],[Admission Date]],"yyyy")</f>
        <v>2024</v>
      </c>
      <c r="U72" t="str">
        <f>TEXT(Table14[[#This Row],[Admission Date]],"mmm-yyyy")</f>
        <v>Jan-2024</v>
      </c>
      <c r="V72">
        <f t="shared" ca="1" si="1"/>
        <v>8</v>
      </c>
    </row>
    <row r="73" spans="1:22" x14ac:dyDescent="0.2">
      <c r="A73" t="s">
        <v>85</v>
      </c>
      <c r="B73" s="3">
        <v>45323</v>
      </c>
      <c r="C73" s="3">
        <v>45324</v>
      </c>
      <c r="D73">
        <f ca="1">IF(ISBLANK(Table14[[#This Row],[Discharge Date]]),TODAY()-Table14[[#This Row],[Admission Date]], Table14[[#This Row],[Discharge Date]]-Table14[[#This Row],[Admission Date]])</f>
        <v>1</v>
      </c>
      <c r="E73" s="6" t="str">
        <f>IF(Table14[[#This Row],[Discharge Date]]="","Still Admitted","Patient Discharged")</f>
        <v>Patient Discharged</v>
      </c>
      <c r="F73" s="6" t="str">
        <f>IF(WEEKDAY(Table14[[#This Row],[Admission Date]],2)&gt;5,"Weekend","Weekday")</f>
        <v>Weekday</v>
      </c>
      <c r="G73" t="s">
        <v>528</v>
      </c>
      <c r="H73">
        <v>72</v>
      </c>
      <c r="I73" t="str" cm="1">
        <f t="array" ref="I73">_xlfn.IFS(Table14[[#This Row],[Age]]&lt;18,"Children",Table14[[#This Row],[Age]]&lt;50,"Adult",Table14[[#This Row],[Age]]&gt;=50,"Elderly")</f>
        <v>Elderly</v>
      </c>
      <c r="J73" t="s">
        <v>547</v>
      </c>
      <c r="K73" s="7">
        <v>63850</v>
      </c>
      <c r="L73" s="2" t="str" cm="1">
        <f t="array" ref="L73">_xlfn.IFS(Table14[[#This Row],[Treatment Cost]]&lt;50000,"Low Billing",Table14[[#This Row],[Treatment Cost]]&lt;200000,"Moderate Billing",Table14[[#This Row],[Treatment Cost]]&gt;=200000,"High Billing")</f>
        <v>Moderate Billing</v>
      </c>
      <c r="M73" t="s">
        <v>6</v>
      </c>
      <c r="N73" t="str">
        <f>IF(AND(Table14[[#This Row],[Outcome]]="Follow-up",Table14[[#This Row],[Admission Status]]="Patient Discharged"),"High Risk Patient","Low Risk Patient")</f>
        <v>Low Risk Patient</v>
      </c>
      <c r="O73" t="str">
        <f>IFERROR(VLOOKUP(Table14[[#This Row],[Department]],Doctor_Info!A:D,2,FALSE), "")</f>
        <v>Dr. Kofi</v>
      </c>
      <c r="P73" t="str">
        <f>IF(COUNTIF(A:A,Table14[[#This Row],[Patient ID]]&gt;1),"Returning Patient","New Patient")</f>
        <v>New Patient</v>
      </c>
      <c r="Q73" t="str">
        <f>_xlfn.XLOOKUP(Table14[[#This Row],[Department]], Doctor_Info!A:A, Doctor_Info!C:C, "")&amp;""</f>
        <v>102</v>
      </c>
      <c r="R73" t="str">
        <f>TEXT(Table14[[#This Row],[Admission Date]],"ddd")</f>
        <v>Thu</v>
      </c>
      <c r="S73" t="str">
        <f>TEXT(Table14[[#This Row],[Admission Date]],"mmm")</f>
        <v>Feb</v>
      </c>
      <c r="T73" t="str">
        <f>TEXT(Table14[[#This Row],[Admission Date]],"yyyy")</f>
        <v>2024</v>
      </c>
      <c r="U73" t="str">
        <f>TEXT(Table14[[#This Row],[Admission Date]],"mmm-yyyy")</f>
        <v>Feb-2024</v>
      </c>
      <c r="V73">
        <f t="shared" ca="1" si="1"/>
        <v>8</v>
      </c>
    </row>
    <row r="74" spans="1:22" x14ac:dyDescent="0.2">
      <c r="A74" t="s">
        <v>86</v>
      </c>
      <c r="B74" s="3">
        <v>45325</v>
      </c>
      <c r="C74" s="3">
        <v>45337</v>
      </c>
      <c r="D74">
        <f ca="1">IF(ISBLANK(Table14[[#This Row],[Discharge Date]]),TODAY()-Table14[[#This Row],[Admission Date]], Table14[[#This Row],[Discharge Date]]-Table14[[#This Row],[Admission Date]])</f>
        <v>12</v>
      </c>
      <c r="E74" s="6" t="str">
        <f>IF(Table14[[#This Row],[Discharge Date]]="","Still Admitted","Patient Discharged")</f>
        <v>Patient Discharged</v>
      </c>
      <c r="F74" s="6" t="str">
        <f>IF(WEEKDAY(Table14[[#This Row],[Admission Date]],2)&gt;5,"Weekend","Weekday")</f>
        <v>Weekend</v>
      </c>
      <c r="G74" t="s">
        <v>12</v>
      </c>
      <c r="H74">
        <v>74</v>
      </c>
      <c r="I74" t="str" cm="1">
        <f t="array" ref="I74">_xlfn.IFS(Table14[[#This Row],[Age]]&lt;18,"Children",Table14[[#This Row],[Age]]&lt;50,"Adult",Table14[[#This Row],[Age]]&gt;=50,"Elderly")</f>
        <v>Elderly</v>
      </c>
      <c r="J74" t="s">
        <v>546</v>
      </c>
      <c r="K74" s="7">
        <v>64820</v>
      </c>
      <c r="L74" s="2" t="str" cm="1">
        <f t="array" ref="L74">_xlfn.IFS(Table14[[#This Row],[Treatment Cost]]&lt;50000,"Low Billing",Table14[[#This Row],[Treatment Cost]]&lt;200000,"Moderate Billing",Table14[[#This Row],[Treatment Cost]]&gt;=200000,"High Billing")</f>
        <v>Moderate Billing</v>
      </c>
      <c r="M74" t="s">
        <v>8</v>
      </c>
      <c r="N74" t="str">
        <f>IF(AND(Table14[[#This Row],[Outcome]]="Follow-up",Table14[[#This Row],[Admission Status]]="Patient Discharged"),"High Risk Patient","Low Risk Patient")</f>
        <v>High Risk Patient</v>
      </c>
      <c r="O74" t="str">
        <f>IFERROR(VLOOKUP(Table14[[#This Row],[Department]],Doctor_Info!A:D,2,FALSE), "")</f>
        <v>Dr. Temi</v>
      </c>
      <c r="P74" t="str">
        <f>IF(COUNTIF(A:A,Table14[[#This Row],[Patient ID]]&gt;1),"Returning Patient","New Patient")</f>
        <v>New Patient</v>
      </c>
      <c r="Q74" t="str">
        <f>_xlfn.XLOOKUP(Table14[[#This Row],[Department]], Doctor_Info!A:A, Doctor_Info!C:C, "")&amp;""</f>
        <v>502</v>
      </c>
      <c r="R74" t="str">
        <f>TEXT(Table14[[#This Row],[Admission Date]],"ddd")</f>
        <v>Sat</v>
      </c>
      <c r="S74" t="str">
        <f>TEXT(Table14[[#This Row],[Admission Date]],"mmm")</f>
        <v>Feb</v>
      </c>
      <c r="T74" t="str">
        <f>TEXT(Table14[[#This Row],[Admission Date]],"yyyy")</f>
        <v>2024</v>
      </c>
      <c r="U74" t="str">
        <f>TEXT(Table14[[#This Row],[Admission Date]],"mmm-yyyy")</f>
        <v>Feb-2024</v>
      </c>
      <c r="V74">
        <f t="shared" ca="1" si="1"/>
        <v>8</v>
      </c>
    </row>
    <row r="75" spans="1:22" x14ac:dyDescent="0.2">
      <c r="A75" t="s">
        <v>87</v>
      </c>
      <c r="B75" s="3">
        <v>45327</v>
      </c>
      <c r="C75" s="3">
        <v>45328</v>
      </c>
      <c r="D75">
        <f ca="1">IF(ISBLANK(Table14[[#This Row],[Discharge Date]]),TODAY()-Table14[[#This Row],[Admission Date]], Table14[[#This Row],[Discharge Date]]-Table14[[#This Row],[Admission Date]])</f>
        <v>1</v>
      </c>
      <c r="E75" s="6" t="str">
        <f>IF(Table14[[#This Row],[Discharge Date]]="","Still Admitted","Patient Discharged")</f>
        <v>Patient Discharged</v>
      </c>
      <c r="F75" s="6" t="str">
        <f>IF(WEEKDAY(Table14[[#This Row],[Admission Date]],2)&gt;5,"Weekend","Weekday")</f>
        <v>Weekday</v>
      </c>
      <c r="G75" t="s">
        <v>528</v>
      </c>
      <c r="H75">
        <v>76</v>
      </c>
      <c r="I75" t="str" cm="1">
        <f t="array" ref="I75">_xlfn.IFS(Table14[[#This Row],[Age]]&lt;18,"Children",Table14[[#This Row],[Age]]&lt;50,"Adult",Table14[[#This Row],[Age]]&gt;=50,"Elderly")</f>
        <v>Elderly</v>
      </c>
      <c r="J75" t="s">
        <v>547</v>
      </c>
      <c r="K75" s="7">
        <v>65790</v>
      </c>
      <c r="L75" s="2" t="str" cm="1">
        <f t="array" ref="L75">_xlfn.IFS(Table14[[#This Row],[Treatment Cost]]&lt;50000,"Low Billing",Table14[[#This Row],[Treatment Cost]]&lt;200000,"Moderate Billing",Table14[[#This Row],[Treatment Cost]]&gt;=200000,"High Billing")</f>
        <v>Moderate Billing</v>
      </c>
      <c r="M75" t="s">
        <v>6</v>
      </c>
      <c r="N75" t="str">
        <f>IF(AND(Table14[[#This Row],[Outcome]]="Follow-up",Table14[[#This Row],[Admission Status]]="Patient Discharged"),"High Risk Patient","Low Risk Patient")</f>
        <v>Low Risk Patient</v>
      </c>
      <c r="O75" t="str">
        <f>IFERROR(VLOOKUP(Table14[[#This Row],[Department]],Doctor_Info!A:D,2,FALSE), "")</f>
        <v>Dr. Kofi</v>
      </c>
      <c r="P75" t="str">
        <f>IF(COUNTIF(A:A,Table14[[#This Row],[Patient ID]]&gt;1),"Returning Patient","New Patient")</f>
        <v>New Patient</v>
      </c>
      <c r="Q75" t="str">
        <f>_xlfn.XLOOKUP(Table14[[#This Row],[Department]], Doctor_Info!A:A, Doctor_Info!C:C, "")&amp;""</f>
        <v>102</v>
      </c>
      <c r="R75" t="str">
        <f>TEXT(Table14[[#This Row],[Admission Date]],"ddd")</f>
        <v>Mon</v>
      </c>
      <c r="S75" t="str">
        <f>TEXT(Table14[[#This Row],[Admission Date]],"mmm")</f>
        <v>Feb</v>
      </c>
      <c r="T75" t="str">
        <f>TEXT(Table14[[#This Row],[Admission Date]],"yyyy")</f>
        <v>2024</v>
      </c>
      <c r="U75" t="str">
        <f>TEXT(Table14[[#This Row],[Admission Date]],"mmm-yyyy")</f>
        <v>Feb-2024</v>
      </c>
      <c r="V75">
        <f t="shared" ca="1" si="1"/>
        <v>8</v>
      </c>
    </row>
    <row r="76" spans="1:22" x14ac:dyDescent="0.2">
      <c r="A76" t="s">
        <v>88</v>
      </c>
      <c r="B76" s="3">
        <v>45332</v>
      </c>
      <c r="D76">
        <f ca="1">IF(ISBLANK(Table14[[#This Row],[Discharge Date]]),TODAY()-Table14[[#This Row],[Admission Date]], Table14[[#This Row],[Discharge Date]]-Table14[[#This Row],[Admission Date]])</f>
        <v>806</v>
      </c>
      <c r="E76" s="6" t="str">
        <f>IF(Table14[[#This Row],[Discharge Date]]="","Still Admitted","Patient Discharged")</f>
        <v>Still Admitted</v>
      </c>
      <c r="F76" s="6" t="str">
        <f>IF(WEEKDAY(Table14[[#This Row],[Admission Date]],2)&gt;5,"Weekend","Weekday")</f>
        <v>Weekend</v>
      </c>
      <c r="G76" t="s">
        <v>10</v>
      </c>
      <c r="H76">
        <v>78</v>
      </c>
      <c r="I76" t="str" cm="1">
        <f t="array" ref="I76">_xlfn.IFS(Table14[[#This Row],[Age]]&lt;18,"Children",Table14[[#This Row],[Age]]&lt;50,"Adult",Table14[[#This Row],[Age]]&gt;=50,"Elderly")</f>
        <v>Elderly</v>
      </c>
      <c r="J76" t="s">
        <v>547</v>
      </c>
      <c r="K76" s="7">
        <v>66760</v>
      </c>
      <c r="L76" s="2" t="str" cm="1">
        <f t="array" ref="L76">_xlfn.IFS(Table14[[#This Row],[Treatment Cost]]&lt;50000,"Low Billing",Table14[[#This Row],[Treatment Cost]]&lt;200000,"Moderate Billing",Table14[[#This Row],[Treatment Cost]]&gt;=200000,"High Billing")</f>
        <v>Moderate Billing</v>
      </c>
      <c r="M76" t="s">
        <v>403</v>
      </c>
      <c r="N76" t="str">
        <f>IF(AND(Table14[[#This Row],[Outcome]]="Follow-up",Table14[[#This Row],[Admission Status]]="Patient Discharged"),"High Risk Patient","Low Risk Patient")</f>
        <v>Low Risk Patient</v>
      </c>
      <c r="O76" t="str">
        <f>IFERROR(VLOOKUP(Table14[[#This Row],[Department]],Doctor_Info!A:D,2,FALSE), "")</f>
        <v>Dr. George</v>
      </c>
      <c r="P76" t="str">
        <f>IF(COUNTIF(A:A,Table14[[#This Row],[Patient ID]]&gt;1),"Returning Patient","New Patient")</f>
        <v>New Patient</v>
      </c>
      <c r="Q76" t="str">
        <f>_xlfn.XLOOKUP(Table14[[#This Row],[Department]], Doctor_Info!A:A, Doctor_Info!C:C, "")&amp;""</f>
        <v>405</v>
      </c>
      <c r="R76" t="str">
        <f>TEXT(Table14[[#This Row],[Admission Date]],"ddd")</f>
        <v>Sat</v>
      </c>
      <c r="S76" t="str">
        <f>TEXT(Table14[[#This Row],[Admission Date]],"mmm")</f>
        <v>Feb</v>
      </c>
      <c r="T76" t="str">
        <f>TEXT(Table14[[#This Row],[Admission Date]],"yyyy")</f>
        <v>2024</v>
      </c>
      <c r="U76" t="str">
        <f>TEXT(Table14[[#This Row],[Admission Date]],"mmm-yyyy")</f>
        <v>Feb-2024</v>
      </c>
      <c r="V76">
        <f t="shared" ca="1" si="1"/>
        <v>8</v>
      </c>
    </row>
    <row r="77" spans="1:22" x14ac:dyDescent="0.2">
      <c r="A77" t="s">
        <v>89</v>
      </c>
      <c r="B77" s="3">
        <v>45319</v>
      </c>
      <c r="C77" s="3">
        <v>45327</v>
      </c>
      <c r="D77">
        <f ca="1">IF(ISBLANK(Table14[[#This Row],[Discharge Date]]),TODAY()-Table14[[#This Row],[Admission Date]], Table14[[#This Row],[Discharge Date]]-Table14[[#This Row],[Admission Date]])</f>
        <v>8</v>
      </c>
      <c r="E77" s="6" t="str">
        <f>IF(Table14[[#This Row],[Discharge Date]]="","Still Admitted","Patient Discharged")</f>
        <v>Patient Discharged</v>
      </c>
      <c r="F77" s="6" t="str">
        <f>IF(WEEKDAY(Table14[[#This Row],[Admission Date]],2)&gt;5,"Weekend","Weekday")</f>
        <v>Weekend</v>
      </c>
      <c r="G77" t="s">
        <v>7</v>
      </c>
      <c r="H77">
        <v>80</v>
      </c>
      <c r="I77" t="str" cm="1">
        <f t="array" ref="I77">_xlfn.IFS(Table14[[#This Row],[Age]]&lt;18,"Children",Table14[[#This Row],[Age]]&lt;50,"Adult",Table14[[#This Row],[Age]]&gt;=50,"Elderly")</f>
        <v>Elderly</v>
      </c>
      <c r="J77" t="s">
        <v>546</v>
      </c>
      <c r="K77" s="7">
        <v>67730</v>
      </c>
      <c r="L77" s="2" t="str" cm="1">
        <f t="array" ref="L77">_xlfn.IFS(Table14[[#This Row],[Treatment Cost]]&lt;50000,"Low Billing",Table14[[#This Row],[Treatment Cost]]&lt;200000,"Moderate Billing",Table14[[#This Row],[Treatment Cost]]&gt;=200000,"High Billing")</f>
        <v>Moderate Billing</v>
      </c>
      <c r="M77" t="s">
        <v>8</v>
      </c>
      <c r="N77" t="str">
        <f>IF(AND(Table14[[#This Row],[Outcome]]="Follow-up",Table14[[#This Row],[Admission Status]]="Patient Discharged"),"High Risk Patient","Low Risk Patient")</f>
        <v>High Risk Patient</v>
      </c>
      <c r="O77" t="str">
        <f>IFERROR(VLOOKUP(Table14[[#This Row],[Department]],Doctor_Info!A:D,2,FALSE), "")</f>
        <v>Dr. Ada</v>
      </c>
      <c r="P77" t="str">
        <f>IF(COUNTIF(A:A,Table14[[#This Row],[Patient ID]]&gt;1),"Returning Patient","New Patient")</f>
        <v>New Patient</v>
      </c>
      <c r="Q77" t="str">
        <f>_xlfn.XLOOKUP(Table14[[#This Row],[Department]], Doctor_Info!A:A, Doctor_Info!C:C, "")&amp;""</f>
        <v>301</v>
      </c>
      <c r="R77" t="str">
        <f>TEXT(Table14[[#This Row],[Admission Date]],"ddd")</f>
        <v>Sun</v>
      </c>
      <c r="S77" t="str">
        <f>TEXT(Table14[[#This Row],[Admission Date]],"mmm")</f>
        <v>Jan</v>
      </c>
      <c r="T77" t="str">
        <f>TEXT(Table14[[#This Row],[Admission Date]],"yyyy")</f>
        <v>2024</v>
      </c>
      <c r="U77" t="str">
        <f>TEXT(Table14[[#This Row],[Admission Date]],"mmm-yyyy")</f>
        <v>Jan-2024</v>
      </c>
      <c r="V77">
        <f t="shared" ca="1" si="1"/>
        <v>8</v>
      </c>
    </row>
    <row r="78" spans="1:22" x14ac:dyDescent="0.2">
      <c r="A78" t="s">
        <v>90</v>
      </c>
      <c r="B78" s="3">
        <v>45323</v>
      </c>
      <c r="C78" s="3">
        <v>45324</v>
      </c>
      <c r="D78">
        <f ca="1">IF(ISBLANK(Table14[[#This Row],[Discharge Date]]),TODAY()-Table14[[#This Row],[Admission Date]], Table14[[#This Row],[Discharge Date]]-Table14[[#This Row],[Admission Date]])</f>
        <v>1</v>
      </c>
      <c r="E78" s="6" t="str">
        <f>IF(Table14[[#This Row],[Discharge Date]]="","Still Admitted","Patient Discharged")</f>
        <v>Patient Discharged</v>
      </c>
      <c r="F78" s="6" t="str">
        <f>IF(WEEKDAY(Table14[[#This Row],[Admission Date]],2)&gt;5,"Weekend","Weekday")</f>
        <v>Weekday</v>
      </c>
      <c r="G78" t="s">
        <v>528</v>
      </c>
      <c r="H78">
        <v>82</v>
      </c>
      <c r="I78" t="str" cm="1">
        <f t="array" ref="I78">_xlfn.IFS(Table14[[#This Row],[Age]]&lt;18,"Children",Table14[[#This Row],[Age]]&lt;50,"Adult",Table14[[#This Row],[Age]]&gt;=50,"Elderly")</f>
        <v>Elderly</v>
      </c>
      <c r="J78" t="s">
        <v>547</v>
      </c>
      <c r="K78" s="7">
        <v>68700</v>
      </c>
      <c r="L78" s="2" t="str" cm="1">
        <f t="array" ref="L78">_xlfn.IFS(Table14[[#This Row],[Treatment Cost]]&lt;50000,"Low Billing",Table14[[#This Row],[Treatment Cost]]&lt;200000,"Moderate Billing",Table14[[#This Row],[Treatment Cost]]&gt;=200000,"High Billing")</f>
        <v>Moderate Billing</v>
      </c>
      <c r="M78" t="s">
        <v>6</v>
      </c>
      <c r="N78" t="str">
        <f>IF(AND(Table14[[#This Row],[Outcome]]="Follow-up",Table14[[#This Row],[Admission Status]]="Patient Discharged"),"High Risk Patient","Low Risk Patient")</f>
        <v>Low Risk Patient</v>
      </c>
      <c r="O78" t="str">
        <f>IFERROR(VLOOKUP(Table14[[#This Row],[Department]],Doctor_Info!A:D,2,FALSE), "")</f>
        <v>Dr. Kofi</v>
      </c>
      <c r="P78" t="str">
        <f>IF(COUNTIF(A:A,Table14[[#This Row],[Patient ID]]&gt;1),"Returning Patient","New Patient")</f>
        <v>New Patient</v>
      </c>
      <c r="Q78" t="str">
        <f>_xlfn.XLOOKUP(Table14[[#This Row],[Department]], Doctor_Info!A:A, Doctor_Info!C:C, "")&amp;""</f>
        <v>102</v>
      </c>
      <c r="R78" t="str">
        <f>TEXT(Table14[[#This Row],[Admission Date]],"ddd")</f>
        <v>Thu</v>
      </c>
      <c r="S78" t="str">
        <f>TEXT(Table14[[#This Row],[Admission Date]],"mmm")</f>
        <v>Feb</v>
      </c>
      <c r="T78" t="str">
        <f>TEXT(Table14[[#This Row],[Admission Date]],"yyyy")</f>
        <v>2024</v>
      </c>
      <c r="U78" t="str">
        <f>TEXT(Table14[[#This Row],[Admission Date]],"mmm-yyyy")</f>
        <v>Feb-2024</v>
      </c>
      <c r="V78">
        <f t="shared" ca="1" si="1"/>
        <v>8</v>
      </c>
    </row>
    <row r="79" spans="1:22" x14ac:dyDescent="0.2">
      <c r="A79" t="s">
        <v>91</v>
      </c>
      <c r="B79" s="3">
        <v>45325</v>
      </c>
      <c r="C79" s="3">
        <v>45337</v>
      </c>
      <c r="D79">
        <f ca="1">IF(ISBLANK(Table14[[#This Row],[Discharge Date]]),TODAY()-Table14[[#This Row],[Admission Date]], Table14[[#This Row],[Discharge Date]]-Table14[[#This Row],[Admission Date]])</f>
        <v>12</v>
      </c>
      <c r="E79" s="6" t="str">
        <f>IF(Table14[[#This Row],[Discharge Date]]="","Still Admitted","Patient Discharged")</f>
        <v>Patient Discharged</v>
      </c>
      <c r="F79" s="6" t="str">
        <f>IF(WEEKDAY(Table14[[#This Row],[Admission Date]],2)&gt;5,"Weekend","Weekday")</f>
        <v>Weekend</v>
      </c>
      <c r="G79" t="s">
        <v>12</v>
      </c>
      <c r="H79">
        <v>84</v>
      </c>
      <c r="I79" t="str" cm="1">
        <f t="array" ref="I79">_xlfn.IFS(Table14[[#This Row],[Age]]&lt;18,"Children",Table14[[#This Row],[Age]]&lt;50,"Adult",Table14[[#This Row],[Age]]&gt;=50,"Elderly")</f>
        <v>Elderly</v>
      </c>
      <c r="J79" t="s">
        <v>546</v>
      </c>
      <c r="K79" s="7">
        <v>69670</v>
      </c>
      <c r="L79" s="2" t="str" cm="1">
        <f t="array" ref="L79">_xlfn.IFS(Table14[[#This Row],[Treatment Cost]]&lt;50000,"Low Billing",Table14[[#This Row],[Treatment Cost]]&lt;200000,"Moderate Billing",Table14[[#This Row],[Treatment Cost]]&gt;=200000,"High Billing")</f>
        <v>Moderate Billing</v>
      </c>
      <c r="M79" t="s">
        <v>8</v>
      </c>
      <c r="N79" t="str">
        <f>IF(AND(Table14[[#This Row],[Outcome]]="Follow-up",Table14[[#This Row],[Admission Status]]="Patient Discharged"),"High Risk Patient","Low Risk Patient")</f>
        <v>High Risk Patient</v>
      </c>
      <c r="O79" t="str">
        <f>IFERROR(VLOOKUP(Table14[[#This Row],[Department]],Doctor_Info!A:D,2,FALSE), "")</f>
        <v>Dr. Temi</v>
      </c>
      <c r="P79" t="str">
        <f>IF(COUNTIF(A:A,Table14[[#This Row],[Patient ID]]&gt;1),"Returning Patient","New Patient")</f>
        <v>New Patient</v>
      </c>
      <c r="Q79" t="str">
        <f>_xlfn.XLOOKUP(Table14[[#This Row],[Department]], Doctor_Info!A:A, Doctor_Info!C:C, "")&amp;""</f>
        <v>502</v>
      </c>
      <c r="R79" t="str">
        <f>TEXT(Table14[[#This Row],[Admission Date]],"ddd")</f>
        <v>Sat</v>
      </c>
      <c r="S79" t="str">
        <f>TEXT(Table14[[#This Row],[Admission Date]],"mmm")</f>
        <v>Feb</v>
      </c>
      <c r="T79" t="str">
        <f>TEXT(Table14[[#This Row],[Admission Date]],"yyyy")</f>
        <v>2024</v>
      </c>
      <c r="U79" t="str">
        <f>TEXT(Table14[[#This Row],[Admission Date]],"mmm-yyyy")</f>
        <v>Feb-2024</v>
      </c>
      <c r="V79">
        <f t="shared" ca="1" si="1"/>
        <v>8</v>
      </c>
    </row>
    <row r="80" spans="1:22" x14ac:dyDescent="0.2">
      <c r="A80" t="s">
        <v>92</v>
      </c>
      <c r="B80" s="3">
        <v>45327</v>
      </c>
      <c r="C80" s="3">
        <v>45328</v>
      </c>
      <c r="D80">
        <f ca="1">IF(ISBLANK(Table14[[#This Row],[Discharge Date]]),TODAY()-Table14[[#This Row],[Admission Date]], Table14[[#This Row],[Discharge Date]]-Table14[[#This Row],[Admission Date]])</f>
        <v>1</v>
      </c>
      <c r="E80" s="6" t="str">
        <f>IF(Table14[[#This Row],[Discharge Date]]="","Still Admitted","Patient Discharged")</f>
        <v>Patient Discharged</v>
      </c>
      <c r="F80" s="6" t="str">
        <f>IF(WEEKDAY(Table14[[#This Row],[Admission Date]],2)&gt;5,"Weekend","Weekday")</f>
        <v>Weekday</v>
      </c>
      <c r="G80" t="s">
        <v>528</v>
      </c>
      <c r="H80">
        <v>86</v>
      </c>
      <c r="I80" t="str" cm="1">
        <f t="array" ref="I80">_xlfn.IFS(Table14[[#This Row],[Age]]&lt;18,"Children",Table14[[#This Row],[Age]]&lt;50,"Adult",Table14[[#This Row],[Age]]&gt;=50,"Elderly")</f>
        <v>Elderly</v>
      </c>
      <c r="J80" t="s">
        <v>547</v>
      </c>
      <c r="K80" s="7">
        <v>70640</v>
      </c>
      <c r="L80" s="2" t="str" cm="1">
        <f t="array" ref="L80">_xlfn.IFS(Table14[[#This Row],[Treatment Cost]]&lt;50000,"Low Billing",Table14[[#This Row],[Treatment Cost]]&lt;200000,"Moderate Billing",Table14[[#This Row],[Treatment Cost]]&gt;=200000,"High Billing")</f>
        <v>Moderate Billing</v>
      </c>
      <c r="M80" t="s">
        <v>6</v>
      </c>
      <c r="N80" t="str">
        <f>IF(AND(Table14[[#This Row],[Outcome]]="Follow-up",Table14[[#This Row],[Admission Status]]="Patient Discharged"),"High Risk Patient","Low Risk Patient")</f>
        <v>Low Risk Patient</v>
      </c>
      <c r="O80" t="str">
        <f>IFERROR(VLOOKUP(Table14[[#This Row],[Department]],Doctor_Info!A:D,2,FALSE), "")</f>
        <v>Dr. Kofi</v>
      </c>
      <c r="P80" t="str">
        <f>IF(COUNTIF(A:A,Table14[[#This Row],[Patient ID]]&gt;1),"Returning Patient","New Patient")</f>
        <v>New Patient</v>
      </c>
      <c r="Q80" t="str">
        <f>_xlfn.XLOOKUP(Table14[[#This Row],[Department]], Doctor_Info!A:A, Doctor_Info!C:C, "")&amp;""</f>
        <v>102</v>
      </c>
      <c r="R80" t="str">
        <f>TEXT(Table14[[#This Row],[Admission Date]],"ddd")</f>
        <v>Mon</v>
      </c>
      <c r="S80" t="str">
        <f>TEXT(Table14[[#This Row],[Admission Date]],"mmm")</f>
        <v>Feb</v>
      </c>
      <c r="T80" t="str">
        <f>TEXT(Table14[[#This Row],[Admission Date]],"yyyy")</f>
        <v>2024</v>
      </c>
      <c r="U80" t="str">
        <f>TEXT(Table14[[#This Row],[Admission Date]],"mmm-yyyy")</f>
        <v>Feb-2024</v>
      </c>
      <c r="V80">
        <f t="shared" ca="1" si="1"/>
        <v>8</v>
      </c>
    </row>
    <row r="81" spans="1:22" x14ac:dyDescent="0.2">
      <c r="A81" t="s">
        <v>93</v>
      </c>
      <c r="B81" s="3">
        <v>45332</v>
      </c>
      <c r="D81">
        <f ca="1">IF(ISBLANK(Table14[[#This Row],[Discharge Date]]),TODAY()-Table14[[#This Row],[Admission Date]], Table14[[#This Row],[Discharge Date]]-Table14[[#This Row],[Admission Date]])</f>
        <v>806</v>
      </c>
      <c r="E81" s="6" t="str">
        <f>IF(Table14[[#This Row],[Discharge Date]]="","Still Admitted","Patient Discharged")</f>
        <v>Still Admitted</v>
      </c>
      <c r="F81" s="6" t="str">
        <f>IF(WEEKDAY(Table14[[#This Row],[Admission Date]],2)&gt;5,"Weekend","Weekday")</f>
        <v>Weekend</v>
      </c>
      <c r="G81" t="s">
        <v>10</v>
      </c>
      <c r="H81">
        <v>88</v>
      </c>
      <c r="I81" t="str" cm="1">
        <f t="array" ref="I81">_xlfn.IFS(Table14[[#This Row],[Age]]&lt;18,"Children",Table14[[#This Row],[Age]]&lt;50,"Adult",Table14[[#This Row],[Age]]&gt;=50,"Elderly")</f>
        <v>Elderly</v>
      </c>
      <c r="J81" t="s">
        <v>547</v>
      </c>
      <c r="K81" s="7">
        <v>71610</v>
      </c>
      <c r="L81" s="2" t="str" cm="1">
        <f t="array" ref="L81">_xlfn.IFS(Table14[[#This Row],[Treatment Cost]]&lt;50000,"Low Billing",Table14[[#This Row],[Treatment Cost]]&lt;200000,"Moderate Billing",Table14[[#This Row],[Treatment Cost]]&gt;=200000,"High Billing")</f>
        <v>Moderate Billing</v>
      </c>
      <c r="M81" t="s">
        <v>403</v>
      </c>
      <c r="N81" t="str">
        <f>IF(AND(Table14[[#This Row],[Outcome]]="Follow-up",Table14[[#This Row],[Admission Status]]="Patient Discharged"),"High Risk Patient","Low Risk Patient")</f>
        <v>Low Risk Patient</v>
      </c>
      <c r="O81" t="str">
        <f>IFERROR(VLOOKUP(Table14[[#This Row],[Department]],Doctor_Info!A:D,2,FALSE), "")</f>
        <v>Dr. George</v>
      </c>
      <c r="P81" t="str">
        <f>IF(COUNTIF(A:A,Table14[[#This Row],[Patient ID]]&gt;1),"Returning Patient","New Patient")</f>
        <v>New Patient</v>
      </c>
      <c r="Q81" t="str">
        <f>_xlfn.XLOOKUP(Table14[[#This Row],[Department]], Doctor_Info!A:A, Doctor_Info!C:C, "")&amp;""</f>
        <v>405</v>
      </c>
      <c r="R81" t="str">
        <f>TEXT(Table14[[#This Row],[Admission Date]],"ddd")</f>
        <v>Sat</v>
      </c>
      <c r="S81" t="str">
        <f>TEXT(Table14[[#This Row],[Admission Date]],"mmm")</f>
        <v>Feb</v>
      </c>
      <c r="T81" t="str">
        <f>TEXT(Table14[[#This Row],[Admission Date]],"yyyy")</f>
        <v>2024</v>
      </c>
      <c r="U81" t="str">
        <f>TEXT(Table14[[#This Row],[Admission Date]],"mmm-yyyy")</f>
        <v>Feb-2024</v>
      </c>
      <c r="V81">
        <f t="shared" ca="1" si="1"/>
        <v>8</v>
      </c>
    </row>
    <row r="82" spans="1:22" x14ac:dyDescent="0.2">
      <c r="A82" t="s">
        <v>94</v>
      </c>
      <c r="B82" s="3">
        <v>45319</v>
      </c>
      <c r="C82" s="3">
        <v>45327</v>
      </c>
      <c r="D82">
        <f ca="1">IF(ISBLANK(Table14[[#This Row],[Discharge Date]]),TODAY()-Table14[[#This Row],[Admission Date]], Table14[[#This Row],[Discharge Date]]-Table14[[#This Row],[Admission Date]])</f>
        <v>8</v>
      </c>
      <c r="E82" s="6" t="str">
        <f>IF(Table14[[#This Row],[Discharge Date]]="","Still Admitted","Patient Discharged")</f>
        <v>Patient Discharged</v>
      </c>
      <c r="F82" s="6" t="str">
        <f>IF(WEEKDAY(Table14[[#This Row],[Admission Date]],2)&gt;5,"Weekend","Weekday")</f>
        <v>Weekend</v>
      </c>
      <c r="G82" t="s">
        <v>7</v>
      </c>
      <c r="H82">
        <v>90</v>
      </c>
      <c r="I82" t="str" cm="1">
        <f t="array" ref="I82">_xlfn.IFS(Table14[[#This Row],[Age]]&lt;18,"Children",Table14[[#This Row],[Age]]&lt;50,"Adult",Table14[[#This Row],[Age]]&gt;=50,"Elderly")</f>
        <v>Elderly</v>
      </c>
      <c r="J82" t="s">
        <v>546</v>
      </c>
      <c r="K82" s="7">
        <v>72580</v>
      </c>
      <c r="L82" s="2" t="str" cm="1">
        <f t="array" ref="L82">_xlfn.IFS(Table14[[#This Row],[Treatment Cost]]&lt;50000,"Low Billing",Table14[[#This Row],[Treatment Cost]]&lt;200000,"Moderate Billing",Table14[[#This Row],[Treatment Cost]]&gt;=200000,"High Billing")</f>
        <v>Moderate Billing</v>
      </c>
      <c r="M82" t="s">
        <v>8</v>
      </c>
      <c r="N82" t="str">
        <f>IF(AND(Table14[[#This Row],[Outcome]]="Follow-up",Table14[[#This Row],[Admission Status]]="Patient Discharged"),"High Risk Patient","Low Risk Patient")</f>
        <v>High Risk Patient</v>
      </c>
      <c r="O82" t="str">
        <f>IFERROR(VLOOKUP(Table14[[#This Row],[Department]],Doctor_Info!A:D,2,FALSE), "")</f>
        <v>Dr. Ada</v>
      </c>
      <c r="P82" t="str">
        <f>IF(COUNTIF(A:A,Table14[[#This Row],[Patient ID]]&gt;1),"Returning Patient","New Patient")</f>
        <v>New Patient</v>
      </c>
      <c r="Q82" t="str">
        <f>_xlfn.XLOOKUP(Table14[[#This Row],[Department]], Doctor_Info!A:A, Doctor_Info!C:C, "")&amp;""</f>
        <v>301</v>
      </c>
      <c r="R82" t="str">
        <f>TEXT(Table14[[#This Row],[Admission Date]],"ddd")</f>
        <v>Sun</v>
      </c>
      <c r="S82" t="str">
        <f>TEXT(Table14[[#This Row],[Admission Date]],"mmm")</f>
        <v>Jan</v>
      </c>
      <c r="T82" t="str">
        <f>TEXT(Table14[[#This Row],[Admission Date]],"yyyy")</f>
        <v>2024</v>
      </c>
      <c r="U82" t="str">
        <f>TEXT(Table14[[#This Row],[Admission Date]],"mmm-yyyy")</f>
        <v>Jan-2024</v>
      </c>
      <c r="V82">
        <f t="shared" ca="1" si="1"/>
        <v>8</v>
      </c>
    </row>
    <row r="83" spans="1:22" x14ac:dyDescent="0.2">
      <c r="A83" t="s">
        <v>95</v>
      </c>
      <c r="B83" s="3">
        <v>45323</v>
      </c>
      <c r="C83" s="3">
        <v>45324</v>
      </c>
      <c r="D83">
        <f ca="1">IF(ISBLANK(Table14[[#This Row],[Discharge Date]]),TODAY()-Table14[[#This Row],[Admission Date]], Table14[[#This Row],[Discharge Date]]-Table14[[#This Row],[Admission Date]])</f>
        <v>1</v>
      </c>
      <c r="E83" s="6" t="str">
        <f>IF(Table14[[#This Row],[Discharge Date]]="","Still Admitted","Patient Discharged")</f>
        <v>Patient Discharged</v>
      </c>
      <c r="F83" s="6" t="str">
        <f>IF(WEEKDAY(Table14[[#This Row],[Admission Date]],2)&gt;5,"Weekend","Weekday")</f>
        <v>Weekday</v>
      </c>
      <c r="G83" t="s">
        <v>528</v>
      </c>
      <c r="H83">
        <v>92</v>
      </c>
      <c r="I83" t="str" cm="1">
        <f t="array" ref="I83">_xlfn.IFS(Table14[[#This Row],[Age]]&lt;18,"Children",Table14[[#This Row],[Age]]&lt;50,"Adult",Table14[[#This Row],[Age]]&gt;=50,"Elderly")</f>
        <v>Elderly</v>
      </c>
      <c r="J83" t="s">
        <v>547</v>
      </c>
      <c r="K83" s="7">
        <v>73550</v>
      </c>
      <c r="L83" s="2" t="str" cm="1">
        <f t="array" ref="L83">_xlfn.IFS(Table14[[#This Row],[Treatment Cost]]&lt;50000,"Low Billing",Table14[[#This Row],[Treatment Cost]]&lt;200000,"Moderate Billing",Table14[[#This Row],[Treatment Cost]]&gt;=200000,"High Billing")</f>
        <v>Moderate Billing</v>
      </c>
      <c r="M83" t="s">
        <v>6</v>
      </c>
      <c r="N83" t="str">
        <f>IF(AND(Table14[[#This Row],[Outcome]]="Follow-up",Table14[[#This Row],[Admission Status]]="Patient Discharged"),"High Risk Patient","Low Risk Patient")</f>
        <v>Low Risk Patient</v>
      </c>
      <c r="O83" t="str">
        <f>IFERROR(VLOOKUP(Table14[[#This Row],[Department]],Doctor_Info!A:D,2,FALSE), "")</f>
        <v>Dr. Kofi</v>
      </c>
      <c r="P83" t="str">
        <f>IF(COUNTIF(A:A,Table14[[#This Row],[Patient ID]]&gt;1),"Returning Patient","New Patient")</f>
        <v>New Patient</v>
      </c>
      <c r="Q83" t="str">
        <f>_xlfn.XLOOKUP(Table14[[#This Row],[Department]], Doctor_Info!A:A, Doctor_Info!C:C, "")&amp;""</f>
        <v>102</v>
      </c>
      <c r="R83" t="str">
        <f>TEXT(Table14[[#This Row],[Admission Date]],"ddd")</f>
        <v>Thu</v>
      </c>
      <c r="S83" t="str">
        <f>TEXT(Table14[[#This Row],[Admission Date]],"mmm")</f>
        <v>Feb</v>
      </c>
      <c r="T83" t="str">
        <f>TEXT(Table14[[#This Row],[Admission Date]],"yyyy")</f>
        <v>2024</v>
      </c>
      <c r="U83" t="str">
        <f>TEXT(Table14[[#This Row],[Admission Date]],"mmm-yyyy")</f>
        <v>Feb-2024</v>
      </c>
      <c r="V83">
        <f t="shared" ca="1" si="1"/>
        <v>8</v>
      </c>
    </row>
    <row r="84" spans="1:22" x14ac:dyDescent="0.2">
      <c r="A84" t="s">
        <v>96</v>
      </c>
      <c r="B84" s="3">
        <v>45325</v>
      </c>
      <c r="C84" s="3">
        <v>45337</v>
      </c>
      <c r="D84">
        <f ca="1">IF(ISBLANK(Table14[[#This Row],[Discharge Date]]),TODAY()-Table14[[#This Row],[Admission Date]], Table14[[#This Row],[Discharge Date]]-Table14[[#This Row],[Admission Date]])</f>
        <v>12</v>
      </c>
      <c r="E84" s="6" t="str">
        <f>IF(Table14[[#This Row],[Discharge Date]]="","Still Admitted","Patient Discharged")</f>
        <v>Patient Discharged</v>
      </c>
      <c r="F84" s="6" t="str">
        <f>IF(WEEKDAY(Table14[[#This Row],[Admission Date]],2)&gt;5,"Weekend","Weekday")</f>
        <v>Weekend</v>
      </c>
      <c r="G84" t="s">
        <v>12</v>
      </c>
      <c r="H84">
        <v>94</v>
      </c>
      <c r="I84" t="str" cm="1">
        <f t="array" ref="I84">_xlfn.IFS(Table14[[#This Row],[Age]]&lt;18,"Children",Table14[[#This Row],[Age]]&lt;50,"Adult",Table14[[#This Row],[Age]]&gt;=50,"Elderly")</f>
        <v>Elderly</v>
      </c>
      <c r="J84" t="s">
        <v>546</v>
      </c>
      <c r="K84" s="7">
        <v>74520</v>
      </c>
      <c r="L84" s="2" t="str" cm="1">
        <f t="array" ref="L84">_xlfn.IFS(Table14[[#This Row],[Treatment Cost]]&lt;50000,"Low Billing",Table14[[#This Row],[Treatment Cost]]&lt;200000,"Moderate Billing",Table14[[#This Row],[Treatment Cost]]&gt;=200000,"High Billing")</f>
        <v>Moderate Billing</v>
      </c>
      <c r="M84" t="s">
        <v>8</v>
      </c>
      <c r="N84" t="str">
        <f>IF(AND(Table14[[#This Row],[Outcome]]="Follow-up",Table14[[#This Row],[Admission Status]]="Patient Discharged"),"High Risk Patient","Low Risk Patient")</f>
        <v>High Risk Patient</v>
      </c>
      <c r="O84" t="str">
        <f>IFERROR(VLOOKUP(Table14[[#This Row],[Department]],Doctor_Info!A:D,2,FALSE), "")</f>
        <v>Dr. Temi</v>
      </c>
      <c r="P84" t="str">
        <f>IF(COUNTIF(A:A,Table14[[#This Row],[Patient ID]]&gt;1),"Returning Patient","New Patient")</f>
        <v>New Patient</v>
      </c>
      <c r="Q84" t="str">
        <f>_xlfn.XLOOKUP(Table14[[#This Row],[Department]], Doctor_Info!A:A, Doctor_Info!C:C, "")&amp;""</f>
        <v>502</v>
      </c>
      <c r="R84" t="str">
        <f>TEXT(Table14[[#This Row],[Admission Date]],"ddd")</f>
        <v>Sat</v>
      </c>
      <c r="S84" t="str">
        <f>TEXT(Table14[[#This Row],[Admission Date]],"mmm")</f>
        <v>Feb</v>
      </c>
      <c r="T84" t="str">
        <f>TEXT(Table14[[#This Row],[Admission Date]],"yyyy")</f>
        <v>2024</v>
      </c>
      <c r="U84" t="str">
        <f>TEXT(Table14[[#This Row],[Admission Date]],"mmm-yyyy")</f>
        <v>Feb-2024</v>
      </c>
      <c r="V84">
        <f t="shared" ca="1" si="1"/>
        <v>8</v>
      </c>
    </row>
    <row r="85" spans="1:22" x14ac:dyDescent="0.2">
      <c r="A85" t="s">
        <v>97</v>
      </c>
      <c r="B85" s="3">
        <v>45327</v>
      </c>
      <c r="C85" s="3">
        <v>45328</v>
      </c>
      <c r="D85">
        <f ca="1">IF(ISBLANK(Table14[[#This Row],[Discharge Date]]),TODAY()-Table14[[#This Row],[Admission Date]], Table14[[#This Row],[Discharge Date]]-Table14[[#This Row],[Admission Date]])</f>
        <v>1</v>
      </c>
      <c r="E85" s="6" t="str">
        <f>IF(Table14[[#This Row],[Discharge Date]]="","Still Admitted","Patient Discharged")</f>
        <v>Patient Discharged</v>
      </c>
      <c r="F85" s="6" t="str">
        <f>IF(WEEKDAY(Table14[[#This Row],[Admission Date]],2)&gt;5,"Weekend","Weekday")</f>
        <v>Weekday</v>
      </c>
      <c r="G85" t="s">
        <v>528</v>
      </c>
      <c r="H85">
        <v>96</v>
      </c>
      <c r="I85" t="str" cm="1">
        <f t="array" ref="I85">_xlfn.IFS(Table14[[#This Row],[Age]]&lt;18,"Children",Table14[[#This Row],[Age]]&lt;50,"Adult",Table14[[#This Row],[Age]]&gt;=50,"Elderly")</f>
        <v>Elderly</v>
      </c>
      <c r="J85" t="s">
        <v>547</v>
      </c>
      <c r="K85" s="7">
        <v>75490</v>
      </c>
      <c r="L85" s="2" t="str" cm="1">
        <f t="array" ref="L85">_xlfn.IFS(Table14[[#This Row],[Treatment Cost]]&lt;50000,"Low Billing",Table14[[#This Row],[Treatment Cost]]&lt;200000,"Moderate Billing",Table14[[#This Row],[Treatment Cost]]&gt;=200000,"High Billing")</f>
        <v>Moderate Billing</v>
      </c>
      <c r="M85" t="s">
        <v>6</v>
      </c>
      <c r="N85" t="str">
        <f>IF(AND(Table14[[#This Row],[Outcome]]="Follow-up",Table14[[#This Row],[Admission Status]]="Patient Discharged"),"High Risk Patient","Low Risk Patient")</f>
        <v>Low Risk Patient</v>
      </c>
      <c r="O85" t="str">
        <f>IFERROR(VLOOKUP(Table14[[#This Row],[Department]],Doctor_Info!A:D,2,FALSE), "")</f>
        <v>Dr. Kofi</v>
      </c>
      <c r="P85" t="str">
        <f>IF(COUNTIF(A:A,Table14[[#This Row],[Patient ID]]&gt;1),"Returning Patient","New Patient")</f>
        <v>New Patient</v>
      </c>
      <c r="Q85" t="str">
        <f>_xlfn.XLOOKUP(Table14[[#This Row],[Department]], Doctor_Info!A:A, Doctor_Info!C:C, "")&amp;""</f>
        <v>102</v>
      </c>
      <c r="R85" t="str">
        <f>TEXT(Table14[[#This Row],[Admission Date]],"ddd")</f>
        <v>Mon</v>
      </c>
      <c r="S85" t="str">
        <f>TEXT(Table14[[#This Row],[Admission Date]],"mmm")</f>
        <v>Feb</v>
      </c>
      <c r="T85" t="str">
        <f>TEXT(Table14[[#This Row],[Admission Date]],"yyyy")</f>
        <v>2024</v>
      </c>
      <c r="U85" t="str">
        <f>TEXT(Table14[[#This Row],[Admission Date]],"mmm-yyyy")</f>
        <v>Feb-2024</v>
      </c>
      <c r="V85">
        <f t="shared" ca="1" si="1"/>
        <v>8</v>
      </c>
    </row>
    <row r="86" spans="1:22" x14ac:dyDescent="0.2">
      <c r="A86" t="s">
        <v>98</v>
      </c>
      <c r="B86" s="3">
        <v>45332</v>
      </c>
      <c r="D86">
        <f ca="1">IF(ISBLANK(Table14[[#This Row],[Discharge Date]]),TODAY()-Table14[[#This Row],[Admission Date]], Table14[[#This Row],[Discharge Date]]-Table14[[#This Row],[Admission Date]])</f>
        <v>806</v>
      </c>
      <c r="E86" s="6" t="str">
        <f>IF(Table14[[#This Row],[Discharge Date]]="","Still Admitted","Patient Discharged")</f>
        <v>Still Admitted</v>
      </c>
      <c r="F86" s="6" t="str">
        <f>IF(WEEKDAY(Table14[[#This Row],[Admission Date]],2)&gt;5,"Weekend","Weekday")</f>
        <v>Weekend</v>
      </c>
      <c r="G86" t="s">
        <v>10</v>
      </c>
      <c r="H86">
        <v>98</v>
      </c>
      <c r="I86" t="str" cm="1">
        <f t="array" ref="I86">_xlfn.IFS(Table14[[#This Row],[Age]]&lt;18,"Children",Table14[[#This Row],[Age]]&lt;50,"Adult",Table14[[#This Row],[Age]]&gt;=50,"Elderly")</f>
        <v>Elderly</v>
      </c>
      <c r="J86" t="s">
        <v>547</v>
      </c>
      <c r="K86" s="7">
        <v>76460</v>
      </c>
      <c r="L86" s="2" t="str" cm="1">
        <f t="array" ref="L86">_xlfn.IFS(Table14[[#This Row],[Treatment Cost]]&lt;50000,"Low Billing",Table14[[#This Row],[Treatment Cost]]&lt;200000,"Moderate Billing",Table14[[#This Row],[Treatment Cost]]&gt;=200000,"High Billing")</f>
        <v>Moderate Billing</v>
      </c>
      <c r="M86" t="s">
        <v>403</v>
      </c>
      <c r="N86" t="str">
        <f>IF(AND(Table14[[#This Row],[Outcome]]="Follow-up",Table14[[#This Row],[Admission Status]]="Patient Discharged"),"High Risk Patient","Low Risk Patient")</f>
        <v>Low Risk Patient</v>
      </c>
      <c r="O86" t="str">
        <f>IFERROR(VLOOKUP(Table14[[#This Row],[Department]],Doctor_Info!A:D,2,FALSE), "")</f>
        <v>Dr. George</v>
      </c>
      <c r="P86" t="str">
        <f>IF(COUNTIF(A:A,Table14[[#This Row],[Patient ID]]&gt;1),"Returning Patient","New Patient")</f>
        <v>New Patient</v>
      </c>
      <c r="Q86" t="str">
        <f>_xlfn.XLOOKUP(Table14[[#This Row],[Department]], Doctor_Info!A:A, Doctor_Info!C:C, "")&amp;""</f>
        <v>405</v>
      </c>
      <c r="R86" t="str">
        <f>TEXT(Table14[[#This Row],[Admission Date]],"ddd")</f>
        <v>Sat</v>
      </c>
      <c r="S86" t="str">
        <f>TEXT(Table14[[#This Row],[Admission Date]],"mmm")</f>
        <v>Feb</v>
      </c>
      <c r="T86" t="str">
        <f>TEXT(Table14[[#This Row],[Admission Date]],"yyyy")</f>
        <v>2024</v>
      </c>
      <c r="U86" t="str">
        <f>TEXT(Table14[[#This Row],[Admission Date]],"mmm-yyyy")</f>
        <v>Feb-2024</v>
      </c>
      <c r="V86">
        <f t="shared" ca="1" si="1"/>
        <v>8</v>
      </c>
    </row>
    <row r="87" spans="1:22" x14ac:dyDescent="0.2">
      <c r="A87" t="s">
        <v>99</v>
      </c>
      <c r="B87" s="3">
        <v>45319</v>
      </c>
      <c r="C87" s="3">
        <v>45327</v>
      </c>
      <c r="D87">
        <f ca="1">IF(ISBLANK(Table14[[#This Row],[Discharge Date]]),TODAY()-Table14[[#This Row],[Admission Date]], Table14[[#This Row],[Discharge Date]]-Table14[[#This Row],[Admission Date]])</f>
        <v>8</v>
      </c>
      <c r="E87" s="6" t="str">
        <f>IF(Table14[[#This Row],[Discharge Date]]="","Still Admitted","Patient Discharged")</f>
        <v>Patient Discharged</v>
      </c>
      <c r="F87" s="6" t="str">
        <f>IF(WEEKDAY(Table14[[#This Row],[Admission Date]],2)&gt;5,"Weekend","Weekday")</f>
        <v>Weekend</v>
      </c>
      <c r="G87" t="s">
        <v>7</v>
      </c>
      <c r="H87">
        <v>100</v>
      </c>
      <c r="I87" t="str" cm="1">
        <f t="array" ref="I87">_xlfn.IFS(Table14[[#This Row],[Age]]&lt;18,"Children",Table14[[#This Row],[Age]]&lt;50,"Adult",Table14[[#This Row],[Age]]&gt;=50,"Elderly")</f>
        <v>Elderly</v>
      </c>
      <c r="J87" t="s">
        <v>546</v>
      </c>
      <c r="K87" s="7">
        <v>77430</v>
      </c>
      <c r="L87" s="2" t="str" cm="1">
        <f t="array" ref="L87">_xlfn.IFS(Table14[[#This Row],[Treatment Cost]]&lt;50000,"Low Billing",Table14[[#This Row],[Treatment Cost]]&lt;200000,"Moderate Billing",Table14[[#This Row],[Treatment Cost]]&gt;=200000,"High Billing")</f>
        <v>Moderate Billing</v>
      </c>
      <c r="M87" t="s">
        <v>8</v>
      </c>
      <c r="N87" t="str">
        <f>IF(AND(Table14[[#This Row],[Outcome]]="Follow-up",Table14[[#This Row],[Admission Status]]="Patient Discharged"),"High Risk Patient","Low Risk Patient")</f>
        <v>High Risk Patient</v>
      </c>
      <c r="O87" t="str">
        <f>IFERROR(VLOOKUP(Table14[[#This Row],[Department]],Doctor_Info!A:D,2,FALSE), "")</f>
        <v>Dr. Ada</v>
      </c>
      <c r="P87" t="str">
        <f>IF(COUNTIF(A:A,Table14[[#This Row],[Patient ID]]&gt;1),"Returning Patient","New Patient")</f>
        <v>New Patient</v>
      </c>
      <c r="Q87" t="str">
        <f>_xlfn.XLOOKUP(Table14[[#This Row],[Department]], Doctor_Info!A:A, Doctor_Info!C:C, "")&amp;""</f>
        <v>301</v>
      </c>
      <c r="R87" t="str">
        <f>TEXT(Table14[[#This Row],[Admission Date]],"ddd")</f>
        <v>Sun</v>
      </c>
      <c r="S87" t="str">
        <f>TEXT(Table14[[#This Row],[Admission Date]],"mmm")</f>
        <v>Jan</v>
      </c>
      <c r="T87" t="str">
        <f>TEXT(Table14[[#This Row],[Admission Date]],"yyyy")</f>
        <v>2024</v>
      </c>
      <c r="U87" t="str">
        <f>TEXT(Table14[[#This Row],[Admission Date]],"mmm-yyyy")</f>
        <v>Jan-2024</v>
      </c>
      <c r="V87">
        <f t="shared" ca="1" si="1"/>
        <v>8</v>
      </c>
    </row>
    <row r="88" spans="1:22" x14ac:dyDescent="0.2">
      <c r="A88" t="s">
        <v>100</v>
      </c>
      <c r="B88" s="3">
        <v>45323</v>
      </c>
      <c r="C88" s="3">
        <v>45324</v>
      </c>
      <c r="D88">
        <f ca="1">IF(ISBLANK(Table14[[#This Row],[Discharge Date]]),TODAY()-Table14[[#This Row],[Admission Date]], Table14[[#This Row],[Discharge Date]]-Table14[[#This Row],[Admission Date]])</f>
        <v>1</v>
      </c>
      <c r="E88" s="6" t="str">
        <f>IF(Table14[[#This Row],[Discharge Date]]="","Still Admitted","Patient Discharged")</f>
        <v>Patient Discharged</v>
      </c>
      <c r="F88" s="6" t="str">
        <f>IF(WEEKDAY(Table14[[#This Row],[Admission Date]],2)&gt;5,"Weekend","Weekday")</f>
        <v>Weekday</v>
      </c>
      <c r="G88" t="s">
        <v>528</v>
      </c>
      <c r="H88">
        <v>2</v>
      </c>
      <c r="I88" t="str" cm="1">
        <f t="array" ref="I88">_xlfn.IFS(Table14[[#This Row],[Age]]&lt;18,"Children",Table14[[#This Row],[Age]]&lt;50,"Adult",Table14[[#This Row],[Age]]&gt;=50,"Elderly")</f>
        <v>Children</v>
      </c>
      <c r="J88" t="s">
        <v>547</v>
      </c>
      <c r="K88" s="7">
        <v>78400</v>
      </c>
      <c r="L88" s="2" t="str" cm="1">
        <f t="array" ref="L88">_xlfn.IFS(Table14[[#This Row],[Treatment Cost]]&lt;50000,"Low Billing",Table14[[#This Row],[Treatment Cost]]&lt;200000,"Moderate Billing",Table14[[#This Row],[Treatment Cost]]&gt;=200000,"High Billing")</f>
        <v>Moderate Billing</v>
      </c>
      <c r="M88" t="s">
        <v>6</v>
      </c>
      <c r="N88" t="str">
        <f>IF(AND(Table14[[#This Row],[Outcome]]="Follow-up",Table14[[#This Row],[Admission Status]]="Patient Discharged"),"High Risk Patient","Low Risk Patient")</f>
        <v>Low Risk Patient</v>
      </c>
      <c r="O88" t="str">
        <f>IFERROR(VLOOKUP(Table14[[#This Row],[Department]],Doctor_Info!A:D,2,FALSE), "")</f>
        <v>Dr. Kofi</v>
      </c>
      <c r="P88" t="str">
        <f>IF(COUNTIF(A:A,Table14[[#This Row],[Patient ID]]&gt;1),"Returning Patient","New Patient")</f>
        <v>New Patient</v>
      </c>
      <c r="Q88" t="str">
        <f>_xlfn.XLOOKUP(Table14[[#This Row],[Department]], Doctor_Info!A:A, Doctor_Info!C:C, "")&amp;""</f>
        <v>102</v>
      </c>
      <c r="R88" t="str">
        <f>TEXT(Table14[[#This Row],[Admission Date]],"ddd")</f>
        <v>Thu</v>
      </c>
      <c r="S88" t="str">
        <f>TEXT(Table14[[#This Row],[Admission Date]],"mmm")</f>
        <v>Feb</v>
      </c>
      <c r="T88" t="str">
        <f>TEXT(Table14[[#This Row],[Admission Date]],"yyyy")</f>
        <v>2024</v>
      </c>
      <c r="U88" t="str">
        <f>TEXT(Table14[[#This Row],[Admission Date]],"mmm-yyyy")</f>
        <v>Feb-2024</v>
      </c>
      <c r="V88">
        <f t="shared" ca="1" si="1"/>
        <v>8</v>
      </c>
    </row>
    <row r="89" spans="1:22" x14ac:dyDescent="0.2">
      <c r="A89" t="s">
        <v>101</v>
      </c>
      <c r="B89" s="3">
        <v>45325</v>
      </c>
      <c r="C89" s="3">
        <v>45337</v>
      </c>
      <c r="D89">
        <f ca="1">IF(ISBLANK(Table14[[#This Row],[Discharge Date]]),TODAY()-Table14[[#This Row],[Admission Date]], Table14[[#This Row],[Discharge Date]]-Table14[[#This Row],[Admission Date]])</f>
        <v>12</v>
      </c>
      <c r="E89" s="6" t="str">
        <f>IF(Table14[[#This Row],[Discharge Date]]="","Still Admitted","Patient Discharged")</f>
        <v>Patient Discharged</v>
      </c>
      <c r="F89" s="6" t="str">
        <f>IF(WEEKDAY(Table14[[#This Row],[Admission Date]],2)&gt;5,"Weekend","Weekday")</f>
        <v>Weekend</v>
      </c>
      <c r="G89" t="s">
        <v>12</v>
      </c>
      <c r="H89">
        <v>4</v>
      </c>
      <c r="I89" t="str" cm="1">
        <f t="array" ref="I89">_xlfn.IFS(Table14[[#This Row],[Age]]&lt;18,"Children",Table14[[#This Row],[Age]]&lt;50,"Adult",Table14[[#This Row],[Age]]&gt;=50,"Elderly")</f>
        <v>Children</v>
      </c>
      <c r="J89" t="s">
        <v>546</v>
      </c>
      <c r="K89" s="7">
        <v>79370</v>
      </c>
      <c r="L89" s="2" t="str" cm="1">
        <f t="array" ref="L89">_xlfn.IFS(Table14[[#This Row],[Treatment Cost]]&lt;50000,"Low Billing",Table14[[#This Row],[Treatment Cost]]&lt;200000,"Moderate Billing",Table14[[#This Row],[Treatment Cost]]&gt;=200000,"High Billing")</f>
        <v>Moderate Billing</v>
      </c>
      <c r="M89" t="s">
        <v>8</v>
      </c>
      <c r="N89" t="str">
        <f>IF(AND(Table14[[#This Row],[Outcome]]="Follow-up",Table14[[#This Row],[Admission Status]]="Patient Discharged"),"High Risk Patient","Low Risk Patient")</f>
        <v>High Risk Patient</v>
      </c>
      <c r="O89" t="str">
        <f>IFERROR(VLOOKUP(Table14[[#This Row],[Department]],Doctor_Info!A:D,2,FALSE), "")</f>
        <v>Dr. Temi</v>
      </c>
      <c r="P89" t="str">
        <f>IF(COUNTIF(A:A,Table14[[#This Row],[Patient ID]]&gt;1),"Returning Patient","New Patient")</f>
        <v>New Patient</v>
      </c>
      <c r="Q89" t="str">
        <f>_xlfn.XLOOKUP(Table14[[#This Row],[Department]], Doctor_Info!A:A, Doctor_Info!C:C, "")&amp;""</f>
        <v>502</v>
      </c>
      <c r="R89" t="str">
        <f>TEXT(Table14[[#This Row],[Admission Date]],"ddd")</f>
        <v>Sat</v>
      </c>
      <c r="S89" t="str">
        <f>TEXT(Table14[[#This Row],[Admission Date]],"mmm")</f>
        <v>Feb</v>
      </c>
      <c r="T89" t="str">
        <f>TEXT(Table14[[#This Row],[Admission Date]],"yyyy")</f>
        <v>2024</v>
      </c>
      <c r="U89" t="str">
        <f>TEXT(Table14[[#This Row],[Admission Date]],"mmm-yyyy")</f>
        <v>Feb-2024</v>
      </c>
      <c r="V89">
        <f t="shared" ca="1" si="1"/>
        <v>8</v>
      </c>
    </row>
    <row r="90" spans="1:22" x14ac:dyDescent="0.2">
      <c r="A90" t="s">
        <v>102</v>
      </c>
      <c r="B90" s="3">
        <v>45327</v>
      </c>
      <c r="C90" s="3">
        <v>45328</v>
      </c>
      <c r="D90">
        <f ca="1">IF(ISBLANK(Table14[[#This Row],[Discharge Date]]),TODAY()-Table14[[#This Row],[Admission Date]], Table14[[#This Row],[Discharge Date]]-Table14[[#This Row],[Admission Date]])</f>
        <v>1</v>
      </c>
      <c r="E90" s="6" t="str">
        <f>IF(Table14[[#This Row],[Discharge Date]]="","Still Admitted","Patient Discharged")</f>
        <v>Patient Discharged</v>
      </c>
      <c r="F90" s="6" t="str">
        <f>IF(WEEKDAY(Table14[[#This Row],[Admission Date]],2)&gt;5,"Weekend","Weekday")</f>
        <v>Weekday</v>
      </c>
      <c r="G90" t="s">
        <v>528</v>
      </c>
      <c r="H90">
        <v>6</v>
      </c>
      <c r="I90" t="str" cm="1">
        <f t="array" ref="I90">_xlfn.IFS(Table14[[#This Row],[Age]]&lt;18,"Children",Table14[[#This Row],[Age]]&lt;50,"Adult",Table14[[#This Row],[Age]]&gt;=50,"Elderly")</f>
        <v>Children</v>
      </c>
      <c r="J90" t="s">
        <v>547</v>
      </c>
      <c r="K90" s="7">
        <v>80340</v>
      </c>
      <c r="L90" s="2" t="str" cm="1">
        <f t="array" ref="L90">_xlfn.IFS(Table14[[#This Row],[Treatment Cost]]&lt;50000,"Low Billing",Table14[[#This Row],[Treatment Cost]]&lt;200000,"Moderate Billing",Table14[[#This Row],[Treatment Cost]]&gt;=200000,"High Billing")</f>
        <v>Moderate Billing</v>
      </c>
      <c r="M90" t="s">
        <v>6</v>
      </c>
      <c r="N90" t="str">
        <f>IF(AND(Table14[[#This Row],[Outcome]]="Follow-up",Table14[[#This Row],[Admission Status]]="Patient Discharged"),"High Risk Patient","Low Risk Patient")</f>
        <v>Low Risk Patient</v>
      </c>
      <c r="O90" t="str">
        <f>IFERROR(VLOOKUP(Table14[[#This Row],[Department]],Doctor_Info!A:D,2,FALSE), "")</f>
        <v>Dr. Kofi</v>
      </c>
      <c r="P90" t="str">
        <f>IF(COUNTIF(A:A,Table14[[#This Row],[Patient ID]]&gt;1),"Returning Patient","New Patient")</f>
        <v>New Patient</v>
      </c>
      <c r="Q90" t="str">
        <f>_xlfn.XLOOKUP(Table14[[#This Row],[Department]], Doctor_Info!A:A, Doctor_Info!C:C, "")&amp;""</f>
        <v>102</v>
      </c>
      <c r="R90" t="str">
        <f>TEXT(Table14[[#This Row],[Admission Date]],"ddd")</f>
        <v>Mon</v>
      </c>
      <c r="S90" t="str">
        <f>TEXT(Table14[[#This Row],[Admission Date]],"mmm")</f>
        <v>Feb</v>
      </c>
      <c r="T90" t="str">
        <f>TEXT(Table14[[#This Row],[Admission Date]],"yyyy")</f>
        <v>2024</v>
      </c>
      <c r="U90" t="str">
        <f>TEXT(Table14[[#This Row],[Admission Date]],"mmm-yyyy")</f>
        <v>Feb-2024</v>
      </c>
      <c r="V90">
        <f t="shared" ca="1" si="1"/>
        <v>8</v>
      </c>
    </row>
    <row r="91" spans="1:22" x14ac:dyDescent="0.2">
      <c r="A91" t="s">
        <v>103</v>
      </c>
      <c r="B91" s="3">
        <v>45332</v>
      </c>
      <c r="D91">
        <f ca="1">IF(ISBLANK(Table14[[#This Row],[Discharge Date]]),TODAY()-Table14[[#This Row],[Admission Date]], Table14[[#This Row],[Discharge Date]]-Table14[[#This Row],[Admission Date]])</f>
        <v>806</v>
      </c>
      <c r="E91" s="6" t="str">
        <f>IF(Table14[[#This Row],[Discharge Date]]="","Still Admitted","Patient Discharged")</f>
        <v>Still Admitted</v>
      </c>
      <c r="F91" s="6" t="str">
        <f>IF(WEEKDAY(Table14[[#This Row],[Admission Date]],2)&gt;5,"Weekend","Weekday")</f>
        <v>Weekend</v>
      </c>
      <c r="G91" t="s">
        <v>10</v>
      </c>
      <c r="H91">
        <v>8</v>
      </c>
      <c r="I91" t="str" cm="1">
        <f t="array" ref="I91">_xlfn.IFS(Table14[[#This Row],[Age]]&lt;18,"Children",Table14[[#This Row],[Age]]&lt;50,"Adult",Table14[[#This Row],[Age]]&gt;=50,"Elderly")</f>
        <v>Children</v>
      </c>
      <c r="J91" t="s">
        <v>547</v>
      </c>
      <c r="K91" s="7">
        <v>81310</v>
      </c>
      <c r="L91" s="2" t="str" cm="1">
        <f t="array" ref="L91">_xlfn.IFS(Table14[[#This Row],[Treatment Cost]]&lt;50000,"Low Billing",Table14[[#This Row],[Treatment Cost]]&lt;200000,"Moderate Billing",Table14[[#This Row],[Treatment Cost]]&gt;=200000,"High Billing")</f>
        <v>Moderate Billing</v>
      </c>
      <c r="M91" t="s">
        <v>403</v>
      </c>
      <c r="N91" t="str">
        <f>IF(AND(Table14[[#This Row],[Outcome]]="Follow-up",Table14[[#This Row],[Admission Status]]="Patient Discharged"),"High Risk Patient","Low Risk Patient")</f>
        <v>Low Risk Patient</v>
      </c>
      <c r="O91" t="str">
        <f>IFERROR(VLOOKUP(Table14[[#This Row],[Department]],Doctor_Info!A:D,2,FALSE), "")</f>
        <v>Dr. George</v>
      </c>
      <c r="P91" t="str">
        <f>IF(COUNTIF(A:A,Table14[[#This Row],[Patient ID]]&gt;1),"Returning Patient","New Patient")</f>
        <v>New Patient</v>
      </c>
      <c r="Q91" t="str">
        <f>_xlfn.XLOOKUP(Table14[[#This Row],[Department]], Doctor_Info!A:A, Doctor_Info!C:C, "")&amp;""</f>
        <v>405</v>
      </c>
      <c r="R91" t="str">
        <f>TEXT(Table14[[#This Row],[Admission Date]],"ddd")</f>
        <v>Sat</v>
      </c>
      <c r="S91" t="str">
        <f>TEXT(Table14[[#This Row],[Admission Date]],"mmm")</f>
        <v>Feb</v>
      </c>
      <c r="T91" t="str">
        <f>TEXT(Table14[[#This Row],[Admission Date]],"yyyy")</f>
        <v>2024</v>
      </c>
      <c r="U91" t="str">
        <f>TEXT(Table14[[#This Row],[Admission Date]],"mmm-yyyy")</f>
        <v>Feb-2024</v>
      </c>
      <c r="V91">
        <f t="shared" ca="1" si="1"/>
        <v>8</v>
      </c>
    </row>
    <row r="92" spans="1:22" x14ac:dyDescent="0.2">
      <c r="A92" t="s">
        <v>104</v>
      </c>
      <c r="B92" s="3">
        <v>45319</v>
      </c>
      <c r="C92" s="3">
        <v>45327</v>
      </c>
      <c r="D92">
        <f ca="1">IF(ISBLANK(Table14[[#This Row],[Discharge Date]]),TODAY()-Table14[[#This Row],[Admission Date]], Table14[[#This Row],[Discharge Date]]-Table14[[#This Row],[Admission Date]])</f>
        <v>8</v>
      </c>
      <c r="E92" s="6" t="str">
        <f>IF(Table14[[#This Row],[Discharge Date]]="","Still Admitted","Patient Discharged")</f>
        <v>Patient Discharged</v>
      </c>
      <c r="F92" s="6" t="str">
        <f>IF(WEEKDAY(Table14[[#This Row],[Admission Date]],2)&gt;5,"Weekend","Weekday")</f>
        <v>Weekend</v>
      </c>
      <c r="G92" t="s">
        <v>7</v>
      </c>
      <c r="H92">
        <v>10</v>
      </c>
      <c r="I92" t="str" cm="1">
        <f t="array" ref="I92">_xlfn.IFS(Table14[[#This Row],[Age]]&lt;18,"Children",Table14[[#This Row],[Age]]&lt;50,"Adult",Table14[[#This Row],[Age]]&gt;=50,"Elderly")</f>
        <v>Children</v>
      </c>
      <c r="J92" t="s">
        <v>546</v>
      </c>
      <c r="K92" s="7">
        <v>82280</v>
      </c>
      <c r="L92" s="2" t="str" cm="1">
        <f t="array" ref="L92">_xlfn.IFS(Table14[[#This Row],[Treatment Cost]]&lt;50000,"Low Billing",Table14[[#This Row],[Treatment Cost]]&lt;200000,"Moderate Billing",Table14[[#This Row],[Treatment Cost]]&gt;=200000,"High Billing")</f>
        <v>Moderate Billing</v>
      </c>
      <c r="M92" t="s">
        <v>8</v>
      </c>
      <c r="N92" t="str">
        <f>IF(AND(Table14[[#This Row],[Outcome]]="Follow-up",Table14[[#This Row],[Admission Status]]="Patient Discharged"),"High Risk Patient","Low Risk Patient")</f>
        <v>High Risk Patient</v>
      </c>
      <c r="O92" t="str">
        <f>IFERROR(VLOOKUP(Table14[[#This Row],[Department]],Doctor_Info!A:D,2,FALSE), "")</f>
        <v>Dr. Ada</v>
      </c>
      <c r="P92" t="str">
        <f>IF(COUNTIF(A:A,Table14[[#This Row],[Patient ID]]&gt;1),"Returning Patient","New Patient")</f>
        <v>New Patient</v>
      </c>
      <c r="Q92" t="str">
        <f>_xlfn.XLOOKUP(Table14[[#This Row],[Department]], Doctor_Info!A:A, Doctor_Info!C:C, "")&amp;""</f>
        <v>301</v>
      </c>
      <c r="R92" t="str">
        <f>TEXT(Table14[[#This Row],[Admission Date]],"ddd")</f>
        <v>Sun</v>
      </c>
      <c r="S92" t="str">
        <f>TEXT(Table14[[#This Row],[Admission Date]],"mmm")</f>
        <v>Jan</v>
      </c>
      <c r="T92" t="str">
        <f>TEXT(Table14[[#This Row],[Admission Date]],"yyyy")</f>
        <v>2024</v>
      </c>
      <c r="U92" t="str">
        <f>TEXT(Table14[[#This Row],[Admission Date]],"mmm-yyyy")</f>
        <v>Jan-2024</v>
      </c>
      <c r="V92">
        <f t="shared" ca="1" si="1"/>
        <v>8</v>
      </c>
    </row>
    <row r="93" spans="1:22" x14ac:dyDescent="0.2">
      <c r="A93" t="s">
        <v>105</v>
      </c>
      <c r="B93" s="3">
        <v>45323</v>
      </c>
      <c r="C93" s="3">
        <v>45324</v>
      </c>
      <c r="D93">
        <f ca="1">IF(ISBLANK(Table14[[#This Row],[Discharge Date]]),TODAY()-Table14[[#This Row],[Admission Date]], Table14[[#This Row],[Discharge Date]]-Table14[[#This Row],[Admission Date]])</f>
        <v>1</v>
      </c>
      <c r="E93" s="6" t="str">
        <f>IF(Table14[[#This Row],[Discharge Date]]="","Still Admitted","Patient Discharged")</f>
        <v>Patient Discharged</v>
      </c>
      <c r="F93" s="6" t="str">
        <f>IF(WEEKDAY(Table14[[#This Row],[Admission Date]],2)&gt;5,"Weekend","Weekday")</f>
        <v>Weekday</v>
      </c>
      <c r="G93" t="s">
        <v>528</v>
      </c>
      <c r="H93">
        <v>12</v>
      </c>
      <c r="I93" t="str" cm="1">
        <f t="array" ref="I93">_xlfn.IFS(Table14[[#This Row],[Age]]&lt;18,"Children",Table14[[#This Row],[Age]]&lt;50,"Adult",Table14[[#This Row],[Age]]&gt;=50,"Elderly")</f>
        <v>Children</v>
      </c>
      <c r="J93" t="s">
        <v>547</v>
      </c>
      <c r="K93" s="7">
        <v>83250</v>
      </c>
      <c r="L93" s="2" t="str" cm="1">
        <f t="array" ref="L93">_xlfn.IFS(Table14[[#This Row],[Treatment Cost]]&lt;50000,"Low Billing",Table14[[#This Row],[Treatment Cost]]&lt;200000,"Moderate Billing",Table14[[#This Row],[Treatment Cost]]&gt;=200000,"High Billing")</f>
        <v>Moderate Billing</v>
      </c>
      <c r="M93" t="s">
        <v>6</v>
      </c>
      <c r="N93" t="str">
        <f>IF(AND(Table14[[#This Row],[Outcome]]="Follow-up",Table14[[#This Row],[Admission Status]]="Patient Discharged"),"High Risk Patient","Low Risk Patient")</f>
        <v>Low Risk Patient</v>
      </c>
      <c r="O93" t="str">
        <f>IFERROR(VLOOKUP(Table14[[#This Row],[Department]],Doctor_Info!A:D,2,FALSE), "")</f>
        <v>Dr. Kofi</v>
      </c>
      <c r="P93" t="str">
        <f>IF(COUNTIF(A:A,Table14[[#This Row],[Patient ID]]&gt;1),"Returning Patient","New Patient")</f>
        <v>New Patient</v>
      </c>
      <c r="Q93" t="str">
        <f>_xlfn.XLOOKUP(Table14[[#This Row],[Department]], Doctor_Info!A:A, Doctor_Info!C:C, "")&amp;""</f>
        <v>102</v>
      </c>
      <c r="R93" t="str">
        <f>TEXT(Table14[[#This Row],[Admission Date]],"ddd")</f>
        <v>Thu</v>
      </c>
      <c r="S93" t="str">
        <f>TEXT(Table14[[#This Row],[Admission Date]],"mmm")</f>
        <v>Feb</v>
      </c>
      <c r="T93" t="str">
        <f>TEXT(Table14[[#This Row],[Admission Date]],"yyyy")</f>
        <v>2024</v>
      </c>
      <c r="U93" t="str">
        <f>TEXT(Table14[[#This Row],[Admission Date]],"mmm-yyyy")</f>
        <v>Feb-2024</v>
      </c>
      <c r="V93">
        <f t="shared" ca="1" si="1"/>
        <v>8</v>
      </c>
    </row>
    <row r="94" spans="1:22" x14ac:dyDescent="0.2">
      <c r="A94" t="s">
        <v>106</v>
      </c>
      <c r="B94" s="3">
        <v>45325</v>
      </c>
      <c r="C94" s="3">
        <v>45337</v>
      </c>
      <c r="D94">
        <f ca="1">IF(ISBLANK(Table14[[#This Row],[Discharge Date]]),TODAY()-Table14[[#This Row],[Admission Date]], Table14[[#This Row],[Discharge Date]]-Table14[[#This Row],[Admission Date]])</f>
        <v>12</v>
      </c>
      <c r="E94" s="6" t="str">
        <f>IF(Table14[[#This Row],[Discharge Date]]="","Still Admitted","Patient Discharged")</f>
        <v>Patient Discharged</v>
      </c>
      <c r="F94" s="6" t="str">
        <f>IF(WEEKDAY(Table14[[#This Row],[Admission Date]],2)&gt;5,"Weekend","Weekday")</f>
        <v>Weekend</v>
      </c>
      <c r="G94" t="s">
        <v>12</v>
      </c>
      <c r="H94">
        <v>14</v>
      </c>
      <c r="I94" t="str" cm="1">
        <f t="array" ref="I94">_xlfn.IFS(Table14[[#This Row],[Age]]&lt;18,"Children",Table14[[#This Row],[Age]]&lt;50,"Adult",Table14[[#This Row],[Age]]&gt;=50,"Elderly")</f>
        <v>Children</v>
      </c>
      <c r="J94" t="s">
        <v>546</v>
      </c>
      <c r="K94" s="7">
        <v>84220</v>
      </c>
      <c r="L94" s="2" t="str" cm="1">
        <f t="array" ref="L94">_xlfn.IFS(Table14[[#This Row],[Treatment Cost]]&lt;50000,"Low Billing",Table14[[#This Row],[Treatment Cost]]&lt;200000,"Moderate Billing",Table14[[#This Row],[Treatment Cost]]&gt;=200000,"High Billing")</f>
        <v>Moderate Billing</v>
      </c>
      <c r="M94" t="s">
        <v>8</v>
      </c>
      <c r="N94" t="str">
        <f>IF(AND(Table14[[#This Row],[Outcome]]="Follow-up",Table14[[#This Row],[Admission Status]]="Patient Discharged"),"High Risk Patient","Low Risk Patient")</f>
        <v>High Risk Patient</v>
      </c>
      <c r="O94" t="str">
        <f>IFERROR(VLOOKUP(Table14[[#This Row],[Department]],Doctor_Info!A:D,2,FALSE), "")</f>
        <v>Dr. Temi</v>
      </c>
      <c r="P94" t="str">
        <f>IF(COUNTIF(A:A,Table14[[#This Row],[Patient ID]]&gt;1),"Returning Patient","New Patient")</f>
        <v>New Patient</v>
      </c>
      <c r="Q94" t="str">
        <f>_xlfn.XLOOKUP(Table14[[#This Row],[Department]], Doctor_Info!A:A, Doctor_Info!C:C, "")&amp;""</f>
        <v>502</v>
      </c>
      <c r="R94" t="str">
        <f>TEXT(Table14[[#This Row],[Admission Date]],"ddd")</f>
        <v>Sat</v>
      </c>
      <c r="S94" t="str">
        <f>TEXT(Table14[[#This Row],[Admission Date]],"mmm")</f>
        <v>Feb</v>
      </c>
      <c r="T94" t="str">
        <f>TEXT(Table14[[#This Row],[Admission Date]],"yyyy")</f>
        <v>2024</v>
      </c>
      <c r="U94" t="str">
        <f>TEXT(Table14[[#This Row],[Admission Date]],"mmm-yyyy")</f>
        <v>Feb-2024</v>
      </c>
      <c r="V94">
        <f t="shared" ca="1" si="1"/>
        <v>8</v>
      </c>
    </row>
    <row r="95" spans="1:22" x14ac:dyDescent="0.2">
      <c r="A95" t="s">
        <v>107</v>
      </c>
      <c r="B95" s="3">
        <v>45327</v>
      </c>
      <c r="C95" s="3">
        <v>45328</v>
      </c>
      <c r="D95">
        <f ca="1">IF(ISBLANK(Table14[[#This Row],[Discharge Date]]),TODAY()-Table14[[#This Row],[Admission Date]], Table14[[#This Row],[Discharge Date]]-Table14[[#This Row],[Admission Date]])</f>
        <v>1</v>
      </c>
      <c r="E95" s="6" t="str">
        <f>IF(Table14[[#This Row],[Discharge Date]]="","Still Admitted","Patient Discharged")</f>
        <v>Patient Discharged</v>
      </c>
      <c r="F95" s="6" t="str">
        <f>IF(WEEKDAY(Table14[[#This Row],[Admission Date]],2)&gt;5,"Weekend","Weekday")</f>
        <v>Weekday</v>
      </c>
      <c r="G95" t="s">
        <v>528</v>
      </c>
      <c r="H95">
        <v>16</v>
      </c>
      <c r="I95" t="str" cm="1">
        <f t="array" ref="I95">_xlfn.IFS(Table14[[#This Row],[Age]]&lt;18,"Children",Table14[[#This Row],[Age]]&lt;50,"Adult",Table14[[#This Row],[Age]]&gt;=50,"Elderly")</f>
        <v>Children</v>
      </c>
      <c r="J95" t="s">
        <v>547</v>
      </c>
      <c r="K95" s="7">
        <v>85190</v>
      </c>
      <c r="L95" s="2" t="str" cm="1">
        <f t="array" ref="L95">_xlfn.IFS(Table14[[#This Row],[Treatment Cost]]&lt;50000,"Low Billing",Table14[[#This Row],[Treatment Cost]]&lt;200000,"Moderate Billing",Table14[[#This Row],[Treatment Cost]]&gt;=200000,"High Billing")</f>
        <v>Moderate Billing</v>
      </c>
      <c r="M95" t="s">
        <v>6</v>
      </c>
      <c r="N95" t="str">
        <f>IF(AND(Table14[[#This Row],[Outcome]]="Follow-up",Table14[[#This Row],[Admission Status]]="Patient Discharged"),"High Risk Patient","Low Risk Patient")</f>
        <v>Low Risk Patient</v>
      </c>
      <c r="O95" t="str">
        <f>IFERROR(VLOOKUP(Table14[[#This Row],[Department]],Doctor_Info!A:D,2,FALSE), "")</f>
        <v>Dr. Kofi</v>
      </c>
      <c r="P95" t="str">
        <f>IF(COUNTIF(A:A,Table14[[#This Row],[Patient ID]]&gt;1),"Returning Patient","New Patient")</f>
        <v>New Patient</v>
      </c>
      <c r="Q95" t="str">
        <f>_xlfn.XLOOKUP(Table14[[#This Row],[Department]], Doctor_Info!A:A, Doctor_Info!C:C, "")&amp;""</f>
        <v>102</v>
      </c>
      <c r="R95" t="str">
        <f>TEXT(Table14[[#This Row],[Admission Date]],"ddd")</f>
        <v>Mon</v>
      </c>
      <c r="S95" t="str">
        <f>TEXT(Table14[[#This Row],[Admission Date]],"mmm")</f>
        <v>Feb</v>
      </c>
      <c r="T95" t="str">
        <f>TEXT(Table14[[#This Row],[Admission Date]],"yyyy")</f>
        <v>2024</v>
      </c>
      <c r="U95" t="str">
        <f>TEXT(Table14[[#This Row],[Admission Date]],"mmm-yyyy")</f>
        <v>Feb-2024</v>
      </c>
      <c r="V95">
        <f t="shared" ca="1" si="1"/>
        <v>8</v>
      </c>
    </row>
    <row r="96" spans="1:22" x14ac:dyDescent="0.2">
      <c r="A96" t="s">
        <v>108</v>
      </c>
      <c r="B96" s="3">
        <v>45332</v>
      </c>
      <c r="D96">
        <f ca="1">IF(ISBLANK(Table14[[#This Row],[Discharge Date]]),TODAY()-Table14[[#This Row],[Admission Date]], Table14[[#This Row],[Discharge Date]]-Table14[[#This Row],[Admission Date]])</f>
        <v>806</v>
      </c>
      <c r="E96" s="6" t="str">
        <f>IF(Table14[[#This Row],[Discharge Date]]="","Still Admitted","Patient Discharged")</f>
        <v>Still Admitted</v>
      </c>
      <c r="F96" s="6" t="str">
        <f>IF(WEEKDAY(Table14[[#This Row],[Admission Date]],2)&gt;5,"Weekend","Weekday")</f>
        <v>Weekend</v>
      </c>
      <c r="G96" t="s">
        <v>10</v>
      </c>
      <c r="H96">
        <v>18</v>
      </c>
      <c r="I96" t="str" cm="1">
        <f t="array" ref="I96">_xlfn.IFS(Table14[[#This Row],[Age]]&lt;18,"Children",Table14[[#This Row],[Age]]&lt;50,"Adult",Table14[[#This Row],[Age]]&gt;=50,"Elderly")</f>
        <v>Adult</v>
      </c>
      <c r="J96" t="s">
        <v>547</v>
      </c>
      <c r="K96" s="7">
        <v>86160</v>
      </c>
      <c r="L96" s="2" t="str" cm="1">
        <f t="array" ref="L96">_xlfn.IFS(Table14[[#This Row],[Treatment Cost]]&lt;50000,"Low Billing",Table14[[#This Row],[Treatment Cost]]&lt;200000,"Moderate Billing",Table14[[#This Row],[Treatment Cost]]&gt;=200000,"High Billing")</f>
        <v>Moderate Billing</v>
      </c>
      <c r="M96" t="s">
        <v>403</v>
      </c>
      <c r="N96" t="str">
        <f>IF(AND(Table14[[#This Row],[Outcome]]="Follow-up",Table14[[#This Row],[Admission Status]]="Patient Discharged"),"High Risk Patient","Low Risk Patient")</f>
        <v>Low Risk Patient</v>
      </c>
      <c r="O96" t="str">
        <f>IFERROR(VLOOKUP(Table14[[#This Row],[Department]],Doctor_Info!A:D,2,FALSE), "")</f>
        <v>Dr. George</v>
      </c>
      <c r="P96" t="str">
        <f>IF(COUNTIF(A:A,Table14[[#This Row],[Patient ID]]&gt;1),"Returning Patient","New Patient")</f>
        <v>New Patient</v>
      </c>
      <c r="Q96" t="str">
        <f>_xlfn.XLOOKUP(Table14[[#This Row],[Department]], Doctor_Info!A:A, Doctor_Info!C:C, "")&amp;""</f>
        <v>405</v>
      </c>
      <c r="R96" t="str">
        <f>TEXT(Table14[[#This Row],[Admission Date]],"ddd")</f>
        <v>Sat</v>
      </c>
      <c r="S96" t="str">
        <f>TEXT(Table14[[#This Row],[Admission Date]],"mmm")</f>
        <v>Feb</v>
      </c>
      <c r="T96" t="str">
        <f>TEXT(Table14[[#This Row],[Admission Date]],"yyyy")</f>
        <v>2024</v>
      </c>
      <c r="U96" t="str">
        <f>TEXT(Table14[[#This Row],[Admission Date]],"mmm-yyyy")</f>
        <v>Feb-2024</v>
      </c>
      <c r="V96">
        <f t="shared" ca="1" si="1"/>
        <v>8</v>
      </c>
    </row>
    <row r="97" spans="1:22" x14ac:dyDescent="0.2">
      <c r="A97" t="s">
        <v>109</v>
      </c>
      <c r="B97" s="3">
        <v>45319</v>
      </c>
      <c r="C97" s="3">
        <v>45327</v>
      </c>
      <c r="D97">
        <f ca="1">IF(ISBLANK(Table14[[#This Row],[Discharge Date]]),TODAY()-Table14[[#This Row],[Admission Date]], Table14[[#This Row],[Discharge Date]]-Table14[[#This Row],[Admission Date]])</f>
        <v>8</v>
      </c>
      <c r="E97" s="6" t="str">
        <f>IF(Table14[[#This Row],[Discharge Date]]="","Still Admitted","Patient Discharged")</f>
        <v>Patient Discharged</v>
      </c>
      <c r="F97" s="6" t="str">
        <f>IF(WEEKDAY(Table14[[#This Row],[Admission Date]],2)&gt;5,"Weekend","Weekday")</f>
        <v>Weekend</v>
      </c>
      <c r="G97" t="s">
        <v>7</v>
      </c>
      <c r="H97">
        <v>20</v>
      </c>
      <c r="I97" t="str" cm="1">
        <f t="array" ref="I97">_xlfn.IFS(Table14[[#This Row],[Age]]&lt;18,"Children",Table14[[#This Row],[Age]]&lt;50,"Adult",Table14[[#This Row],[Age]]&gt;=50,"Elderly")</f>
        <v>Adult</v>
      </c>
      <c r="J97" t="s">
        <v>546</v>
      </c>
      <c r="K97" s="7">
        <v>87130</v>
      </c>
      <c r="L97" s="2" t="str" cm="1">
        <f t="array" ref="L97">_xlfn.IFS(Table14[[#This Row],[Treatment Cost]]&lt;50000,"Low Billing",Table14[[#This Row],[Treatment Cost]]&lt;200000,"Moderate Billing",Table14[[#This Row],[Treatment Cost]]&gt;=200000,"High Billing")</f>
        <v>Moderate Billing</v>
      </c>
      <c r="M97" t="s">
        <v>8</v>
      </c>
      <c r="N97" t="str">
        <f>IF(AND(Table14[[#This Row],[Outcome]]="Follow-up",Table14[[#This Row],[Admission Status]]="Patient Discharged"),"High Risk Patient","Low Risk Patient")</f>
        <v>High Risk Patient</v>
      </c>
      <c r="O97" t="str">
        <f>IFERROR(VLOOKUP(Table14[[#This Row],[Department]],Doctor_Info!A:D,2,FALSE), "")</f>
        <v>Dr. Ada</v>
      </c>
      <c r="P97" t="str">
        <f>IF(COUNTIF(A:A,Table14[[#This Row],[Patient ID]]&gt;1),"Returning Patient","New Patient")</f>
        <v>New Patient</v>
      </c>
      <c r="Q97" t="str">
        <f>_xlfn.XLOOKUP(Table14[[#This Row],[Department]], Doctor_Info!A:A, Doctor_Info!C:C, "")&amp;""</f>
        <v>301</v>
      </c>
      <c r="R97" t="str">
        <f>TEXT(Table14[[#This Row],[Admission Date]],"ddd")</f>
        <v>Sun</v>
      </c>
      <c r="S97" t="str">
        <f>TEXT(Table14[[#This Row],[Admission Date]],"mmm")</f>
        <v>Jan</v>
      </c>
      <c r="T97" t="str">
        <f>TEXT(Table14[[#This Row],[Admission Date]],"yyyy")</f>
        <v>2024</v>
      </c>
      <c r="U97" t="str">
        <f>TEXT(Table14[[#This Row],[Admission Date]],"mmm-yyyy")</f>
        <v>Jan-2024</v>
      </c>
      <c r="V97">
        <f t="shared" ca="1" si="1"/>
        <v>8</v>
      </c>
    </row>
    <row r="98" spans="1:22" x14ac:dyDescent="0.2">
      <c r="A98" t="s">
        <v>110</v>
      </c>
      <c r="B98" s="3">
        <v>45323</v>
      </c>
      <c r="C98" s="3">
        <v>45324</v>
      </c>
      <c r="D98">
        <f ca="1">IF(ISBLANK(Table14[[#This Row],[Discharge Date]]),TODAY()-Table14[[#This Row],[Admission Date]], Table14[[#This Row],[Discharge Date]]-Table14[[#This Row],[Admission Date]])</f>
        <v>1</v>
      </c>
      <c r="E98" s="6" t="str">
        <f>IF(Table14[[#This Row],[Discharge Date]]="","Still Admitted","Patient Discharged")</f>
        <v>Patient Discharged</v>
      </c>
      <c r="F98" s="6" t="str">
        <f>IF(WEEKDAY(Table14[[#This Row],[Admission Date]],2)&gt;5,"Weekend","Weekday")</f>
        <v>Weekday</v>
      </c>
      <c r="G98" t="s">
        <v>528</v>
      </c>
      <c r="H98">
        <v>22</v>
      </c>
      <c r="I98" t="str" cm="1">
        <f t="array" ref="I98">_xlfn.IFS(Table14[[#This Row],[Age]]&lt;18,"Children",Table14[[#This Row],[Age]]&lt;50,"Adult",Table14[[#This Row],[Age]]&gt;=50,"Elderly")</f>
        <v>Adult</v>
      </c>
      <c r="J98" t="s">
        <v>547</v>
      </c>
      <c r="K98" s="7">
        <v>88100</v>
      </c>
      <c r="L98" s="2" t="str" cm="1">
        <f t="array" ref="L98">_xlfn.IFS(Table14[[#This Row],[Treatment Cost]]&lt;50000,"Low Billing",Table14[[#This Row],[Treatment Cost]]&lt;200000,"Moderate Billing",Table14[[#This Row],[Treatment Cost]]&gt;=200000,"High Billing")</f>
        <v>Moderate Billing</v>
      </c>
      <c r="M98" t="s">
        <v>6</v>
      </c>
      <c r="N98" t="str">
        <f>IF(AND(Table14[[#This Row],[Outcome]]="Follow-up",Table14[[#This Row],[Admission Status]]="Patient Discharged"),"High Risk Patient","Low Risk Patient")</f>
        <v>Low Risk Patient</v>
      </c>
      <c r="O98" t="str">
        <f>IFERROR(VLOOKUP(Table14[[#This Row],[Department]],Doctor_Info!A:D,2,FALSE), "")</f>
        <v>Dr. Kofi</v>
      </c>
      <c r="P98" t="str">
        <f>IF(COUNTIF(A:A,Table14[[#This Row],[Patient ID]]&gt;1),"Returning Patient","New Patient")</f>
        <v>New Patient</v>
      </c>
      <c r="Q98" t="str">
        <f>_xlfn.XLOOKUP(Table14[[#This Row],[Department]], Doctor_Info!A:A, Doctor_Info!C:C, "")&amp;""</f>
        <v>102</v>
      </c>
      <c r="R98" t="str">
        <f>TEXT(Table14[[#This Row],[Admission Date]],"ddd")</f>
        <v>Thu</v>
      </c>
      <c r="S98" t="str">
        <f>TEXT(Table14[[#This Row],[Admission Date]],"mmm")</f>
        <v>Feb</v>
      </c>
      <c r="T98" t="str">
        <f>TEXT(Table14[[#This Row],[Admission Date]],"yyyy")</f>
        <v>2024</v>
      </c>
      <c r="U98" t="str">
        <f>TEXT(Table14[[#This Row],[Admission Date]],"mmm-yyyy")</f>
        <v>Feb-2024</v>
      </c>
      <c r="V98">
        <f t="shared" ca="1" si="1"/>
        <v>8</v>
      </c>
    </row>
    <row r="99" spans="1:22" x14ac:dyDescent="0.2">
      <c r="A99" t="s">
        <v>111</v>
      </c>
      <c r="B99" s="3">
        <v>45325</v>
      </c>
      <c r="C99" s="3">
        <v>45337</v>
      </c>
      <c r="D99">
        <f ca="1">IF(ISBLANK(Table14[[#This Row],[Discharge Date]]),TODAY()-Table14[[#This Row],[Admission Date]], Table14[[#This Row],[Discharge Date]]-Table14[[#This Row],[Admission Date]])</f>
        <v>12</v>
      </c>
      <c r="E99" s="6" t="str">
        <f>IF(Table14[[#This Row],[Discharge Date]]="","Still Admitted","Patient Discharged")</f>
        <v>Patient Discharged</v>
      </c>
      <c r="F99" s="6" t="str">
        <f>IF(WEEKDAY(Table14[[#This Row],[Admission Date]],2)&gt;5,"Weekend","Weekday")</f>
        <v>Weekend</v>
      </c>
      <c r="G99" t="s">
        <v>12</v>
      </c>
      <c r="H99">
        <v>24</v>
      </c>
      <c r="I99" t="str" cm="1">
        <f t="array" ref="I99">_xlfn.IFS(Table14[[#This Row],[Age]]&lt;18,"Children",Table14[[#This Row],[Age]]&lt;50,"Adult",Table14[[#This Row],[Age]]&gt;=50,"Elderly")</f>
        <v>Adult</v>
      </c>
      <c r="J99" t="s">
        <v>546</v>
      </c>
      <c r="K99" s="7">
        <v>89070</v>
      </c>
      <c r="L99" s="2" t="str" cm="1">
        <f t="array" ref="L99">_xlfn.IFS(Table14[[#This Row],[Treatment Cost]]&lt;50000,"Low Billing",Table14[[#This Row],[Treatment Cost]]&lt;200000,"Moderate Billing",Table14[[#This Row],[Treatment Cost]]&gt;=200000,"High Billing")</f>
        <v>Moderate Billing</v>
      </c>
      <c r="M99" t="s">
        <v>8</v>
      </c>
      <c r="N99" t="str">
        <f>IF(AND(Table14[[#This Row],[Outcome]]="Follow-up",Table14[[#This Row],[Admission Status]]="Patient Discharged"),"High Risk Patient","Low Risk Patient")</f>
        <v>High Risk Patient</v>
      </c>
      <c r="O99" t="str">
        <f>IFERROR(VLOOKUP(Table14[[#This Row],[Department]],Doctor_Info!A:D,2,FALSE), "")</f>
        <v>Dr. Temi</v>
      </c>
      <c r="P99" t="str">
        <f>IF(COUNTIF(A:A,Table14[[#This Row],[Patient ID]]&gt;1),"Returning Patient","New Patient")</f>
        <v>New Patient</v>
      </c>
      <c r="Q99" t="str">
        <f>_xlfn.XLOOKUP(Table14[[#This Row],[Department]], Doctor_Info!A:A, Doctor_Info!C:C, "")&amp;""</f>
        <v>502</v>
      </c>
      <c r="R99" t="str">
        <f>TEXT(Table14[[#This Row],[Admission Date]],"ddd")</f>
        <v>Sat</v>
      </c>
      <c r="S99" t="str">
        <f>TEXT(Table14[[#This Row],[Admission Date]],"mmm")</f>
        <v>Feb</v>
      </c>
      <c r="T99" t="str">
        <f>TEXT(Table14[[#This Row],[Admission Date]],"yyyy")</f>
        <v>2024</v>
      </c>
      <c r="U99" t="str">
        <f>TEXT(Table14[[#This Row],[Admission Date]],"mmm-yyyy")</f>
        <v>Feb-2024</v>
      </c>
      <c r="V99">
        <f t="shared" ca="1" si="1"/>
        <v>8</v>
      </c>
    </row>
    <row r="100" spans="1:22" x14ac:dyDescent="0.2">
      <c r="A100" t="s">
        <v>112</v>
      </c>
      <c r="B100" s="3">
        <v>45327</v>
      </c>
      <c r="C100" s="3">
        <v>45328</v>
      </c>
      <c r="D100">
        <f ca="1">IF(ISBLANK(Table14[[#This Row],[Discharge Date]]),TODAY()-Table14[[#This Row],[Admission Date]], Table14[[#This Row],[Discharge Date]]-Table14[[#This Row],[Admission Date]])</f>
        <v>1</v>
      </c>
      <c r="E100" s="6" t="str">
        <f>IF(Table14[[#This Row],[Discharge Date]]="","Still Admitted","Patient Discharged")</f>
        <v>Patient Discharged</v>
      </c>
      <c r="F100" s="6" t="str">
        <f>IF(WEEKDAY(Table14[[#This Row],[Admission Date]],2)&gt;5,"Weekend","Weekday")</f>
        <v>Weekday</v>
      </c>
      <c r="G100" t="s">
        <v>528</v>
      </c>
      <c r="H100">
        <v>26</v>
      </c>
      <c r="I100" t="str" cm="1">
        <f t="array" ref="I100">_xlfn.IFS(Table14[[#This Row],[Age]]&lt;18,"Children",Table14[[#This Row],[Age]]&lt;50,"Adult",Table14[[#This Row],[Age]]&gt;=50,"Elderly")</f>
        <v>Adult</v>
      </c>
      <c r="J100" t="s">
        <v>547</v>
      </c>
      <c r="K100" s="7">
        <v>90040</v>
      </c>
      <c r="L100" s="2" t="str" cm="1">
        <f t="array" ref="L100">_xlfn.IFS(Table14[[#This Row],[Treatment Cost]]&lt;50000,"Low Billing",Table14[[#This Row],[Treatment Cost]]&lt;200000,"Moderate Billing",Table14[[#This Row],[Treatment Cost]]&gt;=200000,"High Billing")</f>
        <v>Moderate Billing</v>
      </c>
      <c r="M100" t="s">
        <v>6</v>
      </c>
      <c r="N100" t="str">
        <f>IF(AND(Table14[[#This Row],[Outcome]]="Follow-up",Table14[[#This Row],[Admission Status]]="Patient Discharged"),"High Risk Patient","Low Risk Patient")</f>
        <v>Low Risk Patient</v>
      </c>
      <c r="O100" t="str">
        <f>IFERROR(VLOOKUP(Table14[[#This Row],[Department]],Doctor_Info!A:D,2,FALSE), "")</f>
        <v>Dr. Kofi</v>
      </c>
      <c r="P100" t="str">
        <f>IF(COUNTIF(A:A,Table14[[#This Row],[Patient ID]]&gt;1),"Returning Patient","New Patient")</f>
        <v>New Patient</v>
      </c>
      <c r="Q100" t="str">
        <f>_xlfn.XLOOKUP(Table14[[#This Row],[Department]], Doctor_Info!A:A, Doctor_Info!C:C, "")&amp;""</f>
        <v>102</v>
      </c>
      <c r="R100" t="str">
        <f>TEXT(Table14[[#This Row],[Admission Date]],"ddd")</f>
        <v>Mon</v>
      </c>
      <c r="S100" t="str">
        <f>TEXT(Table14[[#This Row],[Admission Date]],"mmm")</f>
        <v>Feb</v>
      </c>
      <c r="T100" t="str">
        <f>TEXT(Table14[[#This Row],[Admission Date]],"yyyy")</f>
        <v>2024</v>
      </c>
      <c r="U100" t="str">
        <f>TEXT(Table14[[#This Row],[Admission Date]],"mmm-yyyy")</f>
        <v>Feb-2024</v>
      </c>
      <c r="V100">
        <f t="shared" ca="1" si="1"/>
        <v>8</v>
      </c>
    </row>
    <row r="101" spans="1:22" x14ac:dyDescent="0.2">
      <c r="A101" t="s">
        <v>113</v>
      </c>
      <c r="B101" s="3">
        <v>45332</v>
      </c>
      <c r="D101">
        <f ca="1">IF(ISBLANK(Table14[[#This Row],[Discharge Date]]),TODAY()-Table14[[#This Row],[Admission Date]], Table14[[#This Row],[Discharge Date]]-Table14[[#This Row],[Admission Date]])</f>
        <v>806</v>
      </c>
      <c r="E101" s="6" t="str">
        <f>IF(Table14[[#This Row],[Discharge Date]]="","Still Admitted","Patient Discharged")</f>
        <v>Still Admitted</v>
      </c>
      <c r="F101" s="6" t="str">
        <f>IF(WEEKDAY(Table14[[#This Row],[Admission Date]],2)&gt;5,"Weekend","Weekday")</f>
        <v>Weekend</v>
      </c>
      <c r="G101" t="s">
        <v>10</v>
      </c>
      <c r="H101">
        <v>28</v>
      </c>
      <c r="I101" t="str" cm="1">
        <f t="array" ref="I101">_xlfn.IFS(Table14[[#This Row],[Age]]&lt;18,"Children",Table14[[#This Row],[Age]]&lt;50,"Adult",Table14[[#This Row],[Age]]&gt;=50,"Elderly")</f>
        <v>Adult</v>
      </c>
      <c r="J101" t="s">
        <v>547</v>
      </c>
      <c r="K101" s="7">
        <v>91010</v>
      </c>
      <c r="L101" s="2" t="str" cm="1">
        <f t="array" ref="L101">_xlfn.IFS(Table14[[#This Row],[Treatment Cost]]&lt;50000,"Low Billing",Table14[[#This Row],[Treatment Cost]]&lt;200000,"Moderate Billing",Table14[[#This Row],[Treatment Cost]]&gt;=200000,"High Billing")</f>
        <v>Moderate Billing</v>
      </c>
      <c r="M101" t="s">
        <v>403</v>
      </c>
      <c r="N101" t="str">
        <f>IF(AND(Table14[[#This Row],[Outcome]]="Follow-up",Table14[[#This Row],[Admission Status]]="Patient Discharged"),"High Risk Patient","Low Risk Patient")</f>
        <v>Low Risk Patient</v>
      </c>
      <c r="O101" t="str">
        <f>IFERROR(VLOOKUP(Table14[[#This Row],[Department]],Doctor_Info!A:D,2,FALSE), "")</f>
        <v>Dr. George</v>
      </c>
      <c r="P101" t="str">
        <f>IF(COUNTIF(A:A,Table14[[#This Row],[Patient ID]]&gt;1),"Returning Patient","New Patient")</f>
        <v>New Patient</v>
      </c>
      <c r="Q101" t="str">
        <f>_xlfn.XLOOKUP(Table14[[#This Row],[Department]], Doctor_Info!A:A, Doctor_Info!C:C, "")&amp;""</f>
        <v>405</v>
      </c>
      <c r="R101" t="str">
        <f>TEXT(Table14[[#This Row],[Admission Date]],"ddd")</f>
        <v>Sat</v>
      </c>
      <c r="S101" t="str">
        <f>TEXT(Table14[[#This Row],[Admission Date]],"mmm")</f>
        <v>Feb</v>
      </c>
      <c r="T101" t="str">
        <f>TEXT(Table14[[#This Row],[Admission Date]],"yyyy")</f>
        <v>2024</v>
      </c>
      <c r="U101" t="str">
        <f>TEXT(Table14[[#This Row],[Admission Date]],"mmm-yyyy")</f>
        <v>Feb-2024</v>
      </c>
      <c r="V101">
        <f t="shared" ca="1" si="1"/>
        <v>8</v>
      </c>
    </row>
    <row r="102" spans="1:22" x14ac:dyDescent="0.2">
      <c r="A102" t="s">
        <v>114</v>
      </c>
      <c r="B102" s="3">
        <v>45319</v>
      </c>
      <c r="C102" s="3">
        <v>45327</v>
      </c>
      <c r="D102">
        <f ca="1">IF(ISBLANK(Table14[[#This Row],[Discharge Date]]),TODAY()-Table14[[#This Row],[Admission Date]], Table14[[#This Row],[Discharge Date]]-Table14[[#This Row],[Admission Date]])</f>
        <v>8</v>
      </c>
      <c r="E102" s="6" t="str">
        <f>IF(Table14[[#This Row],[Discharge Date]]="","Still Admitted","Patient Discharged")</f>
        <v>Patient Discharged</v>
      </c>
      <c r="F102" s="6" t="str">
        <f>IF(WEEKDAY(Table14[[#This Row],[Admission Date]],2)&gt;5,"Weekend","Weekday")</f>
        <v>Weekend</v>
      </c>
      <c r="G102" t="s">
        <v>7</v>
      </c>
      <c r="H102">
        <v>30</v>
      </c>
      <c r="I102" t="str" cm="1">
        <f t="array" ref="I102">_xlfn.IFS(Table14[[#This Row],[Age]]&lt;18,"Children",Table14[[#This Row],[Age]]&lt;50,"Adult",Table14[[#This Row],[Age]]&gt;=50,"Elderly")</f>
        <v>Adult</v>
      </c>
      <c r="J102" t="s">
        <v>546</v>
      </c>
      <c r="K102" s="7">
        <v>91979.999999999898</v>
      </c>
      <c r="L102" s="2" t="str" cm="1">
        <f t="array" ref="L102">_xlfn.IFS(Table14[[#This Row],[Treatment Cost]]&lt;50000,"Low Billing",Table14[[#This Row],[Treatment Cost]]&lt;200000,"Moderate Billing",Table14[[#This Row],[Treatment Cost]]&gt;=200000,"High Billing")</f>
        <v>Moderate Billing</v>
      </c>
      <c r="M102" t="s">
        <v>8</v>
      </c>
      <c r="N102" t="str">
        <f>IF(AND(Table14[[#This Row],[Outcome]]="Follow-up",Table14[[#This Row],[Admission Status]]="Patient Discharged"),"High Risk Patient","Low Risk Patient")</f>
        <v>High Risk Patient</v>
      </c>
      <c r="O102" t="str">
        <f>IFERROR(VLOOKUP(Table14[[#This Row],[Department]],Doctor_Info!A:D,2,FALSE), "")</f>
        <v>Dr. Ada</v>
      </c>
      <c r="P102" t="str">
        <f>IF(COUNTIF(A:A,Table14[[#This Row],[Patient ID]]&gt;1),"Returning Patient","New Patient")</f>
        <v>New Patient</v>
      </c>
      <c r="Q102" t="str">
        <f>_xlfn.XLOOKUP(Table14[[#This Row],[Department]], Doctor_Info!A:A, Doctor_Info!C:C, "")&amp;""</f>
        <v>301</v>
      </c>
      <c r="R102" t="str">
        <f>TEXT(Table14[[#This Row],[Admission Date]],"ddd")</f>
        <v>Sun</v>
      </c>
      <c r="S102" t="str">
        <f>TEXT(Table14[[#This Row],[Admission Date]],"mmm")</f>
        <v>Jan</v>
      </c>
      <c r="T102" t="str">
        <f>TEXT(Table14[[#This Row],[Admission Date]],"yyyy")</f>
        <v>2024</v>
      </c>
      <c r="U102" t="str">
        <f>TEXT(Table14[[#This Row],[Admission Date]],"mmm-yyyy")</f>
        <v>Jan-2024</v>
      </c>
      <c r="V102">
        <f t="shared" ca="1" si="1"/>
        <v>8</v>
      </c>
    </row>
    <row r="103" spans="1:22" x14ac:dyDescent="0.2">
      <c r="A103" t="s">
        <v>115</v>
      </c>
      <c r="B103" s="3">
        <v>45323</v>
      </c>
      <c r="C103" s="3">
        <v>45324</v>
      </c>
      <c r="D103">
        <f ca="1">IF(ISBLANK(Table14[[#This Row],[Discharge Date]]),TODAY()-Table14[[#This Row],[Admission Date]], Table14[[#This Row],[Discharge Date]]-Table14[[#This Row],[Admission Date]])</f>
        <v>1</v>
      </c>
      <c r="E103" s="6" t="str">
        <f>IF(Table14[[#This Row],[Discharge Date]]="","Still Admitted","Patient Discharged")</f>
        <v>Patient Discharged</v>
      </c>
      <c r="F103" s="6" t="str">
        <f>IF(WEEKDAY(Table14[[#This Row],[Admission Date]],2)&gt;5,"Weekend","Weekday")</f>
        <v>Weekday</v>
      </c>
      <c r="G103" t="s">
        <v>528</v>
      </c>
      <c r="H103">
        <v>32</v>
      </c>
      <c r="I103" t="str" cm="1">
        <f t="array" ref="I103">_xlfn.IFS(Table14[[#This Row],[Age]]&lt;18,"Children",Table14[[#This Row],[Age]]&lt;50,"Adult",Table14[[#This Row],[Age]]&gt;=50,"Elderly")</f>
        <v>Adult</v>
      </c>
      <c r="J103" t="s">
        <v>547</v>
      </c>
      <c r="K103" s="7">
        <v>92949.999999999898</v>
      </c>
      <c r="L103" s="2" t="str" cm="1">
        <f t="array" ref="L103">_xlfn.IFS(Table14[[#This Row],[Treatment Cost]]&lt;50000,"Low Billing",Table14[[#This Row],[Treatment Cost]]&lt;200000,"Moderate Billing",Table14[[#This Row],[Treatment Cost]]&gt;=200000,"High Billing")</f>
        <v>Moderate Billing</v>
      </c>
      <c r="M103" t="s">
        <v>6</v>
      </c>
      <c r="N103" t="str">
        <f>IF(AND(Table14[[#This Row],[Outcome]]="Follow-up",Table14[[#This Row],[Admission Status]]="Patient Discharged"),"High Risk Patient","Low Risk Patient")</f>
        <v>Low Risk Patient</v>
      </c>
      <c r="O103" t="str">
        <f>IFERROR(VLOOKUP(Table14[[#This Row],[Department]],Doctor_Info!A:D,2,FALSE), "")</f>
        <v>Dr. Kofi</v>
      </c>
      <c r="P103" t="str">
        <f>IF(COUNTIF(A:A,Table14[[#This Row],[Patient ID]]&gt;1),"Returning Patient","New Patient")</f>
        <v>New Patient</v>
      </c>
      <c r="Q103" t="str">
        <f>_xlfn.XLOOKUP(Table14[[#This Row],[Department]], Doctor_Info!A:A, Doctor_Info!C:C, "")&amp;""</f>
        <v>102</v>
      </c>
      <c r="R103" t="str">
        <f>TEXT(Table14[[#This Row],[Admission Date]],"ddd")</f>
        <v>Thu</v>
      </c>
      <c r="S103" t="str">
        <f>TEXT(Table14[[#This Row],[Admission Date]],"mmm")</f>
        <v>Feb</v>
      </c>
      <c r="T103" t="str">
        <f>TEXT(Table14[[#This Row],[Admission Date]],"yyyy")</f>
        <v>2024</v>
      </c>
      <c r="U103" t="str">
        <f>TEXT(Table14[[#This Row],[Admission Date]],"mmm-yyyy")</f>
        <v>Feb-2024</v>
      </c>
      <c r="V103">
        <f t="shared" ca="1" si="1"/>
        <v>8</v>
      </c>
    </row>
    <row r="104" spans="1:22" x14ac:dyDescent="0.2">
      <c r="A104" t="s">
        <v>116</v>
      </c>
      <c r="B104" s="3">
        <v>45325</v>
      </c>
      <c r="C104" s="3">
        <v>45337</v>
      </c>
      <c r="D104">
        <f ca="1">IF(ISBLANK(Table14[[#This Row],[Discharge Date]]),TODAY()-Table14[[#This Row],[Admission Date]], Table14[[#This Row],[Discharge Date]]-Table14[[#This Row],[Admission Date]])</f>
        <v>12</v>
      </c>
      <c r="E104" s="6" t="str">
        <f>IF(Table14[[#This Row],[Discharge Date]]="","Still Admitted","Patient Discharged")</f>
        <v>Patient Discharged</v>
      </c>
      <c r="F104" s="6" t="str">
        <f>IF(WEEKDAY(Table14[[#This Row],[Admission Date]],2)&gt;5,"Weekend","Weekday")</f>
        <v>Weekend</v>
      </c>
      <c r="G104" t="s">
        <v>12</v>
      </c>
      <c r="H104">
        <v>34</v>
      </c>
      <c r="I104" t="str" cm="1">
        <f t="array" ref="I104">_xlfn.IFS(Table14[[#This Row],[Age]]&lt;18,"Children",Table14[[#This Row],[Age]]&lt;50,"Adult",Table14[[#This Row],[Age]]&gt;=50,"Elderly")</f>
        <v>Adult</v>
      </c>
      <c r="J104" t="s">
        <v>546</v>
      </c>
      <c r="K104" s="7">
        <v>93919.999999999898</v>
      </c>
      <c r="L104" s="2" t="str" cm="1">
        <f t="array" ref="L104">_xlfn.IFS(Table14[[#This Row],[Treatment Cost]]&lt;50000,"Low Billing",Table14[[#This Row],[Treatment Cost]]&lt;200000,"Moderate Billing",Table14[[#This Row],[Treatment Cost]]&gt;=200000,"High Billing")</f>
        <v>Moderate Billing</v>
      </c>
      <c r="M104" t="s">
        <v>8</v>
      </c>
      <c r="N104" t="str">
        <f>IF(AND(Table14[[#This Row],[Outcome]]="Follow-up",Table14[[#This Row],[Admission Status]]="Patient Discharged"),"High Risk Patient","Low Risk Patient")</f>
        <v>High Risk Patient</v>
      </c>
      <c r="O104" t="str">
        <f>IFERROR(VLOOKUP(Table14[[#This Row],[Department]],Doctor_Info!A:D,2,FALSE), "")</f>
        <v>Dr. Temi</v>
      </c>
      <c r="P104" t="str">
        <f>IF(COUNTIF(A:A,Table14[[#This Row],[Patient ID]]&gt;1),"Returning Patient","New Patient")</f>
        <v>New Patient</v>
      </c>
      <c r="Q104" t="str">
        <f>_xlfn.XLOOKUP(Table14[[#This Row],[Department]], Doctor_Info!A:A, Doctor_Info!C:C, "")&amp;""</f>
        <v>502</v>
      </c>
      <c r="R104" t="str">
        <f>TEXT(Table14[[#This Row],[Admission Date]],"ddd")</f>
        <v>Sat</v>
      </c>
      <c r="S104" t="str">
        <f>TEXT(Table14[[#This Row],[Admission Date]],"mmm")</f>
        <v>Feb</v>
      </c>
      <c r="T104" t="str">
        <f>TEXT(Table14[[#This Row],[Admission Date]],"yyyy")</f>
        <v>2024</v>
      </c>
      <c r="U104" t="str">
        <f>TEXT(Table14[[#This Row],[Admission Date]],"mmm-yyyy")</f>
        <v>Feb-2024</v>
      </c>
      <c r="V104">
        <f t="shared" ca="1" si="1"/>
        <v>8</v>
      </c>
    </row>
    <row r="105" spans="1:22" x14ac:dyDescent="0.2">
      <c r="A105" t="s">
        <v>117</v>
      </c>
      <c r="B105" s="3">
        <v>45327</v>
      </c>
      <c r="C105" s="3">
        <v>45328</v>
      </c>
      <c r="D105">
        <f ca="1">IF(ISBLANK(Table14[[#This Row],[Discharge Date]]),TODAY()-Table14[[#This Row],[Admission Date]], Table14[[#This Row],[Discharge Date]]-Table14[[#This Row],[Admission Date]])</f>
        <v>1</v>
      </c>
      <c r="E105" s="6" t="str">
        <f>IF(Table14[[#This Row],[Discharge Date]]="","Still Admitted","Patient Discharged")</f>
        <v>Patient Discharged</v>
      </c>
      <c r="F105" s="6" t="str">
        <f>IF(WEEKDAY(Table14[[#This Row],[Admission Date]],2)&gt;5,"Weekend","Weekday")</f>
        <v>Weekday</v>
      </c>
      <c r="G105" t="s">
        <v>528</v>
      </c>
      <c r="H105">
        <v>36</v>
      </c>
      <c r="I105" t="str" cm="1">
        <f t="array" ref="I105">_xlfn.IFS(Table14[[#This Row],[Age]]&lt;18,"Children",Table14[[#This Row],[Age]]&lt;50,"Adult",Table14[[#This Row],[Age]]&gt;=50,"Elderly")</f>
        <v>Adult</v>
      </c>
      <c r="J105" t="s">
        <v>547</v>
      </c>
      <c r="K105" s="7">
        <v>94889.999999999898</v>
      </c>
      <c r="L105" s="2" t="str" cm="1">
        <f t="array" ref="L105">_xlfn.IFS(Table14[[#This Row],[Treatment Cost]]&lt;50000,"Low Billing",Table14[[#This Row],[Treatment Cost]]&lt;200000,"Moderate Billing",Table14[[#This Row],[Treatment Cost]]&gt;=200000,"High Billing")</f>
        <v>Moderate Billing</v>
      </c>
      <c r="M105" t="s">
        <v>6</v>
      </c>
      <c r="N105" t="str">
        <f>IF(AND(Table14[[#This Row],[Outcome]]="Follow-up",Table14[[#This Row],[Admission Status]]="Patient Discharged"),"High Risk Patient","Low Risk Patient")</f>
        <v>Low Risk Patient</v>
      </c>
      <c r="O105" t="str">
        <f>IFERROR(VLOOKUP(Table14[[#This Row],[Department]],Doctor_Info!A:D,2,FALSE), "")</f>
        <v>Dr. Kofi</v>
      </c>
      <c r="P105" t="str">
        <f>IF(COUNTIF(A:A,Table14[[#This Row],[Patient ID]]&gt;1),"Returning Patient","New Patient")</f>
        <v>New Patient</v>
      </c>
      <c r="Q105" t="str">
        <f>_xlfn.XLOOKUP(Table14[[#This Row],[Department]], Doctor_Info!A:A, Doctor_Info!C:C, "")&amp;""</f>
        <v>102</v>
      </c>
      <c r="R105" t="str">
        <f>TEXT(Table14[[#This Row],[Admission Date]],"ddd")</f>
        <v>Mon</v>
      </c>
      <c r="S105" t="str">
        <f>TEXT(Table14[[#This Row],[Admission Date]],"mmm")</f>
        <v>Feb</v>
      </c>
      <c r="T105" t="str">
        <f>TEXT(Table14[[#This Row],[Admission Date]],"yyyy")</f>
        <v>2024</v>
      </c>
      <c r="U105" t="str">
        <f>TEXT(Table14[[#This Row],[Admission Date]],"mmm-yyyy")</f>
        <v>Feb-2024</v>
      </c>
      <c r="V105">
        <f t="shared" ca="1" si="1"/>
        <v>8</v>
      </c>
    </row>
    <row r="106" spans="1:22" x14ac:dyDescent="0.2">
      <c r="A106" t="s">
        <v>118</v>
      </c>
      <c r="B106" s="3">
        <v>45332</v>
      </c>
      <c r="D106">
        <f ca="1">IF(ISBLANK(Table14[[#This Row],[Discharge Date]]),TODAY()-Table14[[#This Row],[Admission Date]], Table14[[#This Row],[Discharge Date]]-Table14[[#This Row],[Admission Date]])</f>
        <v>806</v>
      </c>
      <c r="E106" s="6" t="str">
        <f>IF(Table14[[#This Row],[Discharge Date]]="","Still Admitted","Patient Discharged")</f>
        <v>Still Admitted</v>
      </c>
      <c r="F106" s="6" t="str">
        <f>IF(WEEKDAY(Table14[[#This Row],[Admission Date]],2)&gt;5,"Weekend","Weekday")</f>
        <v>Weekend</v>
      </c>
      <c r="G106" t="s">
        <v>10</v>
      </c>
      <c r="H106">
        <v>38</v>
      </c>
      <c r="I106" t="str" cm="1">
        <f t="array" ref="I106">_xlfn.IFS(Table14[[#This Row],[Age]]&lt;18,"Children",Table14[[#This Row],[Age]]&lt;50,"Adult",Table14[[#This Row],[Age]]&gt;=50,"Elderly")</f>
        <v>Adult</v>
      </c>
      <c r="J106" t="s">
        <v>547</v>
      </c>
      <c r="K106" s="7">
        <v>95859.999999999898</v>
      </c>
      <c r="L106" s="2" t="str" cm="1">
        <f t="array" ref="L106">_xlfn.IFS(Table14[[#This Row],[Treatment Cost]]&lt;50000,"Low Billing",Table14[[#This Row],[Treatment Cost]]&lt;200000,"Moderate Billing",Table14[[#This Row],[Treatment Cost]]&gt;=200000,"High Billing")</f>
        <v>Moderate Billing</v>
      </c>
      <c r="M106" t="s">
        <v>403</v>
      </c>
      <c r="N106" t="str">
        <f>IF(AND(Table14[[#This Row],[Outcome]]="Follow-up",Table14[[#This Row],[Admission Status]]="Patient Discharged"),"High Risk Patient","Low Risk Patient")</f>
        <v>Low Risk Patient</v>
      </c>
      <c r="O106" t="str">
        <f>IFERROR(VLOOKUP(Table14[[#This Row],[Department]],Doctor_Info!A:D,2,FALSE), "")</f>
        <v>Dr. George</v>
      </c>
      <c r="P106" t="str">
        <f>IF(COUNTIF(A:A,Table14[[#This Row],[Patient ID]]&gt;1),"Returning Patient","New Patient")</f>
        <v>New Patient</v>
      </c>
      <c r="Q106" t="str">
        <f>_xlfn.XLOOKUP(Table14[[#This Row],[Department]], Doctor_Info!A:A, Doctor_Info!C:C, "")&amp;""</f>
        <v>405</v>
      </c>
      <c r="R106" t="str">
        <f>TEXT(Table14[[#This Row],[Admission Date]],"ddd")</f>
        <v>Sat</v>
      </c>
      <c r="S106" t="str">
        <f>TEXT(Table14[[#This Row],[Admission Date]],"mmm")</f>
        <v>Feb</v>
      </c>
      <c r="T106" t="str">
        <f>TEXT(Table14[[#This Row],[Admission Date]],"yyyy")</f>
        <v>2024</v>
      </c>
      <c r="U106" t="str">
        <f>TEXT(Table14[[#This Row],[Admission Date]],"mmm-yyyy")</f>
        <v>Feb-2024</v>
      </c>
      <c r="V106">
        <f t="shared" ca="1" si="1"/>
        <v>8</v>
      </c>
    </row>
    <row r="107" spans="1:22" x14ac:dyDescent="0.2">
      <c r="A107" t="s">
        <v>119</v>
      </c>
      <c r="B107" s="3">
        <v>45319</v>
      </c>
      <c r="C107" s="3">
        <v>45327</v>
      </c>
      <c r="D107">
        <f ca="1">IF(ISBLANK(Table14[[#This Row],[Discharge Date]]),TODAY()-Table14[[#This Row],[Admission Date]], Table14[[#This Row],[Discharge Date]]-Table14[[#This Row],[Admission Date]])</f>
        <v>8</v>
      </c>
      <c r="E107" s="6" t="str">
        <f>IF(Table14[[#This Row],[Discharge Date]]="","Still Admitted","Patient Discharged")</f>
        <v>Patient Discharged</v>
      </c>
      <c r="F107" s="6" t="str">
        <f>IF(WEEKDAY(Table14[[#This Row],[Admission Date]],2)&gt;5,"Weekend","Weekday")</f>
        <v>Weekend</v>
      </c>
      <c r="G107" t="s">
        <v>7</v>
      </c>
      <c r="H107">
        <v>40</v>
      </c>
      <c r="I107" t="str" cm="1">
        <f t="array" ref="I107">_xlfn.IFS(Table14[[#This Row],[Age]]&lt;18,"Children",Table14[[#This Row],[Age]]&lt;50,"Adult",Table14[[#This Row],[Age]]&gt;=50,"Elderly")</f>
        <v>Adult</v>
      </c>
      <c r="J107" t="s">
        <v>546</v>
      </c>
      <c r="K107" s="7">
        <v>96829.999999999898</v>
      </c>
      <c r="L107" s="2" t="str" cm="1">
        <f t="array" ref="L107">_xlfn.IFS(Table14[[#This Row],[Treatment Cost]]&lt;50000,"Low Billing",Table14[[#This Row],[Treatment Cost]]&lt;200000,"Moderate Billing",Table14[[#This Row],[Treatment Cost]]&gt;=200000,"High Billing")</f>
        <v>Moderate Billing</v>
      </c>
      <c r="M107" t="s">
        <v>8</v>
      </c>
      <c r="N107" t="str">
        <f>IF(AND(Table14[[#This Row],[Outcome]]="Follow-up",Table14[[#This Row],[Admission Status]]="Patient Discharged"),"High Risk Patient","Low Risk Patient")</f>
        <v>High Risk Patient</v>
      </c>
      <c r="O107" t="str">
        <f>IFERROR(VLOOKUP(Table14[[#This Row],[Department]],Doctor_Info!A:D,2,FALSE), "")</f>
        <v>Dr. Ada</v>
      </c>
      <c r="P107" t="str">
        <f>IF(COUNTIF(A:A,Table14[[#This Row],[Patient ID]]&gt;1),"Returning Patient","New Patient")</f>
        <v>New Patient</v>
      </c>
      <c r="Q107" t="str">
        <f>_xlfn.XLOOKUP(Table14[[#This Row],[Department]], Doctor_Info!A:A, Doctor_Info!C:C, "")&amp;""</f>
        <v>301</v>
      </c>
      <c r="R107" t="str">
        <f>TEXT(Table14[[#This Row],[Admission Date]],"ddd")</f>
        <v>Sun</v>
      </c>
      <c r="S107" t="str">
        <f>TEXT(Table14[[#This Row],[Admission Date]],"mmm")</f>
        <v>Jan</v>
      </c>
      <c r="T107" t="str">
        <f>TEXT(Table14[[#This Row],[Admission Date]],"yyyy")</f>
        <v>2024</v>
      </c>
      <c r="U107" t="str">
        <f>TEXT(Table14[[#This Row],[Admission Date]],"mmm-yyyy")</f>
        <v>Jan-2024</v>
      </c>
      <c r="V107">
        <f t="shared" ca="1" si="1"/>
        <v>8</v>
      </c>
    </row>
    <row r="108" spans="1:22" x14ac:dyDescent="0.2">
      <c r="A108" t="s">
        <v>120</v>
      </c>
      <c r="B108" s="3">
        <v>45323</v>
      </c>
      <c r="C108" s="3">
        <v>45324</v>
      </c>
      <c r="D108">
        <f ca="1">IF(ISBLANK(Table14[[#This Row],[Discharge Date]]),TODAY()-Table14[[#This Row],[Admission Date]], Table14[[#This Row],[Discharge Date]]-Table14[[#This Row],[Admission Date]])</f>
        <v>1</v>
      </c>
      <c r="E108" s="6" t="str">
        <f>IF(Table14[[#This Row],[Discharge Date]]="","Still Admitted","Patient Discharged")</f>
        <v>Patient Discharged</v>
      </c>
      <c r="F108" s="6" t="str">
        <f>IF(WEEKDAY(Table14[[#This Row],[Admission Date]],2)&gt;5,"Weekend","Weekday")</f>
        <v>Weekday</v>
      </c>
      <c r="G108" t="s">
        <v>528</v>
      </c>
      <c r="H108">
        <v>42</v>
      </c>
      <c r="I108" t="str" cm="1">
        <f t="array" ref="I108">_xlfn.IFS(Table14[[#This Row],[Age]]&lt;18,"Children",Table14[[#This Row],[Age]]&lt;50,"Adult",Table14[[#This Row],[Age]]&gt;=50,"Elderly")</f>
        <v>Adult</v>
      </c>
      <c r="J108" t="s">
        <v>547</v>
      </c>
      <c r="K108" s="7">
        <v>97799.999999999898</v>
      </c>
      <c r="L108" s="2" t="str" cm="1">
        <f t="array" ref="L108">_xlfn.IFS(Table14[[#This Row],[Treatment Cost]]&lt;50000,"Low Billing",Table14[[#This Row],[Treatment Cost]]&lt;200000,"Moderate Billing",Table14[[#This Row],[Treatment Cost]]&gt;=200000,"High Billing")</f>
        <v>Moderate Billing</v>
      </c>
      <c r="M108" t="s">
        <v>6</v>
      </c>
      <c r="N108" t="str">
        <f>IF(AND(Table14[[#This Row],[Outcome]]="Follow-up",Table14[[#This Row],[Admission Status]]="Patient Discharged"),"High Risk Patient","Low Risk Patient")</f>
        <v>Low Risk Patient</v>
      </c>
      <c r="O108" t="str">
        <f>IFERROR(VLOOKUP(Table14[[#This Row],[Department]],Doctor_Info!A:D,2,FALSE), "")</f>
        <v>Dr. Kofi</v>
      </c>
      <c r="P108" t="str">
        <f>IF(COUNTIF(A:A,Table14[[#This Row],[Patient ID]]&gt;1),"Returning Patient","New Patient")</f>
        <v>New Patient</v>
      </c>
      <c r="Q108" t="str">
        <f>_xlfn.XLOOKUP(Table14[[#This Row],[Department]], Doctor_Info!A:A, Doctor_Info!C:C, "")&amp;""</f>
        <v>102</v>
      </c>
      <c r="R108" t="str">
        <f>TEXT(Table14[[#This Row],[Admission Date]],"ddd")</f>
        <v>Thu</v>
      </c>
      <c r="S108" t="str">
        <f>TEXT(Table14[[#This Row],[Admission Date]],"mmm")</f>
        <v>Feb</v>
      </c>
      <c r="T108" t="str">
        <f>TEXT(Table14[[#This Row],[Admission Date]],"yyyy")</f>
        <v>2024</v>
      </c>
      <c r="U108" t="str">
        <f>TEXT(Table14[[#This Row],[Admission Date]],"mmm-yyyy")</f>
        <v>Feb-2024</v>
      </c>
      <c r="V108">
        <f t="shared" ca="1" si="1"/>
        <v>8</v>
      </c>
    </row>
    <row r="109" spans="1:22" x14ac:dyDescent="0.2">
      <c r="A109" t="s">
        <v>121</v>
      </c>
      <c r="B109" s="3">
        <v>45325</v>
      </c>
      <c r="C109" s="3">
        <v>45337</v>
      </c>
      <c r="D109">
        <f ca="1">IF(ISBLANK(Table14[[#This Row],[Discharge Date]]),TODAY()-Table14[[#This Row],[Admission Date]], Table14[[#This Row],[Discharge Date]]-Table14[[#This Row],[Admission Date]])</f>
        <v>12</v>
      </c>
      <c r="E109" s="6" t="str">
        <f>IF(Table14[[#This Row],[Discharge Date]]="","Still Admitted","Patient Discharged")</f>
        <v>Patient Discharged</v>
      </c>
      <c r="F109" s="6" t="str">
        <f>IF(WEEKDAY(Table14[[#This Row],[Admission Date]],2)&gt;5,"Weekend","Weekday")</f>
        <v>Weekend</v>
      </c>
      <c r="G109" t="s">
        <v>12</v>
      </c>
      <c r="H109">
        <v>44</v>
      </c>
      <c r="I109" t="str" cm="1">
        <f t="array" ref="I109">_xlfn.IFS(Table14[[#This Row],[Age]]&lt;18,"Children",Table14[[#This Row],[Age]]&lt;50,"Adult",Table14[[#This Row],[Age]]&gt;=50,"Elderly")</f>
        <v>Adult</v>
      </c>
      <c r="J109" t="s">
        <v>546</v>
      </c>
      <c r="K109" s="7">
        <v>98769.999999999898</v>
      </c>
      <c r="L109" s="2" t="str" cm="1">
        <f t="array" ref="L109">_xlfn.IFS(Table14[[#This Row],[Treatment Cost]]&lt;50000,"Low Billing",Table14[[#This Row],[Treatment Cost]]&lt;200000,"Moderate Billing",Table14[[#This Row],[Treatment Cost]]&gt;=200000,"High Billing")</f>
        <v>Moderate Billing</v>
      </c>
      <c r="M109" t="s">
        <v>8</v>
      </c>
      <c r="N109" t="str">
        <f>IF(AND(Table14[[#This Row],[Outcome]]="Follow-up",Table14[[#This Row],[Admission Status]]="Patient Discharged"),"High Risk Patient","Low Risk Patient")</f>
        <v>High Risk Patient</v>
      </c>
      <c r="O109" t="str">
        <f>IFERROR(VLOOKUP(Table14[[#This Row],[Department]],Doctor_Info!A:D,2,FALSE), "")</f>
        <v>Dr. Temi</v>
      </c>
      <c r="P109" t="str">
        <f>IF(COUNTIF(A:A,Table14[[#This Row],[Patient ID]]&gt;1),"Returning Patient","New Patient")</f>
        <v>New Patient</v>
      </c>
      <c r="Q109" t="str">
        <f>_xlfn.XLOOKUP(Table14[[#This Row],[Department]], Doctor_Info!A:A, Doctor_Info!C:C, "")&amp;""</f>
        <v>502</v>
      </c>
      <c r="R109" t="str">
        <f>TEXT(Table14[[#This Row],[Admission Date]],"ddd")</f>
        <v>Sat</v>
      </c>
      <c r="S109" t="str">
        <f>TEXT(Table14[[#This Row],[Admission Date]],"mmm")</f>
        <v>Feb</v>
      </c>
      <c r="T109" t="str">
        <f>TEXT(Table14[[#This Row],[Admission Date]],"yyyy")</f>
        <v>2024</v>
      </c>
      <c r="U109" t="str">
        <f>TEXT(Table14[[#This Row],[Admission Date]],"mmm-yyyy")</f>
        <v>Feb-2024</v>
      </c>
      <c r="V109">
        <f t="shared" ca="1" si="1"/>
        <v>8</v>
      </c>
    </row>
    <row r="110" spans="1:22" x14ac:dyDescent="0.2">
      <c r="A110" t="s">
        <v>122</v>
      </c>
      <c r="B110" s="3">
        <v>45327</v>
      </c>
      <c r="C110" s="3">
        <v>45328</v>
      </c>
      <c r="D110">
        <f ca="1">IF(ISBLANK(Table14[[#This Row],[Discharge Date]]),TODAY()-Table14[[#This Row],[Admission Date]], Table14[[#This Row],[Discharge Date]]-Table14[[#This Row],[Admission Date]])</f>
        <v>1</v>
      </c>
      <c r="E110" s="6" t="str">
        <f>IF(Table14[[#This Row],[Discharge Date]]="","Still Admitted","Patient Discharged")</f>
        <v>Patient Discharged</v>
      </c>
      <c r="F110" s="6" t="str">
        <f>IF(WEEKDAY(Table14[[#This Row],[Admission Date]],2)&gt;5,"Weekend","Weekday")</f>
        <v>Weekday</v>
      </c>
      <c r="G110" t="s">
        <v>528</v>
      </c>
      <c r="H110">
        <v>46</v>
      </c>
      <c r="I110" t="str" cm="1">
        <f t="array" ref="I110">_xlfn.IFS(Table14[[#This Row],[Age]]&lt;18,"Children",Table14[[#This Row],[Age]]&lt;50,"Adult",Table14[[#This Row],[Age]]&gt;=50,"Elderly")</f>
        <v>Adult</v>
      </c>
      <c r="J110" t="s">
        <v>547</v>
      </c>
      <c r="K110" s="7">
        <v>99739.999999999898</v>
      </c>
      <c r="L110" s="2" t="str" cm="1">
        <f t="array" ref="L110">_xlfn.IFS(Table14[[#This Row],[Treatment Cost]]&lt;50000,"Low Billing",Table14[[#This Row],[Treatment Cost]]&lt;200000,"Moderate Billing",Table14[[#This Row],[Treatment Cost]]&gt;=200000,"High Billing")</f>
        <v>Moderate Billing</v>
      </c>
      <c r="M110" t="s">
        <v>6</v>
      </c>
      <c r="N110" t="str">
        <f>IF(AND(Table14[[#This Row],[Outcome]]="Follow-up",Table14[[#This Row],[Admission Status]]="Patient Discharged"),"High Risk Patient","Low Risk Patient")</f>
        <v>Low Risk Patient</v>
      </c>
      <c r="O110" t="str">
        <f>IFERROR(VLOOKUP(Table14[[#This Row],[Department]],Doctor_Info!A:D,2,FALSE), "")</f>
        <v>Dr. Kofi</v>
      </c>
      <c r="P110" t="str">
        <f>IF(COUNTIF(A:A,Table14[[#This Row],[Patient ID]]&gt;1),"Returning Patient","New Patient")</f>
        <v>New Patient</v>
      </c>
      <c r="Q110" t="str">
        <f>_xlfn.XLOOKUP(Table14[[#This Row],[Department]], Doctor_Info!A:A, Doctor_Info!C:C, "")&amp;""</f>
        <v>102</v>
      </c>
      <c r="R110" t="str">
        <f>TEXT(Table14[[#This Row],[Admission Date]],"ddd")</f>
        <v>Mon</v>
      </c>
      <c r="S110" t="str">
        <f>TEXT(Table14[[#This Row],[Admission Date]],"mmm")</f>
        <v>Feb</v>
      </c>
      <c r="T110" t="str">
        <f>TEXT(Table14[[#This Row],[Admission Date]],"yyyy")</f>
        <v>2024</v>
      </c>
      <c r="U110" t="str">
        <f>TEXT(Table14[[#This Row],[Admission Date]],"mmm-yyyy")</f>
        <v>Feb-2024</v>
      </c>
      <c r="V110">
        <f t="shared" ca="1" si="1"/>
        <v>8</v>
      </c>
    </row>
    <row r="111" spans="1:22" x14ac:dyDescent="0.2">
      <c r="A111" t="s">
        <v>124</v>
      </c>
      <c r="B111" s="3">
        <v>45323</v>
      </c>
      <c r="C111" s="3">
        <v>45324</v>
      </c>
      <c r="D111">
        <f ca="1">IF(ISBLANK(Table14[[#This Row],[Discharge Date]]),TODAY()-Table14[[#This Row],[Admission Date]], Table14[[#This Row],[Discharge Date]]-Table14[[#This Row],[Admission Date]])</f>
        <v>1</v>
      </c>
      <c r="E111" s="6" t="str">
        <f>IF(Table14[[#This Row],[Discharge Date]]="","Still Admitted","Patient Discharged")</f>
        <v>Patient Discharged</v>
      </c>
      <c r="F111" s="6" t="str">
        <f>IF(WEEKDAY(Table14[[#This Row],[Admission Date]],2)&gt;5,"Weekend","Weekday")</f>
        <v>Weekday</v>
      </c>
      <c r="G111" t="s">
        <v>528</v>
      </c>
      <c r="H111">
        <v>52</v>
      </c>
      <c r="I111" t="str" cm="1">
        <f t="array" ref="I111">_xlfn.IFS(Table14[[#This Row],[Age]]&lt;18,"Children",Table14[[#This Row],[Age]]&lt;50,"Adult",Table14[[#This Row],[Age]]&gt;=50,"Elderly")</f>
        <v>Elderly</v>
      </c>
      <c r="J111" t="s">
        <v>547</v>
      </c>
      <c r="K111" s="7">
        <v>102650</v>
      </c>
      <c r="L111" s="2" t="str" cm="1">
        <f t="array" ref="L111">_xlfn.IFS(Table14[[#This Row],[Treatment Cost]]&lt;50000,"Low Billing",Table14[[#This Row],[Treatment Cost]]&lt;200000,"Moderate Billing",Table14[[#This Row],[Treatment Cost]]&gt;=200000,"High Billing")</f>
        <v>Moderate Billing</v>
      </c>
      <c r="M111" t="s">
        <v>6</v>
      </c>
      <c r="N111" t="str">
        <f>IF(AND(Table14[[#This Row],[Outcome]]="Follow-up",Table14[[#This Row],[Admission Status]]="Patient Discharged"),"High Risk Patient","Low Risk Patient")</f>
        <v>Low Risk Patient</v>
      </c>
      <c r="O111" t="str">
        <f>IFERROR(VLOOKUP(Table14[[#This Row],[Department]],Doctor_Info!A:D,2,FALSE), "")</f>
        <v>Dr. Kofi</v>
      </c>
      <c r="P111" t="str">
        <f>IF(COUNTIF(A:A,Table14[[#This Row],[Patient ID]]&gt;1),"Returning Patient","New Patient")</f>
        <v>New Patient</v>
      </c>
      <c r="Q111" t="str">
        <f>_xlfn.XLOOKUP(Table14[[#This Row],[Department]], Doctor_Info!A:A, Doctor_Info!C:C, "")&amp;""</f>
        <v>102</v>
      </c>
      <c r="R111" t="str">
        <f>TEXT(Table14[[#This Row],[Admission Date]],"ddd")</f>
        <v>Thu</v>
      </c>
      <c r="S111" t="str">
        <f>TEXT(Table14[[#This Row],[Admission Date]],"mmm")</f>
        <v>Feb</v>
      </c>
      <c r="T111" t="str">
        <f>TEXT(Table14[[#This Row],[Admission Date]],"yyyy")</f>
        <v>2024</v>
      </c>
      <c r="U111" t="str">
        <f>TEXT(Table14[[#This Row],[Admission Date]],"mmm-yyyy")</f>
        <v>Feb-2024</v>
      </c>
      <c r="V111">
        <f t="shared" ca="1" si="1"/>
        <v>8</v>
      </c>
    </row>
    <row r="112" spans="1:22" x14ac:dyDescent="0.2">
      <c r="A112" t="s">
        <v>125</v>
      </c>
      <c r="B112" s="3">
        <v>45325</v>
      </c>
      <c r="C112" s="3">
        <v>45337</v>
      </c>
      <c r="D112">
        <f ca="1">IF(ISBLANK(Table14[[#This Row],[Discharge Date]]),TODAY()-Table14[[#This Row],[Admission Date]], Table14[[#This Row],[Discharge Date]]-Table14[[#This Row],[Admission Date]])</f>
        <v>12</v>
      </c>
      <c r="E112" s="6" t="str">
        <f>IF(Table14[[#This Row],[Discharge Date]]="","Still Admitted","Patient Discharged")</f>
        <v>Patient Discharged</v>
      </c>
      <c r="F112" s="6" t="str">
        <f>IF(WEEKDAY(Table14[[#This Row],[Admission Date]],2)&gt;5,"Weekend","Weekday")</f>
        <v>Weekend</v>
      </c>
      <c r="G112" t="s">
        <v>12</v>
      </c>
      <c r="H112">
        <v>54</v>
      </c>
      <c r="I112" t="str" cm="1">
        <f t="array" ref="I112">_xlfn.IFS(Table14[[#This Row],[Age]]&lt;18,"Children",Table14[[#This Row],[Age]]&lt;50,"Adult",Table14[[#This Row],[Age]]&gt;=50,"Elderly")</f>
        <v>Elderly</v>
      </c>
      <c r="J112" t="s">
        <v>546</v>
      </c>
      <c r="K112" s="7">
        <v>103620</v>
      </c>
      <c r="L112" s="2" t="str" cm="1">
        <f t="array" ref="L112">_xlfn.IFS(Table14[[#This Row],[Treatment Cost]]&lt;50000,"Low Billing",Table14[[#This Row],[Treatment Cost]]&lt;200000,"Moderate Billing",Table14[[#This Row],[Treatment Cost]]&gt;=200000,"High Billing")</f>
        <v>Moderate Billing</v>
      </c>
      <c r="M112" t="s">
        <v>8</v>
      </c>
      <c r="N112" t="str">
        <f>IF(AND(Table14[[#This Row],[Outcome]]="Follow-up",Table14[[#This Row],[Admission Status]]="Patient Discharged"),"High Risk Patient","Low Risk Patient")</f>
        <v>High Risk Patient</v>
      </c>
      <c r="O112" t="str">
        <f>IFERROR(VLOOKUP(Table14[[#This Row],[Department]],Doctor_Info!A:D,2,FALSE), "")</f>
        <v>Dr. Temi</v>
      </c>
      <c r="P112" t="str">
        <f>IF(COUNTIF(A:A,Table14[[#This Row],[Patient ID]]&gt;1),"Returning Patient","New Patient")</f>
        <v>New Patient</v>
      </c>
      <c r="Q112" t="str">
        <f>_xlfn.XLOOKUP(Table14[[#This Row],[Department]], Doctor_Info!A:A, Doctor_Info!C:C, "")&amp;""</f>
        <v>502</v>
      </c>
      <c r="R112" t="str">
        <f>TEXT(Table14[[#This Row],[Admission Date]],"ddd")</f>
        <v>Sat</v>
      </c>
      <c r="S112" t="str">
        <f>TEXT(Table14[[#This Row],[Admission Date]],"mmm")</f>
        <v>Feb</v>
      </c>
      <c r="T112" t="str">
        <f>TEXT(Table14[[#This Row],[Admission Date]],"yyyy")</f>
        <v>2024</v>
      </c>
      <c r="U112" t="str">
        <f>TEXT(Table14[[#This Row],[Admission Date]],"mmm-yyyy")</f>
        <v>Feb-2024</v>
      </c>
      <c r="V112">
        <f t="shared" ca="1" si="1"/>
        <v>8</v>
      </c>
    </row>
    <row r="113" spans="1:22" x14ac:dyDescent="0.2">
      <c r="A113" t="s">
        <v>126</v>
      </c>
      <c r="B113" s="3">
        <v>45327</v>
      </c>
      <c r="C113" s="3">
        <v>45328</v>
      </c>
      <c r="D113">
        <f ca="1">IF(ISBLANK(Table14[[#This Row],[Discharge Date]]),TODAY()-Table14[[#This Row],[Admission Date]], Table14[[#This Row],[Discharge Date]]-Table14[[#This Row],[Admission Date]])</f>
        <v>1</v>
      </c>
      <c r="E113" s="6" t="str">
        <f>IF(Table14[[#This Row],[Discharge Date]]="","Still Admitted","Patient Discharged")</f>
        <v>Patient Discharged</v>
      </c>
      <c r="F113" s="6" t="str">
        <f>IF(WEEKDAY(Table14[[#This Row],[Admission Date]],2)&gt;5,"Weekend","Weekday")</f>
        <v>Weekday</v>
      </c>
      <c r="G113" t="s">
        <v>528</v>
      </c>
      <c r="H113">
        <v>56</v>
      </c>
      <c r="I113" t="str" cm="1">
        <f t="array" ref="I113">_xlfn.IFS(Table14[[#This Row],[Age]]&lt;18,"Children",Table14[[#This Row],[Age]]&lt;50,"Adult",Table14[[#This Row],[Age]]&gt;=50,"Elderly")</f>
        <v>Elderly</v>
      </c>
      <c r="J113" t="s">
        <v>547</v>
      </c>
      <c r="K113" s="7">
        <v>104590</v>
      </c>
      <c r="L113" s="2" t="str" cm="1">
        <f t="array" ref="L113">_xlfn.IFS(Table14[[#This Row],[Treatment Cost]]&lt;50000,"Low Billing",Table14[[#This Row],[Treatment Cost]]&lt;200000,"Moderate Billing",Table14[[#This Row],[Treatment Cost]]&gt;=200000,"High Billing")</f>
        <v>Moderate Billing</v>
      </c>
      <c r="M113" t="s">
        <v>6</v>
      </c>
      <c r="N113" t="str">
        <f>IF(AND(Table14[[#This Row],[Outcome]]="Follow-up",Table14[[#This Row],[Admission Status]]="Patient Discharged"),"High Risk Patient","Low Risk Patient")</f>
        <v>Low Risk Patient</v>
      </c>
      <c r="O113" t="str">
        <f>IFERROR(VLOOKUP(Table14[[#This Row],[Department]],Doctor_Info!A:D,2,FALSE), "")</f>
        <v>Dr. Kofi</v>
      </c>
      <c r="P113" t="str">
        <f>IF(COUNTIF(A:A,Table14[[#This Row],[Patient ID]]&gt;1),"Returning Patient","New Patient")</f>
        <v>New Patient</v>
      </c>
      <c r="Q113" t="str">
        <f>_xlfn.XLOOKUP(Table14[[#This Row],[Department]], Doctor_Info!A:A, Doctor_Info!C:C, "")&amp;""</f>
        <v>102</v>
      </c>
      <c r="R113" t="str">
        <f>TEXT(Table14[[#This Row],[Admission Date]],"ddd")</f>
        <v>Mon</v>
      </c>
      <c r="S113" t="str">
        <f>TEXT(Table14[[#This Row],[Admission Date]],"mmm")</f>
        <v>Feb</v>
      </c>
      <c r="T113" t="str">
        <f>TEXT(Table14[[#This Row],[Admission Date]],"yyyy")</f>
        <v>2024</v>
      </c>
      <c r="U113" t="str">
        <f>TEXT(Table14[[#This Row],[Admission Date]],"mmm-yyyy")</f>
        <v>Feb-2024</v>
      </c>
      <c r="V113">
        <f t="shared" ca="1" si="1"/>
        <v>8</v>
      </c>
    </row>
    <row r="114" spans="1:22" x14ac:dyDescent="0.2">
      <c r="A114" t="s">
        <v>127</v>
      </c>
      <c r="B114" s="3">
        <v>45332</v>
      </c>
      <c r="D114">
        <f ca="1">IF(ISBLANK(Table14[[#This Row],[Discharge Date]]),TODAY()-Table14[[#This Row],[Admission Date]], Table14[[#This Row],[Discharge Date]]-Table14[[#This Row],[Admission Date]])</f>
        <v>806</v>
      </c>
      <c r="E114" s="6" t="str">
        <f>IF(Table14[[#This Row],[Discharge Date]]="","Still Admitted","Patient Discharged")</f>
        <v>Still Admitted</v>
      </c>
      <c r="F114" s="6" t="str">
        <f>IF(WEEKDAY(Table14[[#This Row],[Admission Date]],2)&gt;5,"Weekend","Weekday")</f>
        <v>Weekend</v>
      </c>
      <c r="G114" t="s">
        <v>10</v>
      </c>
      <c r="H114">
        <v>58</v>
      </c>
      <c r="I114" t="str" cm="1">
        <f t="array" ref="I114">_xlfn.IFS(Table14[[#This Row],[Age]]&lt;18,"Children",Table14[[#This Row],[Age]]&lt;50,"Adult",Table14[[#This Row],[Age]]&gt;=50,"Elderly")</f>
        <v>Elderly</v>
      </c>
      <c r="J114" t="s">
        <v>547</v>
      </c>
      <c r="K114" s="7">
        <v>105560</v>
      </c>
      <c r="L114" s="2" t="str" cm="1">
        <f t="array" ref="L114">_xlfn.IFS(Table14[[#This Row],[Treatment Cost]]&lt;50000,"Low Billing",Table14[[#This Row],[Treatment Cost]]&lt;200000,"Moderate Billing",Table14[[#This Row],[Treatment Cost]]&gt;=200000,"High Billing")</f>
        <v>Moderate Billing</v>
      </c>
      <c r="M114" t="s">
        <v>403</v>
      </c>
      <c r="N114" t="str">
        <f>IF(AND(Table14[[#This Row],[Outcome]]="Follow-up",Table14[[#This Row],[Admission Status]]="Patient Discharged"),"High Risk Patient","Low Risk Patient")</f>
        <v>Low Risk Patient</v>
      </c>
      <c r="O114" t="str">
        <f>IFERROR(VLOOKUP(Table14[[#This Row],[Department]],Doctor_Info!A:D,2,FALSE), "")</f>
        <v>Dr. George</v>
      </c>
      <c r="P114" t="str">
        <f>IF(COUNTIF(A:A,Table14[[#This Row],[Patient ID]]&gt;1),"Returning Patient","New Patient")</f>
        <v>New Patient</v>
      </c>
      <c r="Q114" t="str">
        <f>_xlfn.XLOOKUP(Table14[[#This Row],[Department]], Doctor_Info!A:A, Doctor_Info!C:C, "")&amp;""</f>
        <v>405</v>
      </c>
      <c r="R114" t="str">
        <f>TEXT(Table14[[#This Row],[Admission Date]],"ddd")</f>
        <v>Sat</v>
      </c>
      <c r="S114" t="str">
        <f>TEXT(Table14[[#This Row],[Admission Date]],"mmm")</f>
        <v>Feb</v>
      </c>
      <c r="T114" t="str">
        <f>TEXT(Table14[[#This Row],[Admission Date]],"yyyy")</f>
        <v>2024</v>
      </c>
      <c r="U114" t="str">
        <f>TEXT(Table14[[#This Row],[Admission Date]],"mmm-yyyy")</f>
        <v>Feb-2024</v>
      </c>
      <c r="V114">
        <f t="shared" ca="1" si="1"/>
        <v>8</v>
      </c>
    </row>
    <row r="115" spans="1:22" x14ac:dyDescent="0.2">
      <c r="A115" t="s">
        <v>128</v>
      </c>
      <c r="B115" s="3">
        <v>45319</v>
      </c>
      <c r="C115" s="3">
        <v>45327</v>
      </c>
      <c r="D115">
        <f ca="1">IF(ISBLANK(Table14[[#This Row],[Discharge Date]]),TODAY()-Table14[[#This Row],[Admission Date]], Table14[[#This Row],[Discharge Date]]-Table14[[#This Row],[Admission Date]])</f>
        <v>8</v>
      </c>
      <c r="E115" s="6" t="str">
        <f>IF(Table14[[#This Row],[Discharge Date]]="","Still Admitted","Patient Discharged")</f>
        <v>Patient Discharged</v>
      </c>
      <c r="F115" s="6" t="str">
        <f>IF(WEEKDAY(Table14[[#This Row],[Admission Date]],2)&gt;5,"Weekend","Weekday")</f>
        <v>Weekend</v>
      </c>
      <c r="G115" t="s">
        <v>7</v>
      </c>
      <c r="H115">
        <v>60</v>
      </c>
      <c r="I115" t="str" cm="1">
        <f t="array" ref="I115">_xlfn.IFS(Table14[[#This Row],[Age]]&lt;18,"Children",Table14[[#This Row],[Age]]&lt;50,"Adult",Table14[[#This Row],[Age]]&gt;=50,"Elderly")</f>
        <v>Elderly</v>
      </c>
      <c r="J115" t="s">
        <v>546</v>
      </c>
      <c r="K115" s="7">
        <v>106530</v>
      </c>
      <c r="L115" s="2" t="str" cm="1">
        <f t="array" ref="L115">_xlfn.IFS(Table14[[#This Row],[Treatment Cost]]&lt;50000,"Low Billing",Table14[[#This Row],[Treatment Cost]]&lt;200000,"Moderate Billing",Table14[[#This Row],[Treatment Cost]]&gt;=200000,"High Billing")</f>
        <v>Moderate Billing</v>
      </c>
      <c r="M115" t="s">
        <v>8</v>
      </c>
      <c r="N115" t="str">
        <f>IF(AND(Table14[[#This Row],[Outcome]]="Follow-up",Table14[[#This Row],[Admission Status]]="Patient Discharged"),"High Risk Patient","Low Risk Patient")</f>
        <v>High Risk Patient</v>
      </c>
      <c r="O115" t="str">
        <f>IFERROR(VLOOKUP(Table14[[#This Row],[Department]],Doctor_Info!A:D,2,FALSE), "")</f>
        <v>Dr. Ada</v>
      </c>
      <c r="P115" t="str">
        <f>IF(COUNTIF(A:A,Table14[[#This Row],[Patient ID]]&gt;1),"Returning Patient","New Patient")</f>
        <v>New Patient</v>
      </c>
      <c r="Q115" t="str">
        <f>_xlfn.XLOOKUP(Table14[[#This Row],[Department]], Doctor_Info!A:A, Doctor_Info!C:C, "")&amp;""</f>
        <v>301</v>
      </c>
      <c r="R115" t="str">
        <f>TEXT(Table14[[#This Row],[Admission Date]],"ddd")</f>
        <v>Sun</v>
      </c>
      <c r="S115" t="str">
        <f>TEXT(Table14[[#This Row],[Admission Date]],"mmm")</f>
        <v>Jan</v>
      </c>
      <c r="T115" t="str">
        <f>TEXT(Table14[[#This Row],[Admission Date]],"yyyy")</f>
        <v>2024</v>
      </c>
      <c r="U115" t="str">
        <f>TEXT(Table14[[#This Row],[Admission Date]],"mmm-yyyy")</f>
        <v>Jan-2024</v>
      </c>
      <c r="V115">
        <f t="shared" ca="1" si="1"/>
        <v>8</v>
      </c>
    </row>
    <row r="116" spans="1:22" x14ac:dyDescent="0.2">
      <c r="A116" t="s">
        <v>129</v>
      </c>
      <c r="B116" s="3">
        <v>45323</v>
      </c>
      <c r="C116" s="3">
        <v>45324</v>
      </c>
      <c r="D116">
        <f ca="1">IF(ISBLANK(Table14[[#This Row],[Discharge Date]]),TODAY()-Table14[[#This Row],[Admission Date]], Table14[[#This Row],[Discharge Date]]-Table14[[#This Row],[Admission Date]])</f>
        <v>1</v>
      </c>
      <c r="E116" s="6" t="str">
        <f>IF(Table14[[#This Row],[Discharge Date]]="","Still Admitted","Patient Discharged")</f>
        <v>Patient Discharged</v>
      </c>
      <c r="F116" s="6" t="str">
        <f>IF(WEEKDAY(Table14[[#This Row],[Admission Date]],2)&gt;5,"Weekend","Weekday")</f>
        <v>Weekday</v>
      </c>
      <c r="G116" t="s">
        <v>528</v>
      </c>
      <c r="H116">
        <v>62</v>
      </c>
      <c r="I116" t="str" cm="1">
        <f t="array" ref="I116">_xlfn.IFS(Table14[[#This Row],[Age]]&lt;18,"Children",Table14[[#This Row],[Age]]&lt;50,"Adult",Table14[[#This Row],[Age]]&gt;=50,"Elderly")</f>
        <v>Elderly</v>
      </c>
      <c r="J116" t="s">
        <v>547</v>
      </c>
      <c r="K116" s="7">
        <v>107500</v>
      </c>
      <c r="L116" s="2" t="str" cm="1">
        <f t="array" ref="L116">_xlfn.IFS(Table14[[#This Row],[Treatment Cost]]&lt;50000,"Low Billing",Table14[[#This Row],[Treatment Cost]]&lt;200000,"Moderate Billing",Table14[[#This Row],[Treatment Cost]]&gt;=200000,"High Billing")</f>
        <v>Moderate Billing</v>
      </c>
      <c r="M116" t="s">
        <v>6</v>
      </c>
      <c r="N116" t="str">
        <f>IF(AND(Table14[[#This Row],[Outcome]]="Follow-up",Table14[[#This Row],[Admission Status]]="Patient Discharged"),"High Risk Patient","Low Risk Patient")</f>
        <v>Low Risk Patient</v>
      </c>
      <c r="O116" t="str">
        <f>IFERROR(VLOOKUP(Table14[[#This Row],[Department]],Doctor_Info!A:D,2,FALSE), "")</f>
        <v>Dr. Kofi</v>
      </c>
      <c r="P116" t="str">
        <f>IF(COUNTIF(A:A,Table14[[#This Row],[Patient ID]]&gt;1),"Returning Patient","New Patient")</f>
        <v>New Patient</v>
      </c>
      <c r="Q116" t="str">
        <f>_xlfn.XLOOKUP(Table14[[#This Row],[Department]], Doctor_Info!A:A, Doctor_Info!C:C, "")&amp;""</f>
        <v>102</v>
      </c>
      <c r="R116" t="str">
        <f>TEXT(Table14[[#This Row],[Admission Date]],"ddd")</f>
        <v>Thu</v>
      </c>
      <c r="S116" t="str">
        <f>TEXT(Table14[[#This Row],[Admission Date]],"mmm")</f>
        <v>Feb</v>
      </c>
      <c r="T116" t="str">
        <f>TEXT(Table14[[#This Row],[Admission Date]],"yyyy")</f>
        <v>2024</v>
      </c>
      <c r="U116" t="str">
        <f>TEXT(Table14[[#This Row],[Admission Date]],"mmm-yyyy")</f>
        <v>Feb-2024</v>
      </c>
      <c r="V116">
        <f t="shared" ca="1" si="1"/>
        <v>8</v>
      </c>
    </row>
    <row r="117" spans="1:22" x14ac:dyDescent="0.2">
      <c r="A117" t="s">
        <v>130</v>
      </c>
      <c r="B117" s="3">
        <v>45325</v>
      </c>
      <c r="C117" s="3">
        <v>45337</v>
      </c>
      <c r="D117">
        <f ca="1">IF(ISBLANK(Table14[[#This Row],[Discharge Date]]),TODAY()-Table14[[#This Row],[Admission Date]], Table14[[#This Row],[Discharge Date]]-Table14[[#This Row],[Admission Date]])</f>
        <v>12</v>
      </c>
      <c r="E117" s="6" t="str">
        <f>IF(Table14[[#This Row],[Discharge Date]]="","Still Admitted","Patient Discharged")</f>
        <v>Patient Discharged</v>
      </c>
      <c r="F117" s="6" t="str">
        <f>IF(WEEKDAY(Table14[[#This Row],[Admission Date]],2)&gt;5,"Weekend","Weekday")</f>
        <v>Weekend</v>
      </c>
      <c r="G117" t="s">
        <v>12</v>
      </c>
      <c r="H117">
        <v>64</v>
      </c>
      <c r="I117" t="str" cm="1">
        <f t="array" ref="I117">_xlfn.IFS(Table14[[#This Row],[Age]]&lt;18,"Children",Table14[[#This Row],[Age]]&lt;50,"Adult",Table14[[#This Row],[Age]]&gt;=50,"Elderly")</f>
        <v>Elderly</v>
      </c>
      <c r="J117" t="s">
        <v>546</v>
      </c>
      <c r="K117" s="7">
        <v>108470</v>
      </c>
      <c r="L117" s="2" t="str" cm="1">
        <f t="array" ref="L117">_xlfn.IFS(Table14[[#This Row],[Treatment Cost]]&lt;50000,"Low Billing",Table14[[#This Row],[Treatment Cost]]&lt;200000,"Moderate Billing",Table14[[#This Row],[Treatment Cost]]&gt;=200000,"High Billing")</f>
        <v>Moderate Billing</v>
      </c>
      <c r="M117" t="s">
        <v>8</v>
      </c>
      <c r="N117" t="str">
        <f>IF(AND(Table14[[#This Row],[Outcome]]="Follow-up",Table14[[#This Row],[Admission Status]]="Patient Discharged"),"High Risk Patient","Low Risk Patient")</f>
        <v>High Risk Patient</v>
      </c>
      <c r="O117" t="str">
        <f>IFERROR(VLOOKUP(Table14[[#This Row],[Department]],Doctor_Info!A:D,2,FALSE), "")</f>
        <v>Dr. Temi</v>
      </c>
      <c r="P117" t="str">
        <f>IF(COUNTIF(A:A,Table14[[#This Row],[Patient ID]]&gt;1),"Returning Patient","New Patient")</f>
        <v>New Patient</v>
      </c>
      <c r="Q117" t="str">
        <f>_xlfn.XLOOKUP(Table14[[#This Row],[Department]], Doctor_Info!A:A, Doctor_Info!C:C, "")&amp;""</f>
        <v>502</v>
      </c>
      <c r="R117" t="str">
        <f>TEXT(Table14[[#This Row],[Admission Date]],"ddd")</f>
        <v>Sat</v>
      </c>
      <c r="S117" t="str">
        <f>TEXT(Table14[[#This Row],[Admission Date]],"mmm")</f>
        <v>Feb</v>
      </c>
      <c r="T117" t="str">
        <f>TEXT(Table14[[#This Row],[Admission Date]],"yyyy")</f>
        <v>2024</v>
      </c>
      <c r="U117" t="str">
        <f>TEXT(Table14[[#This Row],[Admission Date]],"mmm-yyyy")</f>
        <v>Feb-2024</v>
      </c>
      <c r="V117">
        <f t="shared" ca="1" si="1"/>
        <v>8</v>
      </c>
    </row>
    <row r="118" spans="1:22" x14ac:dyDescent="0.2">
      <c r="A118" t="s">
        <v>131</v>
      </c>
      <c r="B118" s="3">
        <v>45327</v>
      </c>
      <c r="C118" s="3">
        <v>45328</v>
      </c>
      <c r="D118">
        <f ca="1">IF(ISBLANK(Table14[[#This Row],[Discharge Date]]),TODAY()-Table14[[#This Row],[Admission Date]], Table14[[#This Row],[Discharge Date]]-Table14[[#This Row],[Admission Date]])</f>
        <v>1</v>
      </c>
      <c r="E118" s="6" t="str">
        <f>IF(Table14[[#This Row],[Discharge Date]]="","Still Admitted","Patient Discharged")</f>
        <v>Patient Discharged</v>
      </c>
      <c r="F118" s="6" t="str">
        <f>IF(WEEKDAY(Table14[[#This Row],[Admission Date]],2)&gt;5,"Weekend","Weekday")</f>
        <v>Weekday</v>
      </c>
      <c r="G118" t="s">
        <v>528</v>
      </c>
      <c r="H118">
        <v>66</v>
      </c>
      <c r="I118" t="str" cm="1">
        <f t="array" ref="I118">_xlfn.IFS(Table14[[#This Row],[Age]]&lt;18,"Children",Table14[[#This Row],[Age]]&lt;50,"Adult",Table14[[#This Row],[Age]]&gt;=50,"Elderly")</f>
        <v>Elderly</v>
      </c>
      <c r="J118" t="s">
        <v>547</v>
      </c>
      <c r="K118" s="7">
        <v>109440</v>
      </c>
      <c r="L118" s="2" t="str" cm="1">
        <f t="array" ref="L118">_xlfn.IFS(Table14[[#This Row],[Treatment Cost]]&lt;50000,"Low Billing",Table14[[#This Row],[Treatment Cost]]&lt;200000,"Moderate Billing",Table14[[#This Row],[Treatment Cost]]&gt;=200000,"High Billing")</f>
        <v>Moderate Billing</v>
      </c>
      <c r="M118" t="s">
        <v>6</v>
      </c>
      <c r="N118" t="str">
        <f>IF(AND(Table14[[#This Row],[Outcome]]="Follow-up",Table14[[#This Row],[Admission Status]]="Patient Discharged"),"High Risk Patient","Low Risk Patient")</f>
        <v>Low Risk Patient</v>
      </c>
      <c r="O118" t="str">
        <f>IFERROR(VLOOKUP(Table14[[#This Row],[Department]],Doctor_Info!A:D,2,FALSE), "")</f>
        <v>Dr. Kofi</v>
      </c>
      <c r="P118" t="str">
        <f>IF(COUNTIF(A:A,Table14[[#This Row],[Patient ID]]&gt;1),"Returning Patient","New Patient")</f>
        <v>New Patient</v>
      </c>
      <c r="Q118" t="str">
        <f>_xlfn.XLOOKUP(Table14[[#This Row],[Department]], Doctor_Info!A:A, Doctor_Info!C:C, "")&amp;""</f>
        <v>102</v>
      </c>
      <c r="R118" t="str">
        <f>TEXT(Table14[[#This Row],[Admission Date]],"ddd")</f>
        <v>Mon</v>
      </c>
      <c r="S118" t="str">
        <f>TEXT(Table14[[#This Row],[Admission Date]],"mmm")</f>
        <v>Feb</v>
      </c>
      <c r="T118" t="str">
        <f>TEXT(Table14[[#This Row],[Admission Date]],"yyyy")</f>
        <v>2024</v>
      </c>
      <c r="U118" t="str">
        <f>TEXT(Table14[[#This Row],[Admission Date]],"mmm-yyyy")</f>
        <v>Feb-2024</v>
      </c>
      <c r="V118">
        <f t="shared" ca="1" si="1"/>
        <v>8</v>
      </c>
    </row>
    <row r="119" spans="1:22" x14ac:dyDescent="0.2">
      <c r="A119" t="s">
        <v>132</v>
      </c>
      <c r="B119" s="3">
        <v>45332</v>
      </c>
      <c r="D119">
        <f ca="1">IF(ISBLANK(Table14[[#This Row],[Discharge Date]]),TODAY()-Table14[[#This Row],[Admission Date]], Table14[[#This Row],[Discharge Date]]-Table14[[#This Row],[Admission Date]])</f>
        <v>806</v>
      </c>
      <c r="E119" s="6" t="str">
        <f>IF(Table14[[#This Row],[Discharge Date]]="","Still Admitted","Patient Discharged")</f>
        <v>Still Admitted</v>
      </c>
      <c r="F119" s="6" t="str">
        <f>IF(WEEKDAY(Table14[[#This Row],[Admission Date]],2)&gt;5,"Weekend","Weekday")</f>
        <v>Weekend</v>
      </c>
      <c r="G119" t="s">
        <v>10</v>
      </c>
      <c r="H119">
        <v>68</v>
      </c>
      <c r="I119" t="str" cm="1">
        <f t="array" ref="I119">_xlfn.IFS(Table14[[#This Row],[Age]]&lt;18,"Children",Table14[[#This Row],[Age]]&lt;50,"Adult",Table14[[#This Row],[Age]]&gt;=50,"Elderly")</f>
        <v>Elderly</v>
      </c>
      <c r="J119" t="s">
        <v>547</v>
      </c>
      <c r="K119" s="7">
        <v>110410</v>
      </c>
      <c r="L119" s="2" t="str" cm="1">
        <f t="array" ref="L119">_xlfn.IFS(Table14[[#This Row],[Treatment Cost]]&lt;50000,"Low Billing",Table14[[#This Row],[Treatment Cost]]&lt;200000,"Moderate Billing",Table14[[#This Row],[Treatment Cost]]&gt;=200000,"High Billing")</f>
        <v>Moderate Billing</v>
      </c>
      <c r="M119" t="s">
        <v>403</v>
      </c>
      <c r="N119" t="str">
        <f>IF(AND(Table14[[#This Row],[Outcome]]="Follow-up",Table14[[#This Row],[Admission Status]]="Patient Discharged"),"High Risk Patient","Low Risk Patient")</f>
        <v>Low Risk Patient</v>
      </c>
      <c r="O119" t="str">
        <f>IFERROR(VLOOKUP(Table14[[#This Row],[Department]],Doctor_Info!A:D,2,FALSE), "")</f>
        <v>Dr. George</v>
      </c>
      <c r="P119" t="str">
        <f>IF(COUNTIF(A:A,Table14[[#This Row],[Patient ID]]&gt;1),"Returning Patient","New Patient")</f>
        <v>New Patient</v>
      </c>
      <c r="Q119" t="str">
        <f>_xlfn.XLOOKUP(Table14[[#This Row],[Department]], Doctor_Info!A:A, Doctor_Info!C:C, "")&amp;""</f>
        <v>405</v>
      </c>
      <c r="R119" t="str">
        <f>TEXT(Table14[[#This Row],[Admission Date]],"ddd")</f>
        <v>Sat</v>
      </c>
      <c r="S119" t="str">
        <f>TEXT(Table14[[#This Row],[Admission Date]],"mmm")</f>
        <v>Feb</v>
      </c>
      <c r="T119" t="str">
        <f>TEXT(Table14[[#This Row],[Admission Date]],"yyyy")</f>
        <v>2024</v>
      </c>
      <c r="U119" t="str">
        <f>TEXT(Table14[[#This Row],[Admission Date]],"mmm-yyyy")</f>
        <v>Feb-2024</v>
      </c>
      <c r="V119">
        <f t="shared" ca="1" si="1"/>
        <v>8</v>
      </c>
    </row>
    <row r="120" spans="1:22" x14ac:dyDescent="0.2">
      <c r="A120" t="s">
        <v>133</v>
      </c>
      <c r="B120" s="3">
        <v>45319</v>
      </c>
      <c r="C120" s="3">
        <v>45327</v>
      </c>
      <c r="D120">
        <f ca="1">IF(ISBLANK(Table14[[#This Row],[Discharge Date]]),TODAY()-Table14[[#This Row],[Admission Date]], Table14[[#This Row],[Discharge Date]]-Table14[[#This Row],[Admission Date]])</f>
        <v>8</v>
      </c>
      <c r="E120" s="6" t="str">
        <f>IF(Table14[[#This Row],[Discharge Date]]="","Still Admitted","Patient Discharged")</f>
        <v>Patient Discharged</v>
      </c>
      <c r="F120" s="6" t="str">
        <f>IF(WEEKDAY(Table14[[#This Row],[Admission Date]],2)&gt;5,"Weekend","Weekday")</f>
        <v>Weekend</v>
      </c>
      <c r="G120" t="s">
        <v>7</v>
      </c>
      <c r="H120">
        <v>70</v>
      </c>
      <c r="I120" t="str" cm="1">
        <f t="array" ref="I120">_xlfn.IFS(Table14[[#This Row],[Age]]&lt;18,"Children",Table14[[#This Row],[Age]]&lt;50,"Adult",Table14[[#This Row],[Age]]&gt;=50,"Elderly")</f>
        <v>Elderly</v>
      </c>
      <c r="J120" t="s">
        <v>546</v>
      </c>
      <c r="K120" s="7">
        <v>111380</v>
      </c>
      <c r="L120" s="2" t="str" cm="1">
        <f t="array" ref="L120">_xlfn.IFS(Table14[[#This Row],[Treatment Cost]]&lt;50000,"Low Billing",Table14[[#This Row],[Treatment Cost]]&lt;200000,"Moderate Billing",Table14[[#This Row],[Treatment Cost]]&gt;=200000,"High Billing")</f>
        <v>Moderate Billing</v>
      </c>
      <c r="M120" t="s">
        <v>8</v>
      </c>
      <c r="N120" t="str">
        <f>IF(AND(Table14[[#This Row],[Outcome]]="Follow-up",Table14[[#This Row],[Admission Status]]="Patient Discharged"),"High Risk Patient","Low Risk Patient")</f>
        <v>High Risk Patient</v>
      </c>
      <c r="O120" t="str">
        <f>IFERROR(VLOOKUP(Table14[[#This Row],[Department]],Doctor_Info!A:D,2,FALSE), "")</f>
        <v>Dr. Ada</v>
      </c>
      <c r="P120" t="str">
        <f>IF(COUNTIF(A:A,Table14[[#This Row],[Patient ID]]&gt;1),"Returning Patient","New Patient")</f>
        <v>New Patient</v>
      </c>
      <c r="Q120" t="str">
        <f>_xlfn.XLOOKUP(Table14[[#This Row],[Department]], Doctor_Info!A:A, Doctor_Info!C:C, "")&amp;""</f>
        <v>301</v>
      </c>
      <c r="R120" t="str">
        <f>TEXT(Table14[[#This Row],[Admission Date]],"ddd")</f>
        <v>Sun</v>
      </c>
      <c r="S120" t="str">
        <f>TEXT(Table14[[#This Row],[Admission Date]],"mmm")</f>
        <v>Jan</v>
      </c>
      <c r="T120" t="str">
        <f>TEXT(Table14[[#This Row],[Admission Date]],"yyyy")</f>
        <v>2024</v>
      </c>
      <c r="U120" t="str">
        <f>TEXT(Table14[[#This Row],[Admission Date]],"mmm-yyyy")</f>
        <v>Jan-2024</v>
      </c>
      <c r="V120">
        <f t="shared" ca="1" si="1"/>
        <v>8</v>
      </c>
    </row>
    <row r="121" spans="1:22" x14ac:dyDescent="0.2">
      <c r="A121" t="s">
        <v>134</v>
      </c>
      <c r="B121" s="3">
        <v>45323</v>
      </c>
      <c r="C121" s="3">
        <v>45324</v>
      </c>
      <c r="D121">
        <f ca="1">IF(ISBLANK(Table14[[#This Row],[Discharge Date]]),TODAY()-Table14[[#This Row],[Admission Date]], Table14[[#This Row],[Discharge Date]]-Table14[[#This Row],[Admission Date]])</f>
        <v>1</v>
      </c>
      <c r="E121" s="6" t="str">
        <f>IF(Table14[[#This Row],[Discharge Date]]="","Still Admitted","Patient Discharged")</f>
        <v>Patient Discharged</v>
      </c>
      <c r="F121" s="6" t="str">
        <f>IF(WEEKDAY(Table14[[#This Row],[Admission Date]],2)&gt;5,"Weekend","Weekday")</f>
        <v>Weekday</v>
      </c>
      <c r="G121" t="s">
        <v>528</v>
      </c>
      <c r="H121">
        <v>72</v>
      </c>
      <c r="I121" t="str" cm="1">
        <f t="array" ref="I121">_xlfn.IFS(Table14[[#This Row],[Age]]&lt;18,"Children",Table14[[#This Row],[Age]]&lt;50,"Adult",Table14[[#This Row],[Age]]&gt;=50,"Elderly")</f>
        <v>Elderly</v>
      </c>
      <c r="J121" t="s">
        <v>547</v>
      </c>
      <c r="K121" s="7">
        <v>112350</v>
      </c>
      <c r="L121" s="2" t="str" cm="1">
        <f t="array" ref="L121">_xlfn.IFS(Table14[[#This Row],[Treatment Cost]]&lt;50000,"Low Billing",Table14[[#This Row],[Treatment Cost]]&lt;200000,"Moderate Billing",Table14[[#This Row],[Treatment Cost]]&gt;=200000,"High Billing")</f>
        <v>Moderate Billing</v>
      </c>
      <c r="M121" t="s">
        <v>6</v>
      </c>
      <c r="N121" t="str">
        <f>IF(AND(Table14[[#This Row],[Outcome]]="Follow-up",Table14[[#This Row],[Admission Status]]="Patient Discharged"),"High Risk Patient","Low Risk Patient")</f>
        <v>Low Risk Patient</v>
      </c>
      <c r="O121" t="str">
        <f>IFERROR(VLOOKUP(Table14[[#This Row],[Department]],Doctor_Info!A:D,2,FALSE), "")</f>
        <v>Dr. Kofi</v>
      </c>
      <c r="P121" t="str">
        <f>IF(COUNTIF(A:A,Table14[[#This Row],[Patient ID]]&gt;1),"Returning Patient","New Patient")</f>
        <v>New Patient</v>
      </c>
      <c r="Q121" t="str">
        <f>_xlfn.XLOOKUP(Table14[[#This Row],[Department]], Doctor_Info!A:A, Doctor_Info!C:C, "")&amp;""</f>
        <v>102</v>
      </c>
      <c r="R121" t="str">
        <f>TEXT(Table14[[#This Row],[Admission Date]],"ddd")</f>
        <v>Thu</v>
      </c>
      <c r="S121" t="str">
        <f>TEXT(Table14[[#This Row],[Admission Date]],"mmm")</f>
        <v>Feb</v>
      </c>
      <c r="T121" t="str">
        <f>TEXT(Table14[[#This Row],[Admission Date]],"yyyy")</f>
        <v>2024</v>
      </c>
      <c r="U121" t="str">
        <f>TEXT(Table14[[#This Row],[Admission Date]],"mmm-yyyy")</f>
        <v>Feb-2024</v>
      </c>
      <c r="V121">
        <f t="shared" ca="1" si="1"/>
        <v>8</v>
      </c>
    </row>
    <row r="122" spans="1:22" x14ac:dyDescent="0.2">
      <c r="A122" t="s">
        <v>135</v>
      </c>
      <c r="B122" s="3">
        <v>45325</v>
      </c>
      <c r="C122" s="3">
        <v>45337</v>
      </c>
      <c r="D122">
        <f ca="1">IF(ISBLANK(Table14[[#This Row],[Discharge Date]]),TODAY()-Table14[[#This Row],[Admission Date]], Table14[[#This Row],[Discharge Date]]-Table14[[#This Row],[Admission Date]])</f>
        <v>12</v>
      </c>
      <c r="E122" s="6" t="str">
        <f>IF(Table14[[#This Row],[Discharge Date]]="","Still Admitted","Patient Discharged")</f>
        <v>Patient Discharged</v>
      </c>
      <c r="F122" s="6" t="str">
        <f>IF(WEEKDAY(Table14[[#This Row],[Admission Date]],2)&gt;5,"Weekend","Weekday")</f>
        <v>Weekend</v>
      </c>
      <c r="G122" t="s">
        <v>12</v>
      </c>
      <c r="H122">
        <v>74</v>
      </c>
      <c r="I122" t="str" cm="1">
        <f t="array" ref="I122">_xlfn.IFS(Table14[[#This Row],[Age]]&lt;18,"Children",Table14[[#This Row],[Age]]&lt;50,"Adult",Table14[[#This Row],[Age]]&gt;=50,"Elderly")</f>
        <v>Elderly</v>
      </c>
      <c r="J122" t="s">
        <v>546</v>
      </c>
      <c r="K122" s="7">
        <v>113320</v>
      </c>
      <c r="L122" s="2" t="str" cm="1">
        <f t="array" ref="L122">_xlfn.IFS(Table14[[#This Row],[Treatment Cost]]&lt;50000,"Low Billing",Table14[[#This Row],[Treatment Cost]]&lt;200000,"Moderate Billing",Table14[[#This Row],[Treatment Cost]]&gt;=200000,"High Billing")</f>
        <v>Moderate Billing</v>
      </c>
      <c r="M122" t="s">
        <v>8</v>
      </c>
      <c r="N122" t="str">
        <f>IF(AND(Table14[[#This Row],[Outcome]]="Follow-up",Table14[[#This Row],[Admission Status]]="Patient Discharged"),"High Risk Patient","Low Risk Patient")</f>
        <v>High Risk Patient</v>
      </c>
      <c r="O122" t="str">
        <f>IFERROR(VLOOKUP(Table14[[#This Row],[Department]],Doctor_Info!A:D,2,FALSE), "")</f>
        <v>Dr. Temi</v>
      </c>
      <c r="P122" t="str">
        <f>IF(COUNTIF(A:A,Table14[[#This Row],[Patient ID]]&gt;1),"Returning Patient","New Patient")</f>
        <v>New Patient</v>
      </c>
      <c r="Q122" t="str">
        <f>_xlfn.XLOOKUP(Table14[[#This Row],[Department]], Doctor_Info!A:A, Doctor_Info!C:C, "")&amp;""</f>
        <v>502</v>
      </c>
      <c r="R122" t="str">
        <f>TEXT(Table14[[#This Row],[Admission Date]],"ddd")</f>
        <v>Sat</v>
      </c>
      <c r="S122" t="str">
        <f>TEXT(Table14[[#This Row],[Admission Date]],"mmm")</f>
        <v>Feb</v>
      </c>
      <c r="T122" t="str">
        <f>TEXT(Table14[[#This Row],[Admission Date]],"yyyy")</f>
        <v>2024</v>
      </c>
      <c r="U122" t="str">
        <f>TEXT(Table14[[#This Row],[Admission Date]],"mmm-yyyy")</f>
        <v>Feb-2024</v>
      </c>
      <c r="V122">
        <f t="shared" ca="1" si="1"/>
        <v>8</v>
      </c>
    </row>
    <row r="123" spans="1:22" x14ac:dyDescent="0.2">
      <c r="A123" t="s">
        <v>136</v>
      </c>
      <c r="B123" s="3">
        <v>45327</v>
      </c>
      <c r="C123" s="3">
        <v>45328</v>
      </c>
      <c r="D123">
        <f ca="1">IF(ISBLANK(Table14[[#This Row],[Discharge Date]]),TODAY()-Table14[[#This Row],[Admission Date]], Table14[[#This Row],[Discharge Date]]-Table14[[#This Row],[Admission Date]])</f>
        <v>1</v>
      </c>
      <c r="E123" s="6" t="str">
        <f>IF(Table14[[#This Row],[Discharge Date]]="","Still Admitted","Patient Discharged")</f>
        <v>Patient Discharged</v>
      </c>
      <c r="F123" s="6" t="str">
        <f>IF(WEEKDAY(Table14[[#This Row],[Admission Date]],2)&gt;5,"Weekend","Weekday")</f>
        <v>Weekday</v>
      </c>
      <c r="G123" t="s">
        <v>528</v>
      </c>
      <c r="H123">
        <v>76</v>
      </c>
      <c r="I123" t="str" cm="1">
        <f t="array" ref="I123">_xlfn.IFS(Table14[[#This Row],[Age]]&lt;18,"Children",Table14[[#This Row],[Age]]&lt;50,"Adult",Table14[[#This Row],[Age]]&gt;=50,"Elderly")</f>
        <v>Elderly</v>
      </c>
      <c r="J123" t="s">
        <v>547</v>
      </c>
      <c r="K123" s="7">
        <v>114290</v>
      </c>
      <c r="L123" s="2" t="str" cm="1">
        <f t="array" ref="L123">_xlfn.IFS(Table14[[#This Row],[Treatment Cost]]&lt;50000,"Low Billing",Table14[[#This Row],[Treatment Cost]]&lt;200000,"Moderate Billing",Table14[[#This Row],[Treatment Cost]]&gt;=200000,"High Billing")</f>
        <v>Moderate Billing</v>
      </c>
      <c r="M123" t="s">
        <v>6</v>
      </c>
      <c r="N123" t="str">
        <f>IF(AND(Table14[[#This Row],[Outcome]]="Follow-up",Table14[[#This Row],[Admission Status]]="Patient Discharged"),"High Risk Patient","Low Risk Patient")</f>
        <v>Low Risk Patient</v>
      </c>
      <c r="O123" t="str">
        <f>IFERROR(VLOOKUP(Table14[[#This Row],[Department]],Doctor_Info!A:D,2,FALSE), "")</f>
        <v>Dr. Kofi</v>
      </c>
      <c r="P123" t="str">
        <f>IF(COUNTIF(A:A,Table14[[#This Row],[Patient ID]]&gt;1),"Returning Patient","New Patient")</f>
        <v>New Patient</v>
      </c>
      <c r="Q123" t="str">
        <f>_xlfn.XLOOKUP(Table14[[#This Row],[Department]], Doctor_Info!A:A, Doctor_Info!C:C, "")&amp;""</f>
        <v>102</v>
      </c>
      <c r="R123" t="str">
        <f>TEXT(Table14[[#This Row],[Admission Date]],"ddd")</f>
        <v>Mon</v>
      </c>
      <c r="S123" t="str">
        <f>TEXT(Table14[[#This Row],[Admission Date]],"mmm")</f>
        <v>Feb</v>
      </c>
      <c r="T123" t="str">
        <f>TEXT(Table14[[#This Row],[Admission Date]],"yyyy")</f>
        <v>2024</v>
      </c>
      <c r="U123" t="str">
        <f>TEXT(Table14[[#This Row],[Admission Date]],"mmm-yyyy")</f>
        <v>Feb-2024</v>
      </c>
      <c r="V123">
        <f t="shared" ca="1" si="1"/>
        <v>8</v>
      </c>
    </row>
    <row r="124" spans="1:22" x14ac:dyDescent="0.2">
      <c r="A124" t="s">
        <v>137</v>
      </c>
      <c r="B124" s="3">
        <v>45332</v>
      </c>
      <c r="D124">
        <f ca="1">IF(ISBLANK(Table14[[#This Row],[Discharge Date]]),TODAY()-Table14[[#This Row],[Admission Date]], Table14[[#This Row],[Discharge Date]]-Table14[[#This Row],[Admission Date]])</f>
        <v>806</v>
      </c>
      <c r="E124" s="6" t="str">
        <f>IF(Table14[[#This Row],[Discharge Date]]="","Still Admitted","Patient Discharged")</f>
        <v>Still Admitted</v>
      </c>
      <c r="F124" s="6" t="str">
        <f>IF(WEEKDAY(Table14[[#This Row],[Admission Date]],2)&gt;5,"Weekend","Weekday")</f>
        <v>Weekend</v>
      </c>
      <c r="G124" t="s">
        <v>10</v>
      </c>
      <c r="H124">
        <v>78</v>
      </c>
      <c r="I124" t="str" cm="1">
        <f t="array" ref="I124">_xlfn.IFS(Table14[[#This Row],[Age]]&lt;18,"Children",Table14[[#This Row],[Age]]&lt;50,"Adult",Table14[[#This Row],[Age]]&gt;=50,"Elderly")</f>
        <v>Elderly</v>
      </c>
      <c r="J124" t="s">
        <v>547</v>
      </c>
      <c r="K124" s="7">
        <v>115260</v>
      </c>
      <c r="L124" s="2" t="str" cm="1">
        <f t="array" ref="L124">_xlfn.IFS(Table14[[#This Row],[Treatment Cost]]&lt;50000,"Low Billing",Table14[[#This Row],[Treatment Cost]]&lt;200000,"Moderate Billing",Table14[[#This Row],[Treatment Cost]]&gt;=200000,"High Billing")</f>
        <v>Moderate Billing</v>
      </c>
      <c r="M124" t="s">
        <v>403</v>
      </c>
      <c r="N124" t="str">
        <f>IF(AND(Table14[[#This Row],[Outcome]]="Follow-up",Table14[[#This Row],[Admission Status]]="Patient Discharged"),"High Risk Patient","Low Risk Patient")</f>
        <v>Low Risk Patient</v>
      </c>
      <c r="O124" t="str">
        <f>IFERROR(VLOOKUP(Table14[[#This Row],[Department]],Doctor_Info!A:D,2,FALSE), "")</f>
        <v>Dr. George</v>
      </c>
      <c r="P124" t="str">
        <f>IF(COUNTIF(A:A,Table14[[#This Row],[Patient ID]]&gt;1),"Returning Patient","New Patient")</f>
        <v>New Patient</v>
      </c>
      <c r="Q124" t="str">
        <f>_xlfn.XLOOKUP(Table14[[#This Row],[Department]], Doctor_Info!A:A, Doctor_Info!C:C, "")&amp;""</f>
        <v>405</v>
      </c>
      <c r="R124" t="str">
        <f>TEXT(Table14[[#This Row],[Admission Date]],"ddd")</f>
        <v>Sat</v>
      </c>
      <c r="S124" t="str">
        <f>TEXT(Table14[[#This Row],[Admission Date]],"mmm")</f>
        <v>Feb</v>
      </c>
      <c r="T124" t="str">
        <f>TEXT(Table14[[#This Row],[Admission Date]],"yyyy")</f>
        <v>2024</v>
      </c>
      <c r="U124" t="str">
        <f>TEXT(Table14[[#This Row],[Admission Date]],"mmm-yyyy")</f>
        <v>Feb-2024</v>
      </c>
      <c r="V124">
        <f t="shared" ca="1" si="1"/>
        <v>8</v>
      </c>
    </row>
    <row r="125" spans="1:22" x14ac:dyDescent="0.2">
      <c r="A125" t="s">
        <v>138</v>
      </c>
      <c r="B125" s="3">
        <v>45319</v>
      </c>
      <c r="C125" s="3">
        <v>45327</v>
      </c>
      <c r="D125">
        <f ca="1">IF(ISBLANK(Table14[[#This Row],[Discharge Date]]),TODAY()-Table14[[#This Row],[Admission Date]], Table14[[#This Row],[Discharge Date]]-Table14[[#This Row],[Admission Date]])</f>
        <v>8</v>
      </c>
      <c r="E125" s="6" t="str">
        <f>IF(Table14[[#This Row],[Discharge Date]]="","Still Admitted","Patient Discharged")</f>
        <v>Patient Discharged</v>
      </c>
      <c r="F125" s="6" t="str">
        <f>IF(WEEKDAY(Table14[[#This Row],[Admission Date]],2)&gt;5,"Weekend","Weekday")</f>
        <v>Weekend</v>
      </c>
      <c r="G125" t="s">
        <v>7</v>
      </c>
      <c r="H125">
        <v>80</v>
      </c>
      <c r="I125" t="str" cm="1">
        <f t="array" ref="I125">_xlfn.IFS(Table14[[#This Row],[Age]]&lt;18,"Children",Table14[[#This Row],[Age]]&lt;50,"Adult",Table14[[#This Row],[Age]]&gt;=50,"Elderly")</f>
        <v>Elderly</v>
      </c>
      <c r="J125" t="s">
        <v>546</v>
      </c>
      <c r="K125" s="7">
        <v>116230</v>
      </c>
      <c r="L125" s="2" t="str" cm="1">
        <f t="array" ref="L125">_xlfn.IFS(Table14[[#This Row],[Treatment Cost]]&lt;50000,"Low Billing",Table14[[#This Row],[Treatment Cost]]&lt;200000,"Moderate Billing",Table14[[#This Row],[Treatment Cost]]&gt;=200000,"High Billing")</f>
        <v>Moderate Billing</v>
      </c>
      <c r="M125" t="s">
        <v>8</v>
      </c>
      <c r="N125" t="str">
        <f>IF(AND(Table14[[#This Row],[Outcome]]="Follow-up",Table14[[#This Row],[Admission Status]]="Patient Discharged"),"High Risk Patient","Low Risk Patient")</f>
        <v>High Risk Patient</v>
      </c>
      <c r="O125" t="str">
        <f>IFERROR(VLOOKUP(Table14[[#This Row],[Department]],Doctor_Info!A:D,2,FALSE), "")</f>
        <v>Dr. Ada</v>
      </c>
      <c r="P125" t="str">
        <f>IF(COUNTIF(A:A,Table14[[#This Row],[Patient ID]]&gt;1),"Returning Patient","New Patient")</f>
        <v>New Patient</v>
      </c>
      <c r="Q125" t="str">
        <f>_xlfn.XLOOKUP(Table14[[#This Row],[Department]], Doctor_Info!A:A, Doctor_Info!C:C, "")&amp;""</f>
        <v>301</v>
      </c>
      <c r="R125" t="str">
        <f>TEXT(Table14[[#This Row],[Admission Date]],"ddd")</f>
        <v>Sun</v>
      </c>
      <c r="S125" t="str">
        <f>TEXT(Table14[[#This Row],[Admission Date]],"mmm")</f>
        <v>Jan</v>
      </c>
      <c r="T125" t="str">
        <f>TEXT(Table14[[#This Row],[Admission Date]],"yyyy")</f>
        <v>2024</v>
      </c>
      <c r="U125" t="str">
        <f>TEXT(Table14[[#This Row],[Admission Date]],"mmm-yyyy")</f>
        <v>Jan-2024</v>
      </c>
      <c r="V125">
        <f t="shared" ca="1" si="1"/>
        <v>8</v>
      </c>
    </row>
    <row r="126" spans="1:22" x14ac:dyDescent="0.2">
      <c r="A126" t="s">
        <v>139</v>
      </c>
      <c r="B126" s="3">
        <v>45323</v>
      </c>
      <c r="C126" s="3">
        <v>45324</v>
      </c>
      <c r="D126">
        <f ca="1">IF(ISBLANK(Table14[[#This Row],[Discharge Date]]),TODAY()-Table14[[#This Row],[Admission Date]], Table14[[#This Row],[Discharge Date]]-Table14[[#This Row],[Admission Date]])</f>
        <v>1</v>
      </c>
      <c r="E126" s="6" t="str">
        <f>IF(Table14[[#This Row],[Discharge Date]]="","Still Admitted","Patient Discharged")</f>
        <v>Patient Discharged</v>
      </c>
      <c r="F126" s="6" t="str">
        <f>IF(WEEKDAY(Table14[[#This Row],[Admission Date]],2)&gt;5,"Weekend","Weekday")</f>
        <v>Weekday</v>
      </c>
      <c r="G126" t="s">
        <v>528</v>
      </c>
      <c r="H126">
        <v>82</v>
      </c>
      <c r="I126" t="str" cm="1">
        <f t="array" ref="I126">_xlfn.IFS(Table14[[#This Row],[Age]]&lt;18,"Children",Table14[[#This Row],[Age]]&lt;50,"Adult",Table14[[#This Row],[Age]]&gt;=50,"Elderly")</f>
        <v>Elderly</v>
      </c>
      <c r="J126" t="s">
        <v>547</v>
      </c>
      <c r="K126" s="7">
        <v>117200</v>
      </c>
      <c r="L126" s="2" t="str" cm="1">
        <f t="array" ref="L126">_xlfn.IFS(Table14[[#This Row],[Treatment Cost]]&lt;50000,"Low Billing",Table14[[#This Row],[Treatment Cost]]&lt;200000,"Moderate Billing",Table14[[#This Row],[Treatment Cost]]&gt;=200000,"High Billing")</f>
        <v>Moderate Billing</v>
      </c>
      <c r="M126" t="s">
        <v>6</v>
      </c>
      <c r="N126" t="str">
        <f>IF(AND(Table14[[#This Row],[Outcome]]="Follow-up",Table14[[#This Row],[Admission Status]]="Patient Discharged"),"High Risk Patient","Low Risk Patient")</f>
        <v>Low Risk Patient</v>
      </c>
      <c r="O126" t="str">
        <f>IFERROR(VLOOKUP(Table14[[#This Row],[Department]],Doctor_Info!A:D,2,FALSE), "")</f>
        <v>Dr. Kofi</v>
      </c>
      <c r="P126" t="str">
        <f>IF(COUNTIF(A:A,Table14[[#This Row],[Patient ID]]&gt;1),"Returning Patient","New Patient")</f>
        <v>New Patient</v>
      </c>
      <c r="Q126" t="str">
        <f>_xlfn.XLOOKUP(Table14[[#This Row],[Department]], Doctor_Info!A:A, Doctor_Info!C:C, "")&amp;""</f>
        <v>102</v>
      </c>
      <c r="R126" t="str">
        <f>TEXT(Table14[[#This Row],[Admission Date]],"ddd")</f>
        <v>Thu</v>
      </c>
      <c r="S126" t="str">
        <f>TEXT(Table14[[#This Row],[Admission Date]],"mmm")</f>
        <v>Feb</v>
      </c>
      <c r="T126" t="str">
        <f>TEXT(Table14[[#This Row],[Admission Date]],"yyyy")</f>
        <v>2024</v>
      </c>
      <c r="U126" t="str">
        <f>TEXT(Table14[[#This Row],[Admission Date]],"mmm-yyyy")</f>
        <v>Feb-2024</v>
      </c>
      <c r="V126">
        <f t="shared" ca="1" si="1"/>
        <v>8</v>
      </c>
    </row>
    <row r="127" spans="1:22" x14ac:dyDescent="0.2">
      <c r="A127" t="s">
        <v>140</v>
      </c>
      <c r="B127" s="3">
        <v>45325</v>
      </c>
      <c r="C127" s="3">
        <v>45337</v>
      </c>
      <c r="D127">
        <f ca="1">IF(ISBLANK(Table14[[#This Row],[Discharge Date]]),TODAY()-Table14[[#This Row],[Admission Date]], Table14[[#This Row],[Discharge Date]]-Table14[[#This Row],[Admission Date]])</f>
        <v>12</v>
      </c>
      <c r="E127" s="6" t="str">
        <f>IF(Table14[[#This Row],[Discharge Date]]="","Still Admitted","Patient Discharged")</f>
        <v>Patient Discharged</v>
      </c>
      <c r="F127" s="6" t="str">
        <f>IF(WEEKDAY(Table14[[#This Row],[Admission Date]],2)&gt;5,"Weekend","Weekday")</f>
        <v>Weekend</v>
      </c>
      <c r="G127" t="s">
        <v>12</v>
      </c>
      <c r="H127">
        <v>84</v>
      </c>
      <c r="I127" t="str" cm="1">
        <f t="array" ref="I127">_xlfn.IFS(Table14[[#This Row],[Age]]&lt;18,"Children",Table14[[#This Row],[Age]]&lt;50,"Adult",Table14[[#This Row],[Age]]&gt;=50,"Elderly")</f>
        <v>Elderly</v>
      </c>
      <c r="J127" t="s">
        <v>546</v>
      </c>
      <c r="K127" s="7">
        <v>118170</v>
      </c>
      <c r="L127" s="2" t="str" cm="1">
        <f t="array" ref="L127">_xlfn.IFS(Table14[[#This Row],[Treatment Cost]]&lt;50000,"Low Billing",Table14[[#This Row],[Treatment Cost]]&lt;200000,"Moderate Billing",Table14[[#This Row],[Treatment Cost]]&gt;=200000,"High Billing")</f>
        <v>Moderate Billing</v>
      </c>
      <c r="M127" t="s">
        <v>8</v>
      </c>
      <c r="N127" t="str">
        <f>IF(AND(Table14[[#This Row],[Outcome]]="Follow-up",Table14[[#This Row],[Admission Status]]="Patient Discharged"),"High Risk Patient","Low Risk Patient")</f>
        <v>High Risk Patient</v>
      </c>
      <c r="O127" t="str">
        <f>IFERROR(VLOOKUP(Table14[[#This Row],[Department]],Doctor_Info!A:D,2,FALSE), "")</f>
        <v>Dr. Temi</v>
      </c>
      <c r="P127" t="str">
        <f>IF(COUNTIF(A:A,Table14[[#This Row],[Patient ID]]&gt;1),"Returning Patient","New Patient")</f>
        <v>New Patient</v>
      </c>
      <c r="Q127" t="str">
        <f>_xlfn.XLOOKUP(Table14[[#This Row],[Department]], Doctor_Info!A:A, Doctor_Info!C:C, "")&amp;""</f>
        <v>502</v>
      </c>
      <c r="R127" t="str">
        <f>TEXT(Table14[[#This Row],[Admission Date]],"ddd")</f>
        <v>Sat</v>
      </c>
      <c r="S127" t="str">
        <f>TEXT(Table14[[#This Row],[Admission Date]],"mmm")</f>
        <v>Feb</v>
      </c>
      <c r="T127" t="str">
        <f>TEXT(Table14[[#This Row],[Admission Date]],"yyyy")</f>
        <v>2024</v>
      </c>
      <c r="U127" t="str">
        <f>TEXT(Table14[[#This Row],[Admission Date]],"mmm-yyyy")</f>
        <v>Feb-2024</v>
      </c>
      <c r="V127">
        <f t="shared" ca="1" si="1"/>
        <v>8</v>
      </c>
    </row>
    <row r="128" spans="1:22" x14ac:dyDescent="0.2">
      <c r="A128" t="s">
        <v>141</v>
      </c>
      <c r="B128" s="3">
        <v>45327</v>
      </c>
      <c r="C128" s="3">
        <v>45328</v>
      </c>
      <c r="D128">
        <f ca="1">IF(ISBLANK(Table14[[#This Row],[Discharge Date]]),TODAY()-Table14[[#This Row],[Admission Date]], Table14[[#This Row],[Discharge Date]]-Table14[[#This Row],[Admission Date]])</f>
        <v>1</v>
      </c>
      <c r="E128" s="6" t="str">
        <f>IF(Table14[[#This Row],[Discharge Date]]="","Still Admitted","Patient Discharged")</f>
        <v>Patient Discharged</v>
      </c>
      <c r="F128" s="6" t="str">
        <f>IF(WEEKDAY(Table14[[#This Row],[Admission Date]],2)&gt;5,"Weekend","Weekday")</f>
        <v>Weekday</v>
      </c>
      <c r="G128" t="s">
        <v>528</v>
      </c>
      <c r="H128">
        <v>86</v>
      </c>
      <c r="I128" t="str" cm="1">
        <f t="array" ref="I128">_xlfn.IFS(Table14[[#This Row],[Age]]&lt;18,"Children",Table14[[#This Row],[Age]]&lt;50,"Adult",Table14[[#This Row],[Age]]&gt;=50,"Elderly")</f>
        <v>Elderly</v>
      </c>
      <c r="J128" t="s">
        <v>547</v>
      </c>
      <c r="K128" s="7">
        <v>119140</v>
      </c>
      <c r="L128" s="2" t="str" cm="1">
        <f t="array" ref="L128">_xlfn.IFS(Table14[[#This Row],[Treatment Cost]]&lt;50000,"Low Billing",Table14[[#This Row],[Treatment Cost]]&lt;200000,"Moderate Billing",Table14[[#This Row],[Treatment Cost]]&gt;=200000,"High Billing")</f>
        <v>Moderate Billing</v>
      </c>
      <c r="M128" t="s">
        <v>6</v>
      </c>
      <c r="N128" t="str">
        <f>IF(AND(Table14[[#This Row],[Outcome]]="Follow-up",Table14[[#This Row],[Admission Status]]="Patient Discharged"),"High Risk Patient","Low Risk Patient")</f>
        <v>Low Risk Patient</v>
      </c>
      <c r="O128" t="str">
        <f>IFERROR(VLOOKUP(Table14[[#This Row],[Department]],Doctor_Info!A:D,2,FALSE), "")</f>
        <v>Dr. Kofi</v>
      </c>
      <c r="P128" t="str">
        <f>IF(COUNTIF(A:A,Table14[[#This Row],[Patient ID]]&gt;1),"Returning Patient","New Patient")</f>
        <v>New Patient</v>
      </c>
      <c r="Q128" t="str">
        <f>_xlfn.XLOOKUP(Table14[[#This Row],[Department]], Doctor_Info!A:A, Doctor_Info!C:C, "")&amp;""</f>
        <v>102</v>
      </c>
      <c r="R128" t="str">
        <f>TEXT(Table14[[#This Row],[Admission Date]],"ddd")</f>
        <v>Mon</v>
      </c>
      <c r="S128" t="str">
        <f>TEXT(Table14[[#This Row],[Admission Date]],"mmm")</f>
        <v>Feb</v>
      </c>
      <c r="T128" t="str">
        <f>TEXT(Table14[[#This Row],[Admission Date]],"yyyy")</f>
        <v>2024</v>
      </c>
      <c r="U128" t="str">
        <f>TEXT(Table14[[#This Row],[Admission Date]],"mmm-yyyy")</f>
        <v>Feb-2024</v>
      </c>
      <c r="V128">
        <f t="shared" ca="1" si="1"/>
        <v>8</v>
      </c>
    </row>
    <row r="129" spans="1:22" x14ac:dyDescent="0.2">
      <c r="A129" t="s">
        <v>142</v>
      </c>
      <c r="B129" s="3">
        <v>45332</v>
      </c>
      <c r="D129">
        <f ca="1">IF(ISBLANK(Table14[[#This Row],[Discharge Date]]),TODAY()-Table14[[#This Row],[Admission Date]], Table14[[#This Row],[Discharge Date]]-Table14[[#This Row],[Admission Date]])</f>
        <v>806</v>
      </c>
      <c r="E129" s="6" t="str">
        <f>IF(Table14[[#This Row],[Discharge Date]]="","Still Admitted","Patient Discharged")</f>
        <v>Still Admitted</v>
      </c>
      <c r="F129" s="6" t="str">
        <f>IF(WEEKDAY(Table14[[#This Row],[Admission Date]],2)&gt;5,"Weekend","Weekday")</f>
        <v>Weekend</v>
      </c>
      <c r="G129" t="s">
        <v>10</v>
      </c>
      <c r="H129">
        <v>88</v>
      </c>
      <c r="I129" t="str" cm="1">
        <f t="array" ref="I129">_xlfn.IFS(Table14[[#This Row],[Age]]&lt;18,"Children",Table14[[#This Row],[Age]]&lt;50,"Adult",Table14[[#This Row],[Age]]&gt;=50,"Elderly")</f>
        <v>Elderly</v>
      </c>
      <c r="J129" t="s">
        <v>547</v>
      </c>
      <c r="K129" s="7">
        <v>120110</v>
      </c>
      <c r="L129" s="2" t="str" cm="1">
        <f t="array" ref="L129">_xlfn.IFS(Table14[[#This Row],[Treatment Cost]]&lt;50000,"Low Billing",Table14[[#This Row],[Treatment Cost]]&lt;200000,"Moderate Billing",Table14[[#This Row],[Treatment Cost]]&gt;=200000,"High Billing")</f>
        <v>Moderate Billing</v>
      </c>
      <c r="M129" t="s">
        <v>403</v>
      </c>
      <c r="N129" t="str">
        <f>IF(AND(Table14[[#This Row],[Outcome]]="Follow-up",Table14[[#This Row],[Admission Status]]="Patient Discharged"),"High Risk Patient","Low Risk Patient")</f>
        <v>Low Risk Patient</v>
      </c>
      <c r="O129" t="str">
        <f>IFERROR(VLOOKUP(Table14[[#This Row],[Department]],Doctor_Info!A:D,2,FALSE), "")</f>
        <v>Dr. George</v>
      </c>
      <c r="P129" t="str">
        <f>IF(COUNTIF(A:A,Table14[[#This Row],[Patient ID]]&gt;1),"Returning Patient","New Patient")</f>
        <v>New Patient</v>
      </c>
      <c r="Q129" t="str">
        <f>_xlfn.XLOOKUP(Table14[[#This Row],[Department]], Doctor_Info!A:A, Doctor_Info!C:C, "")&amp;""</f>
        <v>405</v>
      </c>
      <c r="R129" t="str">
        <f>TEXT(Table14[[#This Row],[Admission Date]],"ddd")</f>
        <v>Sat</v>
      </c>
      <c r="S129" t="str">
        <f>TEXT(Table14[[#This Row],[Admission Date]],"mmm")</f>
        <v>Feb</v>
      </c>
      <c r="T129" t="str">
        <f>TEXT(Table14[[#This Row],[Admission Date]],"yyyy")</f>
        <v>2024</v>
      </c>
      <c r="U129" t="str">
        <f>TEXT(Table14[[#This Row],[Admission Date]],"mmm-yyyy")</f>
        <v>Feb-2024</v>
      </c>
      <c r="V129">
        <f t="shared" ca="1" si="1"/>
        <v>8</v>
      </c>
    </row>
    <row r="130" spans="1:22" x14ac:dyDescent="0.2">
      <c r="A130" t="s">
        <v>143</v>
      </c>
      <c r="B130" s="3">
        <v>45319</v>
      </c>
      <c r="C130" s="3">
        <v>45327</v>
      </c>
      <c r="D130">
        <f ca="1">IF(ISBLANK(Table14[[#This Row],[Discharge Date]]),TODAY()-Table14[[#This Row],[Admission Date]], Table14[[#This Row],[Discharge Date]]-Table14[[#This Row],[Admission Date]])</f>
        <v>8</v>
      </c>
      <c r="E130" s="6" t="str">
        <f>IF(Table14[[#This Row],[Discharge Date]]="","Still Admitted","Patient Discharged")</f>
        <v>Patient Discharged</v>
      </c>
      <c r="F130" s="6" t="str">
        <f>IF(WEEKDAY(Table14[[#This Row],[Admission Date]],2)&gt;5,"Weekend","Weekday")</f>
        <v>Weekend</v>
      </c>
      <c r="G130" t="s">
        <v>7</v>
      </c>
      <c r="H130">
        <v>90</v>
      </c>
      <c r="I130" t="str" cm="1">
        <f t="array" ref="I130">_xlfn.IFS(Table14[[#This Row],[Age]]&lt;18,"Children",Table14[[#This Row],[Age]]&lt;50,"Adult",Table14[[#This Row],[Age]]&gt;=50,"Elderly")</f>
        <v>Elderly</v>
      </c>
      <c r="J130" t="s">
        <v>546</v>
      </c>
      <c r="K130" s="7">
        <v>121080</v>
      </c>
      <c r="L130" s="2" t="str" cm="1">
        <f t="array" ref="L130">_xlfn.IFS(Table14[[#This Row],[Treatment Cost]]&lt;50000,"Low Billing",Table14[[#This Row],[Treatment Cost]]&lt;200000,"Moderate Billing",Table14[[#This Row],[Treatment Cost]]&gt;=200000,"High Billing")</f>
        <v>Moderate Billing</v>
      </c>
      <c r="M130" t="s">
        <v>8</v>
      </c>
      <c r="N130" t="str">
        <f>IF(AND(Table14[[#This Row],[Outcome]]="Follow-up",Table14[[#This Row],[Admission Status]]="Patient Discharged"),"High Risk Patient","Low Risk Patient")</f>
        <v>High Risk Patient</v>
      </c>
      <c r="O130" t="str">
        <f>IFERROR(VLOOKUP(Table14[[#This Row],[Department]],Doctor_Info!A:D,2,FALSE), "")</f>
        <v>Dr. Ada</v>
      </c>
      <c r="P130" t="str">
        <f>IF(COUNTIF(A:A,Table14[[#This Row],[Patient ID]]&gt;1),"Returning Patient","New Patient")</f>
        <v>New Patient</v>
      </c>
      <c r="Q130" t="str">
        <f>_xlfn.XLOOKUP(Table14[[#This Row],[Department]], Doctor_Info!A:A, Doctor_Info!C:C, "")&amp;""</f>
        <v>301</v>
      </c>
      <c r="R130" t="str">
        <f>TEXT(Table14[[#This Row],[Admission Date]],"ddd")</f>
        <v>Sun</v>
      </c>
      <c r="S130" t="str">
        <f>TEXT(Table14[[#This Row],[Admission Date]],"mmm")</f>
        <v>Jan</v>
      </c>
      <c r="T130" t="str">
        <f>TEXT(Table14[[#This Row],[Admission Date]],"yyyy")</f>
        <v>2024</v>
      </c>
      <c r="U130" t="str">
        <f>TEXT(Table14[[#This Row],[Admission Date]],"mmm-yyyy")</f>
        <v>Jan-2024</v>
      </c>
      <c r="V130">
        <f t="shared" ref="V130:V193" ca="1" si="2">MEDIAN($D$2:$D$484)</f>
        <v>8</v>
      </c>
    </row>
    <row r="131" spans="1:22" x14ac:dyDescent="0.2">
      <c r="A131" t="s">
        <v>144</v>
      </c>
      <c r="B131" s="3">
        <v>45323</v>
      </c>
      <c r="C131" s="3">
        <v>45324</v>
      </c>
      <c r="D131">
        <f ca="1">IF(ISBLANK(Table14[[#This Row],[Discharge Date]]),TODAY()-Table14[[#This Row],[Admission Date]], Table14[[#This Row],[Discharge Date]]-Table14[[#This Row],[Admission Date]])</f>
        <v>1</v>
      </c>
      <c r="E131" s="6" t="str">
        <f>IF(Table14[[#This Row],[Discharge Date]]="","Still Admitted","Patient Discharged")</f>
        <v>Patient Discharged</v>
      </c>
      <c r="F131" s="6" t="str">
        <f>IF(WEEKDAY(Table14[[#This Row],[Admission Date]],2)&gt;5,"Weekend","Weekday")</f>
        <v>Weekday</v>
      </c>
      <c r="G131" t="s">
        <v>528</v>
      </c>
      <c r="H131">
        <v>92</v>
      </c>
      <c r="I131" t="str" cm="1">
        <f t="array" ref="I131">_xlfn.IFS(Table14[[#This Row],[Age]]&lt;18,"Children",Table14[[#This Row],[Age]]&lt;50,"Adult",Table14[[#This Row],[Age]]&gt;=50,"Elderly")</f>
        <v>Elderly</v>
      </c>
      <c r="J131" t="s">
        <v>547</v>
      </c>
      <c r="K131" s="7">
        <v>122050</v>
      </c>
      <c r="L131" s="2" t="str" cm="1">
        <f t="array" ref="L131">_xlfn.IFS(Table14[[#This Row],[Treatment Cost]]&lt;50000,"Low Billing",Table14[[#This Row],[Treatment Cost]]&lt;200000,"Moderate Billing",Table14[[#This Row],[Treatment Cost]]&gt;=200000,"High Billing")</f>
        <v>Moderate Billing</v>
      </c>
      <c r="M131" t="s">
        <v>6</v>
      </c>
      <c r="N131" t="str">
        <f>IF(AND(Table14[[#This Row],[Outcome]]="Follow-up",Table14[[#This Row],[Admission Status]]="Patient Discharged"),"High Risk Patient","Low Risk Patient")</f>
        <v>Low Risk Patient</v>
      </c>
      <c r="O131" t="str">
        <f>IFERROR(VLOOKUP(Table14[[#This Row],[Department]],Doctor_Info!A:D,2,FALSE), "")</f>
        <v>Dr. Kofi</v>
      </c>
      <c r="P131" t="str">
        <f>IF(COUNTIF(A:A,Table14[[#This Row],[Patient ID]]&gt;1),"Returning Patient","New Patient")</f>
        <v>New Patient</v>
      </c>
      <c r="Q131" t="str">
        <f>_xlfn.XLOOKUP(Table14[[#This Row],[Department]], Doctor_Info!A:A, Doctor_Info!C:C, "")&amp;""</f>
        <v>102</v>
      </c>
      <c r="R131" t="str">
        <f>TEXT(Table14[[#This Row],[Admission Date]],"ddd")</f>
        <v>Thu</v>
      </c>
      <c r="S131" t="str">
        <f>TEXT(Table14[[#This Row],[Admission Date]],"mmm")</f>
        <v>Feb</v>
      </c>
      <c r="T131" t="str">
        <f>TEXT(Table14[[#This Row],[Admission Date]],"yyyy")</f>
        <v>2024</v>
      </c>
      <c r="U131" t="str">
        <f>TEXT(Table14[[#This Row],[Admission Date]],"mmm-yyyy")</f>
        <v>Feb-2024</v>
      </c>
      <c r="V131">
        <f t="shared" ca="1" si="2"/>
        <v>8</v>
      </c>
    </row>
    <row r="132" spans="1:22" x14ac:dyDescent="0.2">
      <c r="A132" t="s">
        <v>145</v>
      </c>
      <c r="B132" s="3">
        <v>45325</v>
      </c>
      <c r="C132" s="3">
        <v>45337</v>
      </c>
      <c r="D132">
        <f ca="1">IF(ISBLANK(Table14[[#This Row],[Discharge Date]]),TODAY()-Table14[[#This Row],[Admission Date]], Table14[[#This Row],[Discharge Date]]-Table14[[#This Row],[Admission Date]])</f>
        <v>12</v>
      </c>
      <c r="E132" s="6" t="str">
        <f>IF(Table14[[#This Row],[Discharge Date]]="","Still Admitted","Patient Discharged")</f>
        <v>Patient Discharged</v>
      </c>
      <c r="F132" s="6" t="str">
        <f>IF(WEEKDAY(Table14[[#This Row],[Admission Date]],2)&gt;5,"Weekend","Weekday")</f>
        <v>Weekend</v>
      </c>
      <c r="G132" t="s">
        <v>12</v>
      </c>
      <c r="H132">
        <v>94</v>
      </c>
      <c r="I132" t="str" cm="1">
        <f t="array" ref="I132">_xlfn.IFS(Table14[[#This Row],[Age]]&lt;18,"Children",Table14[[#This Row],[Age]]&lt;50,"Adult",Table14[[#This Row],[Age]]&gt;=50,"Elderly")</f>
        <v>Elderly</v>
      </c>
      <c r="J132" t="s">
        <v>546</v>
      </c>
      <c r="K132" s="7">
        <v>123020</v>
      </c>
      <c r="L132" s="2" t="str" cm="1">
        <f t="array" ref="L132">_xlfn.IFS(Table14[[#This Row],[Treatment Cost]]&lt;50000,"Low Billing",Table14[[#This Row],[Treatment Cost]]&lt;200000,"Moderate Billing",Table14[[#This Row],[Treatment Cost]]&gt;=200000,"High Billing")</f>
        <v>Moderate Billing</v>
      </c>
      <c r="M132" t="s">
        <v>8</v>
      </c>
      <c r="N132" t="str">
        <f>IF(AND(Table14[[#This Row],[Outcome]]="Follow-up",Table14[[#This Row],[Admission Status]]="Patient Discharged"),"High Risk Patient","Low Risk Patient")</f>
        <v>High Risk Patient</v>
      </c>
      <c r="O132" t="str">
        <f>IFERROR(VLOOKUP(Table14[[#This Row],[Department]],Doctor_Info!A:D,2,FALSE), "")</f>
        <v>Dr. Temi</v>
      </c>
      <c r="P132" t="str">
        <f>IF(COUNTIF(A:A,Table14[[#This Row],[Patient ID]]&gt;1),"Returning Patient","New Patient")</f>
        <v>New Patient</v>
      </c>
      <c r="Q132" t="str">
        <f>_xlfn.XLOOKUP(Table14[[#This Row],[Department]], Doctor_Info!A:A, Doctor_Info!C:C, "")&amp;""</f>
        <v>502</v>
      </c>
      <c r="R132" t="str">
        <f>TEXT(Table14[[#This Row],[Admission Date]],"ddd")</f>
        <v>Sat</v>
      </c>
      <c r="S132" t="str">
        <f>TEXT(Table14[[#This Row],[Admission Date]],"mmm")</f>
        <v>Feb</v>
      </c>
      <c r="T132" t="str">
        <f>TEXT(Table14[[#This Row],[Admission Date]],"yyyy")</f>
        <v>2024</v>
      </c>
      <c r="U132" t="str">
        <f>TEXT(Table14[[#This Row],[Admission Date]],"mmm-yyyy")</f>
        <v>Feb-2024</v>
      </c>
      <c r="V132">
        <f t="shared" ca="1" si="2"/>
        <v>8</v>
      </c>
    </row>
    <row r="133" spans="1:22" x14ac:dyDescent="0.2">
      <c r="A133" t="s">
        <v>146</v>
      </c>
      <c r="B133" s="3">
        <v>45327</v>
      </c>
      <c r="C133" s="3">
        <v>45328</v>
      </c>
      <c r="D133">
        <f ca="1">IF(ISBLANK(Table14[[#This Row],[Discharge Date]]),TODAY()-Table14[[#This Row],[Admission Date]], Table14[[#This Row],[Discharge Date]]-Table14[[#This Row],[Admission Date]])</f>
        <v>1</v>
      </c>
      <c r="E133" s="6" t="str">
        <f>IF(Table14[[#This Row],[Discharge Date]]="","Still Admitted","Patient Discharged")</f>
        <v>Patient Discharged</v>
      </c>
      <c r="F133" s="6" t="str">
        <f>IF(WEEKDAY(Table14[[#This Row],[Admission Date]],2)&gt;5,"Weekend","Weekday")</f>
        <v>Weekday</v>
      </c>
      <c r="G133" t="s">
        <v>528</v>
      </c>
      <c r="H133">
        <v>96</v>
      </c>
      <c r="I133" t="str" cm="1">
        <f t="array" ref="I133">_xlfn.IFS(Table14[[#This Row],[Age]]&lt;18,"Children",Table14[[#This Row],[Age]]&lt;50,"Adult",Table14[[#This Row],[Age]]&gt;=50,"Elderly")</f>
        <v>Elderly</v>
      </c>
      <c r="J133" t="s">
        <v>547</v>
      </c>
      <c r="K133" s="7">
        <v>123990</v>
      </c>
      <c r="L133" s="2" t="str" cm="1">
        <f t="array" ref="L133">_xlfn.IFS(Table14[[#This Row],[Treatment Cost]]&lt;50000,"Low Billing",Table14[[#This Row],[Treatment Cost]]&lt;200000,"Moderate Billing",Table14[[#This Row],[Treatment Cost]]&gt;=200000,"High Billing")</f>
        <v>Moderate Billing</v>
      </c>
      <c r="M133" t="s">
        <v>6</v>
      </c>
      <c r="N133" t="str">
        <f>IF(AND(Table14[[#This Row],[Outcome]]="Follow-up",Table14[[#This Row],[Admission Status]]="Patient Discharged"),"High Risk Patient","Low Risk Patient")</f>
        <v>Low Risk Patient</v>
      </c>
      <c r="O133" t="str">
        <f>IFERROR(VLOOKUP(Table14[[#This Row],[Department]],Doctor_Info!A:D,2,FALSE), "")</f>
        <v>Dr. Kofi</v>
      </c>
      <c r="P133" t="str">
        <f>IF(COUNTIF(A:A,Table14[[#This Row],[Patient ID]]&gt;1),"Returning Patient","New Patient")</f>
        <v>New Patient</v>
      </c>
      <c r="Q133" t="str">
        <f>_xlfn.XLOOKUP(Table14[[#This Row],[Department]], Doctor_Info!A:A, Doctor_Info!C:C, "")&amp;""</f>
        <v>102</v>
      </c>
      <c r="R133" t="str">
        <f>TEXT(Table14[[#This Row],[Admission Date]],"ddd")</f>
        <v>Mon</v>
      </c>
      <c r="S133" t="str">
        <f>TEXT(Table14[[#This Row],[Admission Date]],"mmm")</f>
        <v>Feb</v>
      </c>
      <c r="T133" t="str">
        <f>TEXT(Table14[[#This Row],[Admission Date]],"yyyy")</f>
        <v>2024</v>
      </c>
      <c r="U133" t="str">
        <f>TEXT(Table14[[#This Row],[Admission Date]],"mmm-yyyy")</f>
        <v>Feb-2024</v>
      </c>
      <c r="V133">
        <f t="shared" ca="1" si="2"/>
        <v>8</v>
      </c>
    </row>
    <row r="134" spans="1:22" x14ac:dyDescent="0.2">
      <c r="A134" t="s">
        <v>147</v>
      </c>
      <c r="B134" s="3">
        <v>45332</v>
      </c>
      <c r="D134">
        <f ca="1">IF(ISBLANK(Table14[[#This Row],[Discharge Date]]),TODAY()-Table14[[#This Row],[Admission Date]], Table14[[#This Row],[Discharge Date]]-Table14[[#This Row],[Admission Date]])</f>
        <v>806</v>
      </c>
      <c r="E134" s="6" t="str">
        <f>IF(Table14[[#This Row],[Discharge Date]]="","Still Admitted","Patient Discharged")</f>
        <v>Still Admitted</v>
      </c>
      <c r="F134" s="6" t="str">
        <f>IF(WEEKDAY(Table14[[#This Row],[Admission Date]],2)&gt;5,"Weekend","Weekday")</f>
        <v>Weekend</v>
      </c>
      <c r="G134" t="s">
        <v>10</v>
      </c>
      <c r="H134">
        <v>98</v>
      </c>
      <c r="I134" t="str" cm="1">
        <f t="array" ref="I134">_xlfn.IFS(Table14[[#This Row],[Age]]&lt;18,"Children",Table14[[#This Row],[Age]]&lt;50,"Adult",Table14[[#This Row],[Age]]&gt;=50,"Elderly")</f>
        <v>Elderly</v>
      </c>
      <c r="J134" t="s">
        <v>547</v>
      </c>
      <c r="K134" s="7">
        <v>124960</v>
      </c>
      <c r="L134" s="2" t="str" cm="1">
        <f t="array" ref="L134">_xlfn.IFS(Table14[[#This Row],[Treatment Cost]]&lt;50000,"Low Billing",Table14[[#This Row],[Treatment Cost]]&lt;200000,"Moderate Billing",Table14[[#This Row],[Treatment Cost]]&gt;=200000,"High Billing")</f>
        <v>Moderate Billing</v>
      </c>
      <c r="M134" t="s">
        <v>403</v>
      </c>
      <c r="N134" t="str">
        <f>IF(AND(Table14[[#This Row],[Outcome]]="Follow-up",Table14[[#This Row],[Admission Status]]="Patient Discharged"),"High Risk Patient","Low Risk Patient")</f>
        <v>Low Risk Patient</v>
      </c>
      <c r="O134" t="str">
        <f>IFERROR(VLOOKUP(Table14[[#This Row],[Department]],Doctor_Info!A:D,2,FALSE), "")</f>
        <v>Dr. George</v>
      </c>
      <c r="P134" t="str">
        <f>IF(COUNTIF(A:A,Table14[[#This Row],[Patient ID]]&gt;1),"Returning Patient","New Patient")</f>
        <v>New Patient</v>
      </c>
      <c r="Q134" t="str">
        <f>_xlfn.XLOOKUP(Table14[[#This Row],[Department]], Doctor_Info!A:A, Doctor_Info!C:C, "")&amp;""</f>
        <v>405</v>
      </c>
      <c r="R134" t="str">
        <f>TEXT(Table14[[#This Row],[Admission Date]],"ddd")</f>
        <v>Sat</v>
      </c>
      <c r="S134" t="str">
        <f>TEXT(Table14[[#This Row],[Admission Date]],"mmm")</f>
        <v>Feb</v>
      </c>
      <c r="T134" t="str">
        <f>TEXT(Table14[[#This Row],[Admission Date]],"yyyy")</f>
        <v>2024</v>
      </c>
      <c r="U134" t="str">
        <f>TEXT(Table14[[#This Row],[Admission Date]],"mmm-yyyy")</f>
        <v>Feb-2024</v>
      </c>
      <c r="V134">
        <f t="shared" ca="1" si="2"/>
        <v>8</v>
      </c>
    </row>
    <row r="135" spans="1:22" x14ac:dyDescent="0.2">
      <c r="A135" t="s">
        <v>148</v>
      </c>
      <c r="B135" s="3">
        <v>45319</v>
      </c>
      <c r="C135" s="3">
        <v>45327</v>
      </c>
      <c r="D135">
        <f ca="1">IF(ISBLANK(Table14[[#This Row],[Discharge Date]]),TODAY()-Table14[[#This Row],[Admission Date]], Table14[[#This Row],[Discharge Date]]-Table14[[#This Row],[Admission Date]])</f>
        <v>8</v>
      </c>
      <c r="E135" s="6" t="str">
        <f>IF(Table14[[#This Row],[Discharge Date]]="","Still Admitted","Patient Discharged")</f>
        <v>Patient Discharged</v>
      </c>
      <c r="F135" s="6" t="str">
        <f>IF(WEEKDAY(Table14[[#This Row],[Admission Date]],2)&gt;5,"Weekend","Weekday")</f>
        <v>Weekend</v>
      </c>
      <c r="G135" t="s">
        <v>7</v>
      </c>
      <c r="H135">
        <v>100</v>
      </c>
      <c r="I135" t="str" cm="1">
        <f t="array" ref="I135">_xlfn.IFS(Table14[[#This Row],[Age]]&lt;18,"Children",Table14[[#This Row],[Age]]&lt;50,"Adult",Table14[[#This Row],[Age]]&gt;=50,"Elderly")</f>
        <v>Elderly</v>
      </c>
      <c r="J135" t="s">
        <v>546</v>
      </c>
      <c r="K135" s="7">
        <v>125930</v>
      </c>
      <c r="L135" s="2" t="str" cm="1">
        <f t="array" ref="L135">_xlfn.IFS(Table14[[#This Row],[Treatment Cost]]&lt;50000,"Low Billing",Table14[[#This Row],[Treatment Cost]]&lt;200000,"Moderate Billing",Table14[[#This Row],[Treatment Cost]]&gt;=200000,"High Billing")</f>
        <v>Moderate Billing</v>
      </c>
      <c r="M135" t="s">
        <v>8</v>
      </c>
      <c r="N135" t="str">
        <f>IF(AND(Table14[[#This Row],[Outcome]]="Follow-up",Table14[[#This Row],[Admission Status]]="Patient Discharged"),"High Risk Patient","Low Risk Patient")</f>
        <v>High Risk Patient</v>
      </c>
      <c r="O135" t="str">
        <f>IFERROR(VLOOKUP(Table14[[#This Row],[Department]],Doctor_Info!A:D,2,FALSE), "")</f>
        <v>Dr. Ada</v>
      </c>
      <c r="P135" t="str">
        <f>IF(COUNTIF(A:A,Table14[[#This Row],[Patient ID]]&gt;1),"Returning Patient","New Patient")</f>
        <v>New Patient</v>
      </c>
      <c r="Q135" t="str">
        <f>_xlfn.XLOOKUP(Table14[[#This Row],[Department]], Doctor_Info!A:A, Doctor_Info!C:C, "")&amp;""</f>
        <v>301</v>
      </c>
      <c r="R135" t="str">
        <f>TEXT(Table14[[#This Row],[Admission Date]],"ddd")</f>
        <v>Sun</v>
      </c>
      <c r="S135" t="str">
        <f>TEXT(Table14[[#This Row],[Admission Date]],"mmm")</f>
        <v>Jan</v>
      </c>
      <c r="T135" t="str">
        <f>TEXT(Table14[[#This Row],[Admission Date]],"yyyy")</f>
        <v>2024</v>
      </c>
      <c r="U135" t="str">
        <f>TEXT(Table14[[#This Row],[Admission Date]],"mmm-yyyy")</f>
        <v>Jan-2024</v>
      </c>
      <c r="V135">
        <f t="shared" ca="1" si="2"/>
        <v>8</v>
      </c>
    </row>
    <row r="136" spans="1:22" x14ac:dyDescent="0.2">
      <c r="A136" t="s">
        <v>149</v>
      </c>
      <c r="B136" s="3">
        <v>45323</v>
      </c>
      <c r="C136" s="3">
        <v>45324</v>
      </c>
      <c r="D136">
        <f ca="1">IF(ISBLANK(Table14[[#This Row],[Discharge Date]]),TODAY()-Table14[[#This Row],[Admission Date]], Table14[[#This Row],[Discharge Date]]-Table14[[#This Row],[Admission Date]])</f>
        <v>1</v>
      </c>
      <c r="E136" s="6" t="str">
        <f>IF(Table14[[#This Row],[Discharge Date]]="","Still Admitted","Patient Discharged")</f>
        <v>Patient Discharged</v>
      </c>
      <c r="F136" s="6" t="str">
        <f>IF(WEEKDAY(Table14[[#This Row],[Admission Date]],2)&gt;5,"Weekend","Weekday")</f>
        <v>Weekday</v>
      </c>
      <c r="G136" t="s">
        <v>528</v>
      </c>
      <c r="H136">
        <v>2</v>
      </c>
      <c r="I136" t="str" cm="1">
        <f t="array" ref="I136">_xlfn.IFS(Table14[[#This Row],[Age]]&lt;18,"Children",Table14[[#This Row],[Age]]&lt;50,"Adult",Table14[[#This Row],[Age]]&gt;=50,"Elderly")</f>
        <v>Children</v>
      </c>
      <c r="J136" t="s">
        <v>547</v>
      </c>
      <c r="K136" s="7">
        <v>126900</v>
      </c>
      <c r="L136" s="2" t="str" cm="1">
        <f t="array" ref="L136">_xlfn.IFS(Table14[[#This Row],[Treatment Cost]]&lt;50000,"Low Billing",Table14[[#This Row],[Treatment Cost]]&lt;200000,"Moderate Billing",Table14[[#This Row],[Treatment Cost]]&gt;=200000,"High Billing")</f>
        <v>Moderate Billing</v>
      </c>
      <c r="M136" t="s">
        <v>6</v>
      </c>
      <c r="N136" t="str">
        <f>IF(AND(Table14[[#This Row],[Outcome]]="Follow-up",Table14[[#This Row],[Admission Status]]="Patient Discharged"),"High Risk Patient","Low Risk Patient")</f>
        <v>Low Risk Patient</v>
      </c>
      <c r="O136" t="str">
        <f>IFERROR(VLOOKUP(Table14[[#This Row],[Department]],Doctor_Info!A:D,2,FALSE), "")</f>
        <v>Dr. Kofi</v>
      </c>
      <c r="P136" t="str">
        <f>IF(COUNTIF(A:A,Table14[[#This Row],[Patient ID]]&gt;1),"Returning Patient","New Patient")</f>
        <v>New Patient</v>
      </c>
      <c r="Q136" t="str">
        <f>_xlfn.XLOOKUP(Table14[[#This Row],[Department]], Doctor_Info!A:A, Doctor_Info!C:C, "")&amp;""</f>
        <v>102</v>
      </c>
      <c r="R136" t="str">
        <f>TEXT(Table14[[#This Row],[Admission Date]],"ddd")</f>
        <v>Thu</v>
      </c>
      <c r="S136" t="str">
        <f>TEXT(Table14[[#This Row],[Admission Date]],"mmm")</f>
        <v>Feb</v>
      </c>
      <c r="T136" t="str">
        <f>TEXT(Table14[[#This Row],[Admission Date]],"yyyy")</f>
        <v>2024</v>
      </c>
      <c r="U136" t="str">
        <f>TEXT(Table14[[#This Row],[Admission Date]],"mmm-yyyy")</f>
        <v>Feb-2024</v>
      </c>
      <c r="V136">
        <f t="shared" ca="1" si="2"/>
        <v>8</v>
      </c>
    </row>
    <row r="137" spans="1:22" x14ac:dyDescent="0.2">
      <c r="A137" t="s">
        <v>150</v>
      </c>
      <c r="B137" s="3">
        <v>45325</v>
      </c>
      <c r="C137" s="3">
        <v>45337</v>
      </c>
      <c r="D137">
        <f ca="1">IF(ISBLANK(Table14[[#This Row],[Discharge Date]]),TODAY()-Table14[[#This Row],[Admission Date]], Table14[[#This Row],[Discharge Date]]-Table14[[#This Row],[Admission Date]])</f>
        <v>12</v>
      </c>
      <c r="E137" s="6" t="str">
        <f>IF(Table14[[#This Row],[Discharge Date]]="","Still Admitted","Patient Discharged")</f>
        <v>Patient Discharged</v>
      </c>
      <c r="F137" s="6" t="str">
        <f>IF(WEEKDAY(Table14[[#This Row],[Admission Date]],2)&gt;5,"Weekend","Weekday")</f>
        <v>Weekend</v>
      </c>
      <c r="G137" t="s">
        <v>12</v>
      </c>
      <c r="H137">
        <v>4</v>
      </c>
      <c r="I137" t="str" cm="1">
        <f t="array" ref="I137">_xlfn.IFS(Table14[[#This Row],[Age]]&lt;18,"Children",Table14[[#This Row],[Age]]&lt;50,"Adult",Table14[[#This Row],[Age]]&gt;=50,"Elderly")</f>
        <v>Children</v>
      </c>
      <c r="J137" t="s">
        <v>546</v>
      </c>
      <c r="K137" s="7">
        <v>127870</v>
      </c>
      <c r="L137" s="2" t="str" cm="1">
        <f t="array" ref="L137">_xlfn.IFS(Table14[[#This Row],[Treatment Cost]]&lt;50000,"Low Billing",Table14[[#This Row],[Treatment Cost]]&lt;200000,"Moderate Billing",Table14[[#This Row],[Treatment Cost]]&gt;=200000,"High Billing")</f>
        <v>Moderate Billing</v>
      </c>
      <c r="M137" t="s">
        <v>8</v>
      </c>
      <c r="N137" t="str">
        <f>IF(AND(Table14[[#This Row],[Outcome]]="Follow-up",Table14[[#This Row],[Admission Status]]="Patient Discharged"),"High Risk Patient","Low Risk Patient")</f>
        <v>High Risk Patient</v>
      </c>
      <c r="O137" t="str">
        <f>IFERROR(VLOOKUP(Table14[[#This Row],[Department]],Doctor_Info!A:D,2,FALSE), "")</f>
        <v>Dr. Temi</v>
      </c>
      <c r="P137" t="str">
        <f>IF(COUNTIF(A:A,Table14[[#This Row],[Patient ID]]&gt;1),"Returning Patient","New Patient")</f>
        <v>New Patient</v>
      </c>
      <c r="Q137" t="str">
        <f>_xlfn.XLOOKUP(Table14[[#This Row],[Department]], Doctor_Info!A:A, Doctor_Info!C:C, "")&amp;""</f>
        <v>502</v>
      </c>
      <c r="R137" t="str">
        <f>TEXT(Table14[[#This Row],[Admission Date]],"ddd")</f>
        <v>Sat</v>
      </c>
      <c r="S137" t="str">
        <f>TEXT(Table14[[#This Row],[Admission Date]],"mmm")</f>
        <v>Feb</v>
      </c>
      <c r="T137" t="str">
        <f>TEXT(Table14[[#This Row],[Admission Date]],"yyyy")</f>
        <v>2024</v>
      </c>
      <c r="U137" t="str">
        <f>TEXT(Table14[[#This Row],[Admission Date]],"mmm-yyyy")</f>
        <v>Feb-2024</v>
      </c>
      <c r="V137">
        <f t="shared" ca="1" si="2"/>
        <v>8</v>
      </c>
    </row>
    <row r="138" spans="1:22" x14ac:dyDescent="0.2">
      <c r="A138" t="s">
        <v>151</v>
      </c>
      <c r="B138" s="3">
        <v>45327</v>
      </c>
      <c r="C138" s="3">
        <v>45328</v>
      </c>
      <c r="D138">
        <f ca="1">IF(ISBLANK(Table14[[#This Row],[Discharge Date]]),TODAY()-Table14[[#This Row],[Admission Date]], Table14[[#This Row],[Discharge Date]]-Table14[[#This Row],[Admission Date]])</f>
        <v>1</v>
      </c>
      <c r="E138" s="6" t="str">
        <f>IF(Table14[[#This Row],[Discharge Date]]="","Still Admitted","Patient Discharged")</f>
        <v>Patient Discharged</v>
      </c>
      <c r="F138" s="6" t="str">
        <f>IF(WEEKDAY(Table14[[#This Row],[Admission Date]],2)&gt;5,"Weekend","Weekday")</f>
        <v>Weekday</v>
      </c>
      <c r="G138" t="s">
        <v>528</v>
      </c>
      <c r="H138">
        <v>6</v>
      </c>
      <c r="I138" t="str" cm="1">
        <f t="array" ref="I138">_xlfn.IFS(Table14[[#This Row],[Age]]&lt;18,"Children",Table14[[#This Row],[Age]]&lt;50,"Adult",Table14[[#This Row],[Age]]&gt;=50,"Elderly")</f>
        <v>Children</v>
      </c>
      <c r="J138" t="s">
        <v>547</v>
      </c>
      <c r="K138" s="7">
        <v>128840</v>
      </c>
      <c r="L138" s="2" t="str" cm="1">
        <f t="array" ref="L138">_xlfn.IFS(Table14[[#This Row],[Treatment Cost]]&lt;50000,"Low Billing",Table14[[#This Row],[Treatment Cost]]&lt;200000,"Moderate Billing",Table14[[#This Row],[Treatment Cost]]&gt;=200000,"High Billing")</f>
        <v>Moderate Billing</v>
      </c>
      <c r="M138" t="s">
        <v>6</v>
      </c>
      <c r="N138" t="str">
        <f>IF(AND(Table14[[#This Row],[Outcome]]="Follow-up",Table14[[#This Row],[Admission Status]]="Patient Discharged"),"High Risk Patient","Low Risk Patient")</f>
        <v>Low Risk Patient</v>
      </c>
      <c r="O138" t="str">
        <f>IFERROR(VLOOKUP(Table14[[#This Row],[Department]],Doctor_Info!A:D,2,FALSE), "")</f>
        <v>Dr. Kofi</v>
      </c>
      <c r="P138" t="str">
        <f>IF(COUNTIF(A:A,Table14[[#This Row],[Patient ID]]&gt;1),"Returning Patient","New Patient")</f>
        <v>New Patient</v>
      </c>
      <c r="Q138" t="str">
        <f>_xlfn.XLOOKUP(Table14[[#This Row],[Department]], Doctor_Info!A:A, Doctor_Info!C:C, "")&amp;""</f>
        <v>102</v>
      </c>
      <c r="R138" t="str">
        <f>TEXT(Table14[[#This Row],[Admission Date]],"ddd")</f>
        <v>Mon</v>
      </c>
      <c r="S138" t="str">
        <f>TEXT(Table14[[#This Row],[Admission Date]],"mmm")</f>
        <v>Feb</v>
      </c>
      <c r="T138" t="str">
        <f>TEXT(Table14[[#This Row],[Admission Date]],"yyyy")</f>
        <v>2024</v>
      </c>
      <c r="U138" t="str">
        <f>TEXT(Table14[[#This Row],[Admission Date]],"mmm-yyyy")</f>
        <v>Feb-2024</v>
      </c>
      <c r="V138">
        <f t="shared" ca="1" si="2"/>
        <v>8</v>
      </c>
    </row>
    <row r="139" spans="1:22" x14ac:dyDescent="0.2">
      <c r="A139" t="s">
        <v>152</v>
      </c>
      <c r="B139" s="3">
        <v>45332</v>
      </c>
      <c r="D139">
        <f ca="1">IF(ISBLANK(Table14[[#This Row],[Discharge Date]]),TODAY()-Table14[[#This Row],[Admission Date]], Table14[[#This Row],[Discharge Date]]-Table14[[#This Row],[Admission Date]])</f>
        <v>806</v>
      </c>
      <c r="E139" s="6" t="str">
        <f>IF(Table14[[#This Row],[Discharge Date]]="","Still Admitted","Patient Discharged")</f>
        <v>Still Admitted</v>
      </c>
      <c r="F139" s="6" t="str">
        <f>IF(WEEKDAY(Table14[[#This Row],[Admission Date]],2)&gt;5,"Weekend","Weekday")</f>
        <v>Weekend</v>
      </c>
      <c r="G139" t="s">
        <v>10</v>
      </c>
      <c r="H139">
        <v>8</v>
      </c>
      <c r="I139" t="str" cm="1">
        <f t="array" ref="I139">_xlfn.IFS(Table14[[#This Row],[Age]]&lt;18,"Children",Table14[[#This Row],[Age]]&lt;50,"Adult",Table14[[#This Row],[Age]]&gt;=50,"Elderly")</f>
        <v>Children</v>
      </c>
      <c r="J139" t="s">
        <v>547</v>
      </c>
      <c r="K139" s="7">
        <v>129810</v>
      </c>
      <c r="L139" s="2" t="str" cm="1">
        <f t="array" ref="L139">_xlfn.IFS(Table14[[#This Row],[Treatment Cost]]&lt;50000,"Low Billing",Table14[[#This Row],[Treatment Cost]]&lt;200000,"Moderate Billing",Table14[[#This Row],[Treatment Cost]]&gt;=200000,"High Billing")</f>
        <v>Moderate Billing</v>
      </c>
      <c r="M139" t="s">
        <v>403</v>
      </c>
      <c r="N139" t="str">
        <f>IF(AND(Table14[[#This Row],[Outcome]]="Follow-up",Table14[[#This Row],[Admission Status]]="Patient Discharged"),"High Risk Patient","Low Risk Patient")</f>
        <v>Low Risk Patient</v>
      </c>
      <c r="O139" t="str">
        <f>IFERROR(VLOOKUP(Table14[[#This Row],[Department]],Doctor_Info!A:D,2,FALSE), "")</f>
        <v>Dr. George</v>
      </c>
      <c r="P139" t="str">
        <f>IF(COUNTIF(A:A,Table14[[#This Row],[Patient ID]]&gt;1),"Returning Patient","New Patient")</f>
        <v>New Patient</v>
      </c>
      <c r="Q139" t="str">
        <f>_xlfn.XLOOKUP(Table14[[#This Row],[Department]], Doctor_Info!A:A, Doctor_Info!C:C, "")&amp;""</f>
        <v>405</v>
      </c>
      <c r="R139" t="str">
        <f>TEXT(Table14[[#This Row],[Admission Date]],"ddd")</f>
        <v>Sat</v>
      </c>
      <c r="S139" t="str">
        <f>TEXT(Table14[[#This Row],[Admission Date]],"mmm")</f>
        <v>Feb</v>
      </c>
      <c r="T139" t="str">
        <f>TEXT(Table14[[#This Row],[Admission Date]],"yyyy")</f>
        <v>2024</v>
      </c>
      <c r="U139" t="str">
        <f>TEXT(Table14[[#This Row],[Admission Date]],"mmm-yyyy")</f>
        <v>Feb-2024</v>
      </c>
      <c r="V139">
        <f t="shared" ca="1" si="2"/>
        <v>8</v>
      </c>
    </row>
    <row r="140" spans="1:22" x14ac:dyDescent="0.2">
      <c r="A140" t="s">
        <v>153</v>
      </c>
      <c r="B140" s="3">
        <v>45319</v>
      </c>
      <c r="C140" s="3">
        <v>45327</v>
      </c>
      <c r="D140">
        <f ca="1">IF(ISBLANK(Table14[[#This Row],[Discharge Date]]),TODAY()-Table14[[#This Row],[Admission Date]], Table14[[#This Row],[Discharge Date]]-Table14[[#This Row],[Admission Date]])</f>
        <v>8</v>
      </c>
      <c r="E140" s="6" t="str">
        <f>IF(Table14[[#This Row],[Discharge Date]]="","Still Admitted","Patient Discharged")</f>
        <v>Patient Discharged</v>
      </c>
      <c r="F140" s="6" t="str">
        <f>IF(WEEKDAY(Table14[[#This Row],[Admission Date]],2)&gt;5,"Weekend","Weekday")</f>
        <v>Weekend</v>
      </c>
      <c r="G140" t="s">
        <v>7</v>
      </c>
      <c r="H140">
        <v>10</v>
      </c>
      <c r="I140" t="str" cm="1">
        <f t="array" ref="I140">_xlfn.IFS(Table14[[#This Row],[Age]]&lt;18,"Children",Table14[[#This Row],[Age]]&lt;50,"Adult",Table14[[#This Row],[Age]]&gt;=50,"Elderly")</f>
        <v>Children</v>
      </c>
      <c r="J140" t="s">
        <v>546</v>
      </c>
      <c r="K140" s="7">
        <v>130780</v>
      </c>
      <c r="L140" s="2" t="str" cm="1">
        <f t="array" ref="L140">_xlfn.IFS(Table14[[#This Row],[Treatment Cost]]&lt;50000,"Low Billing",Table14[[#This Row],[Treatment Cost]]&lt;200000,"Moderate Billing",Table14[[#This Row],[Treatment Cost]]&gt;=200000,"High Billing")</f>
        <v>Moderate Billing</v>
      </c>
      <c r="M140" t="s">
        <v>8</v>
      </c>
      <c r="N140" t="str">
        <f>IF(AND(Table14[[#This Row],[Outcome]]="Follow-up",Table14[[#This Row],[Admission Status]]="Patient Discharged"),"High Risk Patient","Low Risk Patient")</f>
        <v>High Risk Patient</v>
      </c>
      <c r="O140" t="str">
        <f>IFERROR(VLOOKUP(Table14[[#This Row],[Department]],Doctor_Info!A:D,2,FALSE), "")</f>
        <v>Dr. Ada</v>
      </c>
      <c r="P140" t="str">
        <f>IF(COUNTIF(A:A,Table14[[#This Row],[Patient ID]]&gt;1),"Returning Patient","New Patient")</f>
        <v>New Patient</v>
      </c>
      <c r="Q140" t="str">
        <f>_xlfn.XLOOKUP(Table14[[#This Row],[Department]], Doctor_Info!A:A, Doctor_Info!C:C, "")&amp;""</f>
        <v>301</v>
      </c>
      <c r="R140" t="str">
        <f>TEXT(Table14[[#This Row],[Admission Date]],"ddd")</f>
        <v>Sun</v>
      </c>
      <c r="S140" t="str">
        <f>TEXT(Table14[[#This Row],[Admission Date]],"mmm")</f>
        <v>Jan</v>
      </c>
      <c r="T140" t="str">
        <f>TEXT(Table14[[#This Row],[Admission Date]],"yyyy")</f>
        <v>2024</v>
      </c>
      <c r="U140" t="str">
        <f>TEXT(Table14[[#This Row],[Admission Date]],"mmm-yyyy")</f>
        <v>Jan-2024</v>
      </c>
      <c r="V140">
        <f t="shared" ca="1" si="2"/>
        <v>8</v>
      </c>
    </row>
    <row r="141" spans="1:22" x14ac:dyDescent="0.2">
      <c r="A141" t="s">
        <v>154</v>
      </c>
      <c r="B141" s="3">
        <v>45323</v>
      </c>
      <c r="C141" s="3">
        <v>45324</v>
      </c>
      <c r="D141">
        <f ca="1">IF(ISBLANK(Table14[[#This Row],[Discharge Date]]),TODAY()-Table14[[#This Row],[Admission Date]], Table14[[#This Row],[Discharge Date]]-Table14[[#This Row],[Admission Date]])</f>
        <v>1</v>
      </c>
      <c r="E141" s="6" t="str">
        <f>IF(Table14[[#This Row],[Discharge Date]]="","Still Admitted","Patient Discharged")</f>
        <v>Patient Discharged</v>
      </c>
      <c r="F141" s="6" t="str">
        <f>IF(WEEKDAY(Table14[[#This Row],[Admission Date]],2)&gt;5,"Weekend","Weekday")</f>
        <v>Weekday</v>
      </c>
      <c r="G141" t="s">
        <v>528</v>
      </c>
      <c r="H141">
        <v>12</v>
      </c>
      <c r="I141" t="str" cm="1">
        <f t="array" ref="I141">_xlfn.IFS(Table14[[#This Row],[Age]]&lt;18,"Children",Table14[[#This Row],[Age]]&lt;50,"Adult",Table14[[#This Row],[Age]]&gt;=50,"Elderly")</f>
        <v>Children</v>
      </c>
      <c r="J141" t="s">
        <v>547</v>
      </c>
      <c r="K141" s="7">
        <v>131750</v>
      </c>
      <c r="L141" s="2" t="str" cm="1">
        <f t="array" ref="L141">_xlfn.IFS(Table14[[#This Row],[Treatment Cost]]&lt;50000,"Low Billing",Table14[[#This Row],[Treatment Cost]]&lt;200000,"Moderate Billing",Table14[[#This Row],[Treatment Cost]]&gt;=200000,"High Billing")</f>
        <v>Moderate Billing</v>
      </c>
      <c r="M141" t="s">
        <v>6</v>
      </c>
      <c r="N141" t="str">
        <f>IF(AND(Table14[[#This Row],[Outcome]]="Follow-up",Table14[[#This Row],[Admission Status]]="Patient Discharged"),"High Risk Patient","Low Risk Patient")</f>
        <v>Low Risk Patient</v>
      </c>
      <c r="O141" t="str">
        <f>IFERROR(VLOOKUP(Table14[[#This Row],[Department]],Doctor_Info!A:D,2,FALSE), "")</f>
        <v>Dr. Kofi</v>
      </c>
      <c r="P141" t="str">
        <f>IF(COUNTIF(A:A,Table14[[#This Row],[Patient ID]]&gt;1),"Returning Patient","New Patient")</f>
        <v>New Patient</v>
      </c>
      <c r="Q141" t="str">
        <f>_xlfn.XLOOKUP(Table14[[#This Row],[Department]], Doctor_Info!A:A, Doctor_Info!C:C, "")&amp;""</f>
        <v>102</v>
      </c>
      <c r="R141" t="str">
        <f>TEXT(Table14[[#This Row],[Admission Date]],"ddd")</f>
        <v>Thu</v>
      </c>
      <c r="S141" t="str">
        <f>TEXT(Table14[[#This Row],[Admission Date]],"mmm")</f>
        <v>Feb</v>
      </c>
      <c r="T141" t="str">
        <f>TEXT(Table14[[#This Row],[Admission Date]],"yyyy")</f>
        <v>2024</v>
      </c>
      <c r="U141" t="str">
        <f>TEXT(Table14[[#This Row],[Admission Date]],"mmm-yyyy")</f>
        <v>Feb-2024</v>
      </c>
      <c r="V141">
        <f t="shared" ca="1" si="2"/>
        <v>8</v>
      </c>
    </row>
    <row r="142" spans="1:22" x14ac:dyDescent="0.2">
      <c r="A142" t="s">
        <v>155</v>
      </c>
      <c r="B142" s="3">
        <v>45325</v>
      </c>
      <c r="C142" s="3">
        <v>45337</v>
      </c>
      <c r="D142">
        <f ca="1">IF(ISBLANK(Table14[[#This Row],[Discharge Date]]),TODAY()-Table14[[#This Row],[Admission Date]], Table14[[#This Row],[Discharge Date]]-Table14[[#This Row],[Admission Date]])</f>
        <v>12</v>
      </c>
      <c r="E142" s="6" t="str">
        <f>IF(Table14[[#This Row],[Discharge Date]]="","Still Admitted","Patient Discharged")</f>
        <v>Patient Discharged</v>
      </c>
      <c r="F142" s="6" t="str">
        <f>IF(WEEKDAY(Table14[[#This Row],[Admission Date]],2)&gt;5,"Weekend","Weekday")</f>
        <v>Weekend</v>
      </c>
      <c r="G142" t="s">
        <v>12</v>
      </c>
      <c r="H142">
        <v>14</v>
      </c>
      <c r="I142" t="str" cm="1">
        <f t="array" ref="I142">_xlfn.IFS(Table14[[#This Row],[Age]]&lt;18,"Children",Table14[[#This Row],[Age]]&lt;50,"Adult",Table14[[#This Row],[Age]]&gt;=50,"Elderly")</f>
        <v>Children</v>
      </c>
      <c r="J142" t="s">
        <v>546</v>
      </c>
      <c r="K142" s="7">
        <v>132720</v>
      </c>
      <c r="L142" s="2" t="str" cm="1">
        <f t="array" ref="L142">_xlfn.IFS(Table14[[#This Row],[Treatment Cost]]&lt;50000,"Low Billing",Table14[[#This Row],[Treatment Cost]]&lt;200000,"Moderate Billing",Table14[[#This Row],[Treatment Cost]]&gt;=200000,"High Billing")</f>
        <v>Moderate Billing</v>
      </c>
      <c r="M142" t="s">
        <v>8</v>
      </c>
      <c r="N142" t="str">
        <f>IF(AND(Table14[[#This Row],[Outcome]]="Follow-up",Table14[[#This Row],[Admission Status]]="Patient Discharged"),"High Risk Patient","Low Risk Patient")</f>
        <v>High Risk Patient</v>
      </c>
      <c r="O142" t="str">
        <f>IFERROR(VLOOKUP(Table14[[#This Row],[Department]],Doctor_Info!A:D,2,FALSE), "")</f>
        <v>Dr. Temi</v>
      </c>
      <c r="P142" t="str">
        <f>IF(COUNTIF(A:A,Table14[[#This Row],[Patient ID]]&gt;1),"Returning Patient","New Patient")</f>
        <v>New Patient</v>
      </c>
      <c r="Q142" t="str">
        <f>_xlfn.XLOOKUP(Table14[[#This Row],[Department]], Doctor_Info!A:A, Doctor_Info!C:C, "")&amp;""</f>
        <v>502</v>
      </c>
      <c r="R142" t="str">
        <f>TEXT(Table14[[#This Row],[Admission Date]],"ddd")</f>
        <v>Sat</v>
      </c>
      <c r="S142" t="str">
        <f>TEXT(Table14[[#This Row],[Admission Date]],"mmm")</f>
        <v>Feb</v>
      </c>
      <c r="T142" t="str">
        <f>TEXT(Table14[[#This Row],[Admission Date]],"yyyy")</f>
        <v>2024</v>
      </c>
      <c r="U142" t="str">
        <f>TEXT(Table14[[#This Row],[Admission Date]],"mmm-yyyy")</f>
        <v>Feb-2024</v>
      </c>
      <c r="V142">
        <f t="shared" ca="1" si="2"/>
        <v>8</v>
      </c>
    </row>
    <row r="143" spans="1:22" x14ac:dyDescent="0.2">
      <c r="A143" t="s">
        <v>156</v>
      </c>
      <c r="B143" s="3">
        <v>45327</v>
      </c>
      <c r="C143" s="3">
        <v>45328</v>
      </c>
      <c r="D143">
        <f ca="1">IF(ISBLANK(Table14[[#This Row],[Discharge Date]]),TODAY()-Table14[[#This Row],[Admission Date]], Table14[[#This Row],[Discharge Date]]-Table14[[#This Row],[Admission Date]])</f>
        <v>1</v>
      </c>
      <c r="E143" s="6" t="str">
        <f>IF(Table14[[#This Row],[Discharge Date]]="","Still Admitted","Patient Discharged")</f>
        <v>Patient Discharged</v>
      </c>
      <c r="F143" s="6" t="str">
        <f>IF(WEEKDAY(Table14[[#This Row],[Admission Date]],2)&gt;5,"Weekend","Weekday")</f>
        <v>Weekday</v>
      </c>
      <c r="G143" t="s">
        <v>528</v>
      </c>
      <c r="H143">
        <v>16</v>
      </c>
      <c r="I143" t="str" cm="1">
        <f t="array" ref="I143">_xlfn.IFS(Table14[[#This Row],[Age]]&lt;18,"Children",Table14[[#This Row],[Age]]&lt;50,"Adult",Table14[[#This Row],[Age]]&gt;=50,"Elderly")</f>
        <v>Children</v>
      </c>
      <c r="J143" t="s">
        <v>547</v>
      </c>
      <c r="K143" s="7">
        <v>133690</v>
      </c>
      <c r="L143" s="2" t="str" cm="1">
        <f t="array" ref="L143">_xlfn.IFS(Table14[[#This Row],[Treatment Cost]]&lt;50000,"Low Billing",Table14[[#This Row],[Treatment Cost]]&lt;200000,"Moderate Billing",Table14[[#This Row],[Treatment Cost]]&gt;=200000,"High Billing")</f>
        <v>Moderate Billing</v>
      </c>
      <c r="M143" t="s">
        <v>6</v>
      </c>
      <c r="N143" t="str">
        <f>IF(AND(Table14[[#This Row],[Outcome]]="Follow-up",Table14[[#This Row],[Admission Status]]="Patient Discharged"),"High Risk Patient","Low Risk Patient")</f>
        <v>Low Risk Patient</v>
      </c>
      <c r="O143" t="str">
        <f>IFERROR(VLOOKUP(Table14[[#This Row],[Department]],Doctor_Info!A:D,2,FALSE), "")</f>
        <v>Dr. Kofi</v>
      </c>
      <c r="P143" t="str">
        <f>IF(COUNTIF(A:A,Table14[[#This Row],[Patient ID]]&gt;1),"Returning Patient","New Patient")</f>
        <v>New Patient</v>
      </c>
      <c r="Q143" t="str">
        <f>_xlfn.XLOOKUP(Table14[[#This Row],[Department]], Doctor_Info!A:A, Doctor_Info!C:C, "")&amp;""</f>
        <v>102</v>
      </c>
      <c r="R143" t="str">
        <f>TEXT(Table14[[#This Row],[Admission Date]],"ddd")</f>
        <v>Mon</v>
      </c>
      <c r="S143" t="str">
        <f>TEXT(Table14[[#This Row],[Admission Date]],"mmm")</f>
        <v>Feb</v>
      </c>
      <c r="T143" t="str">
        <f>TEXT(Table14[[#This Row],[Admission Date]],"yyyy")</f>
        <v>2024</v>
      </c>
      <c r="U143" t="str">
        <f>TEXT(Table14[[#This Row],[Admission Date]],"mmm-yyyy")</f>
        <v>Feb-2024</v>
      </c>
      <c r="V143">
        <f t="shared" ca="1" si="2"/>
        <v>8</v>
      </c>
    </row>
    <row r="144" spans="1:22" x14ac:dyDescent="0.2">
      <c r="A144" t="s">
        <v>157</v>
      </c>
      <c r="B144" s="3">
        <v>45332</v>
      </c>
      <c r="D144">
        <f ca="1">IF(ISBLANK(Table14[[#This Row],[Discharge Date]]),TODAY()-Table14[[#This Row],[Admission Date]], Table14[[#This Row],[Discharge Date]]-Table14[[#This Row],[Admission Date]])</f>
        <v>806</v>
      </c>
      <c r="E144" s="6" t="str">
        <f>IF(Table14[[#This Row],[Discharge Date]]="","Still Admitted","Patient Discharged")</f>
        <v>Still Admitted</v>
      </c>
      <c r="F144" s="6" t="str">
        <f>IF(WEEKDAY(Table14[[#This Row],[Admission Date]],2)&gt;5,"Weekend","Weekday")</f>
        <v>Weekend</v>
      </c>
      <c r="G144" t="s">
        <v>10</v>
      </c>
      <c r="H144">
        <v>18</v>
      </c>
      <c r="I144" t="str" cm="1">
        <f t="array" ref="I144">_xlfn.IFS(Table14[[#This Row],[Age]]&lt;18,"Children",Table14[[#This Row],[Age]]&lt;50,"Adult",Table14[[#This Row],[Age]]&gt;=50,"Elderly")</f>
        <v>Adult</v>
      </c>
      <c r="J144" t="s">
        <v>547</v>
      </c>
      <c r="K144" s="7">
        <v>134660</v>
      </c>
      <c r="L144" s="2" t="str" cm="1">
        <f t="array" ref="L144">_xlfn.IFS(Table14[[#This Row],[Treatment Cost]]&lt;50000,"Low Billing",Table14[[#This Row],[Treatment Cost]]&lt;200000,"Moderate Billing",Table14[[#This Row],[Treatment Cost]]&gt;=200000,"High Billing")</f>
        <v>Moderate Billing</v>
      </c>
      <c r="M144" t="s">
        <v>403</v>
      </c>
      <c r="N144" t="str">
        <f>IF(AND(Table14[[#This Row],[Outcome]]="Follow-up",Table14[[#This Row],[Admission Status]]="Patient Discharged"),"High Risk Patient","Low Risk Patient")</f>
        <v>Low Risk Patient</v>
      </c>
      <c r="O144" t="str">
        <f>IFERROR(VLOOKUP(Table14[[#This Row],[Department]],Doctor_Info!A:D,2,FALSE), "")</f>
        <v>Dr. George</v>
      </c>
      <c r="P144" t="str">
        <f>IF(COUNTIF(A:A,Table14[[#This Row],[Patient ID]]&gt;1),"Returning Patient","New Patient")</f>
        <v>New Patient</v>
      </c>
      <c r="Q144" t="str">
        <f>_xlfn.XLOOKUP(Table14[[#This Row],[Department]], Doctor_Info!A:A, Doctor_Info!C:C, "")&amp;""</f>
        <v>405</v>
      </c>
      <c r="R144" t="str">
        <f>TEXT(Table14[[#This Row],[Admission Date]],"ddd")</f>
        <v>Sat</v>
      </c>
      <c r="S144" t="str">
        <f>TEXT(Table14[[#This Row],[Admission Date]],"mmm")</f>
        <v>Feb</v>
      </c>
      <c r="T144" t="str">
        <f>TEXT(Table14[[#This Row],[Admission Date]],"yyyy")</f>
        <v>2024</v>
      </c>
      <c r="U144" t="str">
        <f>TEXT(Table14[[#This Row],[Admission Date]],"mmm-yyyy")</f>
        <v>Feb-2024</v>
      </c>
      <c r="V144">
        <f t="shared" ca="1" si="2"/>
        <v>8</v>
      </c>
    </row>
    <row r="145" spans="1:22" x14ac:dyDescent="0.2">
      <c r="A145" t="s">
        <v>158</v>
      </c>
      <c r="B145" s="3">
        <v>45319</v>
      </c>
      <c r="C145" s="3">
        <v>45327</v>
      </c>
      <c r="D145">
        <f ca="1">IF(ISBLANK(Table14[[#This Row],[Discharge Date]]),TODAY()-Table14[[#This Row],[Admission Date]], Table14[[#This Row],[Discharge Date]]-Table14[[#This Row],[Admission Date]])</f>
        <v>8</v>
      </c>
      <c r="E145" s="6" t="str">
        <f>IF(Table14[[#This Row],[Discharge Date]]="","Still Admitted","Patient Discharged")</f>
        <v>Patient Discharged</v>
      </c>
      <c r="F145" s="6" t="str">
        <f>IF(WEEKDAY(Table14[[#This Row],[Admission Date]],2)&gt;5,"Weekend","Weekday")</f>
        <v>Weekend</v>
      </c>
      <c r="G145" t="s">
        <v>7</v>
      </c>
      <c r="H145">
        <v>20</v>
      </c>
      <c r="I145" t="str" cm="1">
        <f t="array" ref="I145">_xlfn.IFS(Table14[[#This Row],[Age]]&lt;18,"Children",Table14[[#This Row],[Age]]&lt;50,"Adult",Table14[[#This Row],[Age]]&gt;=50,"Elderly")</f>
        <v>Adult</v>
      </c>
      <c r="J145" t="s">
        <v>546</v>
      </c>
      <c r="K145" s="7">
        <v>135630</v>
      </c>
      <c r="L145" s="2" t="str" cm="1">
        <f t="array" ref="L145">_xlfn.IFS(Table14[[#This Row],[Treatment Cost]]&lt;50000,"Low Billing",Table14[[#This Row],[Treatment Cost]]&lt;200000,"Moderate Billing",Table14[[#This Row],[Treatment Cost]]&gt;=200000,"High Billing")</f>
        <v>Moderate Billing</v>
      </c>
      <c r="M145" t="s">
        <v>8</v>
      </c>
      <c r="N145" t="str">
        <f>IF(AND(Table14[[#This Row],[Outcome]]="Follow-up",Table14[[#This Row],[Admission Status]]="Patient Discharged"),"High Risk Patient","Low Risk Patient")</f>
        <v>High Risk Patient</v>
      </c>
      <c r="O145" t="str">
        <f>IFERROR(VLOOKUP(Table14[[#This Row],[Department]],Doctor_Info!A:D,2,FALSE), "")</f>
        <v>Dr. Ada</v>
      </c>
      <c r="P145" t="str">
        <f>IF(COUNTIF(A:A,Table14[[#This Row],[Patient ID]]&gt;1),"Returning Patient","New Patient")</f>
        <v>New Patient</v>
      </c>
      <c r="Q145" t="str">
        <f>_xlfn.XLOOKUP(Table14[[#This Row],[Department]], Doctor_Info!A:A, Doctor_Info!C:C, "")&amp;""</f>
        <v>301</v>
      </c>
      <c r="R145" t="str">
        <f>TEXT(Table14[[#This Row],[Admission Date]],"ddd")</f>
        <v>Sun</v>
      </c>
      <c r="S145" t="str">
        <f>TEXT(Table14[[#This Row],[Admission Date]],"mmm")</f>
        <v>Jan</v>
      </c>
      <c r="T145" t="str">
        <f>TEXT(Table14[[#This Row],[Admission Date]],"yyyy")</f>
        <v>2024</v>
      </c>
      <c r="U145" t="str">
        <f>TEXT(Table14[[#This Row],[Admission Date]],"mmm-yyyy")</f>
        <v>Jan-2024</v>
      </c>
      <c r="V145">
        <f t="shared" ca="1" si="2"/>
        <v>8</v>
      </c>
    </row>
    <row r="146" spans="1:22" x14ac:dyDescent="0.2">
      <c r="A146" t="s">
        <v>159</v>
      </c>
      <c r="B146" s="3">
        <v>45323</v>
      </c>
      <c r="C146" s="3">
        <v>45324</v>
      </c>
      <c r="D146">
        <f ca="1">IF(ISBLANK(Table14[[#This Row],[Discharge Date]]),TODAY()-Table14[[#This Row],[Admission Date]], Table14[[#This Row],[Discharge Date]]-Table14[[#This Row],[Admission Date]])</f>
        <v>1</v>
      </c>
      <c r="E146" s="6" t="str">
        <f>IF(Table14[[#This Row],[Discharge Date]]="","Still Admitted","Patient Discharged")</f>
        <v>Patient Discharged</v>
      </c>
      <c r="F146" s="6" t="str">
        <f>IF(WEEKDAY(Table14[[#This Row],[Admission Date]],2)&gt;5,"Weekend","Weekday")</f>
        <v>Weekday</v>
      </c>
      <c r="G146" t="s">
        <v>528</v>
      </c>
      <c r="H146">
        <v>22</v>
      </c>
      <c r="I146" t="str" cm="1">
        <f t="array" ref="I146">_xlfn.IFS(Table14[[#This Row],[Age]]&lt;18,"Children",Table14[[#This Row],[Age]]&lt;50,"Adult",Table14[[#This Row],[Age]]&gt;=50,"Elderly")</f>
        <v>Adult</v>
      </c>
      <c r="J146" t="s">
        <v>547</v>
      </c>
      <c r="K146" s="7">
        <v>136600</v>
      </c>
      <c r="L146" s="2" t="str" cm="1">
        <f t="array" ref="L146">_xlfn.IFS(Table14[[#This Row],[Treatment Cost]]&lt;50000,"Low Billing",Table14[[#This Row],[Treatment Cost]]&lt;200000,"Moderate Billing",Table14[[#This Row],[Treatment Cost]]&gt;=200000,"High Billing")</f>
        <v>Moderate Billing</v>
      </c>
      <c r="M146" t="s">
        <v>6</v>
      </c>
      <c r="N146" t="str">
        <f>IF(AND(Table14[[#This Row],[Outcome]]="Follow-up",Table14[[#This Row],[Admission Status]]="Patient Discharged"),"High Risk Patient","Low Risk Patient")</f>
        <v>Low Risk Patient</v>
      </c>
      <c r="O146" t="str">
        <f>IFERROR(VLOOKUP(Table14[[#This Row],[Department]],Doctor_Info!A:D,2,FALSE), "")</f>
        <v>Dr. Kofi</v>
      </c>
      <c r="P146" t="str">
        <f>IF(COUNTIF(A:A,Table14[[#This Row],[Patient ID]]&gt;1),"Returning Patient","New Patient")</f>
        <v>New Patient</v>
      </c>
      <c r="Q146" t="str">
        <f>_xlfn.XLOOKUP(Table14[[#This Row],[Department]], Doctor_Info!A:A, Doctor_Info!C:C, "")&amp;""</f>
        <v>102</v>
      </c>
      <c r="R146" t="str">
        <f>TEXT(Table14[[#This Row],[Admission Date]],"ddd")</f>
        <v>Thu</v>
      </c>
      <c r="S146" t="str">
        <f>TEXT(Table14[[#This Row],[Admission Date]],"mmm")</f>
        <v>Feb</v>
      </c>
      <c r="T146" t="str">
        <f>TEXT(Table14[[#This Row],[Admission Date]],"yyyy")</f>
        <v>2024</v>
      </c>
      <c r="U146" t="str">
        <f>TEXT(Table14[[#This Row],[Admission Date]],"mmm-yyyy")</f>
        <v>Feb-2024</v>
      </c>
      <c r="V146">
        <f t="shared" ca="1" si="2"/>
        <v>8</v>
      </c>
    </row>
    <row r="147" spans="1:22" x14ac:dyDescent="0.2">
      <c r="A147" t="s">
        <v>160</v>
      </c>
      <c r="B147" s="3">
        <v>45325</v>
      </c>
      <c r="C147" s="3">
        <v>45337</v>
      </c>
      <c r="D147">
        <f ca="1">IF(ISBLANK(Table14[[#This Row],[Discharge Date]]),TODAY()-Table14[[#This Row],[Admission Date]], Table14[[#This Row],[Discharge Date]]-Table14[[#This Row],[Admission Date]])</f>
        <v>12</v>
      </c>
      <c r="E147" s="6" t="str">
        <f>IF(Table14[[#This Row],[Discharge Date]]="","Still Admitted","Patient Discharged")</f>
        <v>Patient Discharged</v>
      </c>
      <c r="F147" s="6" t="str">
        <f>IF(WEEKDAY(Table14[[#This Row],[Admission Date]],2)&gt;5,"Weekend","Weekday")</f>
        <v>Weekend</v>
      </c>
      <c r="G147" t="s">
        <v>12</v>
      </c>
      <c r="H147">
        <v>24</v>
      </c>
      <c r="I147" t="str" cm="1">
        <f t="array" ref="I147">_xlfn.IFS(Table14[[#This Row],[Age]]&lt;18,"Children",Table14[[#This Row],[Age]]&lt;50,"Adult",Table14[[#This Row],[Age]]&gt;=50,"Elderly")</f>
        <v>Adult</v>
      </c>
      <c r="J147" t="s">
        <v>546</v>
      </c>
      <c r="K147" s="7">
        <v>137570</v>
      </c>
      <c r="L147" s="2" t="str" cm="1">
        <f t="array" ref="L147">_xlfn.IFS(Table14[[#This Row],[Treatment Cost]]&lt;50000,"Low Billing",Table14[[#This Row],[Treatment Cost]]&lt;200000,"Moderate Billing",Table14[[#This Row],[Treatment Cost]]&gt;=200000,"High Billing")</f>
        <v>Moderate Billing</v>
      </c>
      <c r="M147" t="s">
        <v>8</v>
      </c>
      <c r="N147" t="str">
        <f>IF(AND(Table14[[#This Row],[Outcome]]="Follow-up",Table14[[#This Row],[Admission Status]]="Patient Discharged"),"High Risk Patient","Low Risk Patient")</f>
        <v>High Risk Patient</v>
      </c>
      <c r="O147" t="str">
        <f>IFERROR(VLOOKUP(Table14[[#This Row],[Department]],Doctor_Info!A:D,2,FALSE), "")</f>
        <v>Dr. Temi</v>
      </c>
      <c r="P147" t="str">
        <f>IF(COUNTIF(A:A,Table14[[#This Row],[Patient ID]]&gt;1),"Returning Patient","New Patient")</f>
        <v>New Patient</v>
      </c>
      <c r="Q147" t="str">
        <f>_xlfn.XLOOKUP(Table14[[#This Row],[Department]], Doctor_Info!A:A, Doctor_Info!C:C, "")&amp;""</f>
        <v>502</v>
      </c>
      <c r="R147" t="str">
        <f>TEXT(Table14[[#This Row],[Admission Date]],"ddd")</f>
        <v>Sat</v>
      </c>
      <c r="S147" t="str">
        <f>TEXT(Table14[[#This Row],[Admission Date]],"mmm")</f>
        <v>Feb</v>
      </c>
      <c r="T147" t="str">
        <f>TEXT(Table14[[#This Row],[Admission Date]],"yyyy")</f>
        <v>2024</v>
      </c>
      <c r="U147" t="str">
        <f>TEXT(Table14[[#This Row],[Admission Date]],"mmm-yyyy")</f>
        <v>Feb-2024</v>
      </c>
      <c r="V147">
        <f t="shared" ca="1" si="2"/>
        <v>8</v>
      </c>
    </row>
    <row r="148" spans="1:22" x14ac:dyDescent="0.2">
      <c r="A148" t="s">
        <v>161</v>
      </c>
      <c r="B148" s="3">
        <v>45327</v>
      </c>
      <c r="C148" s="3">
        <v>45328</v>
      </c>
      <c r="D148">
        <f ca="1">IF(ISBLANK(Table14[[#This Row],[Discharge Date]]),TODAY()-Table14[[#This Row],[Admission Date]], Table14[[#This Row],[Discharge Date]]-Table14[[#This Row],[Admission Date]])</f>
        <v>1</v>
      </c>
      <c r="E148" s="6" t="str">
        <f>IF(Table14[[#This Row],[Discharge Date]]="","Still Admitted","Patient Discharged")</f>
        <v>Patient Discharged</v>
      </c>
      <c r="F148" s="6" t="str">
        <f>IF(WEEKDAY(Table14[[#This Row],[Admission Date]],2)&gt;5,"Weekend","Weekday")</f>
        <v>Weekday</v>
      </c>
      <c r="G148" t="s">
        <v>528</v>
      </c>
      <c r="H148">
        <v>26</v>
      </c>
      <c r="I148" t="str" cm="1">
        <f t="array" ref="I148">_xlfn.IFS(Table14[[#This Row],[Age]]&lt;18,"Children",Table14[[#This Row],[Age]]&lt;50,"Adult",Table14[[#This Row],[Age]]&gt;=50,"Elderly")</f>
        <v>Adult</v>
      </c>
      <c r="J148" t="s">
        <v>547</v>
      </c>
      <c r="K148" s="7">
        <v>138540</v>
      </c>
      <c r="L148" s="2" t="str" cm="1">
        <f t="array" ref="L148">_xlfn.IFS(Table14[[#This Row],[Treatment Cost]]&lt;50000,"Low Billing",Table14[[#This Row],[Treatment Cost]]&lt;200000,"Moderate Billing",Table14[[#This Row],[Treatment Cost]]&gt;=200000,"High Billing")</f>
        <v>Moderate Billing</v>
      </c>
      <c r="M148" t="s">
        <v>6</v>
      </c>
      <c r="N148" t="str">
        <f>IF(AND(Table14[[#This Row],[Outcome]]="Follow-up",Table14[[#This Row],[Admission Status]]="Patient Discharged"),"High Risk Patient","Low Risk Patient")</f>
        <v>Low Risk Patient</v>
      </c>
      <c r="O148" t="str">
        <f>IFERROR(VLOOKUP(Table14[[#This Row],[Department]],Doctor_Info!A:D,2,FALSE), "")</f>
        <v>Dr. Kofi</v>
      </c>
      <c r="P148" t="str">
        <f>IF(COUNTIF(A:A,Table14[[#This Row],[Patient ID]]&gt;1),"Returning Patient","New Patient")</f>
        <v>New Patient</v>
      </c>
      <c r="Q148" t="str">
        <f>_xlfn.XLOOKUP(Table14[[#This Row],[Department]], Doctor_Info!A:A, Doctor_Info!C:C, "")&amp;""</f>
        <v>102</v>
      </c>
      <c r="R148" t="str">
        <f>TEXT(Table14[[#This Row],[Admission Date]],"ddd")</f>
        <v>Mon</v>
      </c>
      <c r="S148" t="str">
        <f>TEXT(Table14[[#This Row],[Admission Date]],"mmm")</f>
        <v>Feb</v>
      </c>
      <c r="T148" t="str">
        <f>TEXT(Table14[[#This Row],[Admission Date]],"yyyy")</f>
        <v>2024</v>
      </c>
      <c r="U148" t="str">
        <f>TEXT(Table14[[#This Row],[Admission Date]],"mmm-yyyy")</f>
        <v>Feb-2024</v>
      </c>
      <c r="V148">
        <f t="shared" ca="1" si="2"/>
        <v>8</v>
      </c>
    </row>
    <row r="149" spans="1:22" x14ac:dyDescent="0.2">
      <c r="A149" t="s">
        <v>162</v>
      </c>
      <c r="B149" s="3">
        <v>45332</v>
      </c>
      <c r="D149">
        <f ca="1">IF(ISBLANK(Table14[[#This Row],[Discharge Date]]),TODAY()-Table14[[#This Row],[Admission Date]], Table14[[#This Row],[Discharge Date]]-Table14[[#This Row],[Admission Date]])</f>
        <v>806</v>
      </c>
      <c r="E149" s="6" t="str">
        <f>IF(Table14[[#This Row],[Discharge Date]]="","Still Admitted","Patient Discharged")</f>
        <v>Still Admitted</v>
      </c>
      <c r="F149" s="6" t="str">
        <f>IF(WEEKDAY(Table14[[#This Row],[Admission Date]],2)&gt;5,"Weekend","Weekday")</f>
        <v>Weekend</v>
      </c>
      <c r="G149" t="s">
        <v>10</v>
      </c>
      <c r="H149">
        <v>28</v>
      </c>
      <c r="I149" t="str" cm="1">
        <f t="array" ref="I149">_xlfn.IFS(Table14[[#This Row],[Age]]&lt;18,"Children",Table14[[#This Row],[Age]]&lt;50,"Adult",Table14[[#This Row],[Age]]&gt;=50,"Elderly")</f>
        <v>Adult</v>
      </c>
      <c r="J149" t="s">
        <v>547</v>
      </c>
      <c r="K149" s="7">
        <v>139510</v>
      </c>
      <c r="L149" s="2" t="str" cm="1">
        <f t="array" ref="L149">_xlfn.IFS(Table14[[#This Row],[Treatment Cost]]&lt;50000,"Low Billing",Table14[[#This Row],[Treatment Cost]]&lt;200000,"Moderate Billing",Table14[[#This Row],[Treatment Cost]]&gt;=200000,"High Billing")</f>
        <v>Moderate Billing</v>
      </c>
      <c r="M149" t="s">
        <v>403</v>
      </c>
      <c r="N149" t="str">
        <f>IF(AND(Table14[[#This Row],[Outcome]]="Follow-up",Table14[[#This Row],[Admission Status]]="Patient Discharged"),"High Risk Patient","Low Risk Patient")</f>
        <v>Low Risk Patient</v>
      </c>
      <c r="O149" t="str">
        <f>IFERROR(VLOOKUP(Table14[[#This Row],[Department]],Doctor_Info!A:D,2,FALSE), "")</f>
        <v>Dr. George</v>
      </c>
      <c r="P149" t="str">
        <f>IF(COUNTIF(A:A,Table14[[#This Row],[Patient ID]]&gt;1),"Returning Patient","New Patient")</f>
        <v>New Patient</v>
      </c>
      <c r="Q149" t="str">
        <f>_xlfn.XLOOKUP(Table14[[#This Row],[Department]], Doctor_Info!A:A, Doctor_Info!C:C, "")&amp;""</f>
        <v>405</v>
      </c>
      <c r="R149" t="str">
        <f>TEXT(Table14[[#This Row],[Admission Date]],"ddd")</f>
        <v>Sat</v>
      </c>
      <c r="S149" t="str">
        <f>TEXT(Table14[[#This Row],[Admission Date]],"mmm")</f>
        <v>Feb</v>
      </c>
      <c r="T149" t="str">
        <f>TEXT(Table14[[#This Row],[Admission Date]],"yyyy")</f>
        <v>2024</v>
      </c>
      <c r="U149" t="str">
        <f>TEXT(Table14[[#This Row],[Admission Date]],"mmm-yyyy")</f>
        <v>Feb-2024</v>
      </c>
      <c r="V149">
        <f t="shared" ca="1" si="2"/>
        <v>8</v>
      </c>
    </row>
    <row r="150" spans="1:22" x14ac:dyDescent="0.2">
      <c r="A150" t="s">
        <v>163</v>
      </c>
      <c r="B150" s="3">
        <v>45319</v>
      </c>
      <c r="C150" s="3">
        <v>45327</v>
      </c>
      <c r="D150">
        <f ca="1">IF(ISBLANK(Table14[[#This Row],[Discharge Date]]),TODAY()-Table14[[#This Row],[Admission Date]], Table14[[#This Row],[Discharge Date]]-Table14[[#This Row],[Admission Date]])</f>
        <v>8</v>
      </c>
      <c r="E150" s="6" t="str">
        <f>IF(Table14[[#This Row],[Discharge Date]]="","Still Admitted","Patient Discharged")</f>
        <v>Patient Discharged</v>
      </c>
      <c r="F150" s="6" t="str">
        <f>IF(WEEKDAY(Table14[[#This Row],[Admission Date]],2)&gt;5,"Weekend","Weekday")</f>
        <v>Weekend</v>
      </c>
      <c r="G150" t="s">
        <v>7</v>
      </c>
      <c r="H150">
        <v>30</v>
      </c>
      <c r="I150" t="str" cm="1">
        <f t="array" ref="I150">_xlfn.IFS(Table14[[#This Row],[Age]]&lt;18,"Children",Table14[[#This Row],[Age]]&lt;50,"Adult",Table14[[#This Row],[Age]]&gt;=50,"Elderly")</f>
        <v>Adult</v>
      </c>
      <c r="J150" t="s">
        <v>546</v>
      </c>
      <c r="K150" s="7">
        <v>140480</v>
      </c>
      <c r="L150" s="2" t="str" cm="1">
        <f t="array" ref="L150">_xlfn.IFS(Table14[[#This Row],[Treatment Cost]]&lt;50000,"Low Billing",Table14[[#This Row],[Treatment Cost]]&lt;200000,"Moderate Billing",Table14[[#This Row],[Treatment Cost]]&gt;=200000,"High Billing")</f>
        <v>Moderate Billing</v>
      </c>
      <c r="M150" t="s">
        <v>8</v>
      </c>
      <c r="N150" t="str">
        <f>IF(AND(Table14[[#This Row],[Outcome]]="Follow-up",Table14[[#This Row],[Admission Status]]="Patient Discharged"),"High Risk Patient","Low Risk Patient")</f>
        <v>High Risk Patient</v>
      </c>
      <c r="O150" t="str">
        <f>IFERROR(VLOOKUP(Table14[[#This Row],[Department]],Doctor_Info!A:D,2,FALSE), "")</f>
        <v>Dr. Ada</v>
      </c>
      <c r="P150" t="str">
        <f>IF(COUNTIF(A:A,Table14[[#This Row],[Patient ID]]&gt;1),"Returning Patient","New Patient")</f>
        <v>New Patient</v>
      </c>
      <c r="Q150" t="str">
        <f>_xlfn.XLOOKUP(Table14[[#This Row],[Department]], Doctor_Info!A:A, Doctor_Info!C:C, "")&amp;""</f>
        <v>301</v>
      </c>
      <c r="R150" t="str">
        <f>TEXT(Table14[[#This Row],[Admission Date]],"ddd")</f>
        <v>Sun</v>
      </c>
      <c r="S150" t="str">
        <f>TEXT(Table14[[#This Row],[Admission Date]],"mmm")</f>
        <v>Jan</v>
      </c>
      <c r="T150" t="str">
        <f>TEXT(Table14[[#This Row],[Admission Date]],"yyyy")</f>
        <v>2024</v>
      </c>
      <c r="U150" t="str">
        <f>TEXT(Table14[[#This Row],[Admission Date]],"mmm-yyyy")</f>
        <v>Jan-2024</v>
      </c>
      <c r="V150">
        <f t="shared" ca="1" si="2"/>
        <v>8</v>
      </c>
    </row>
    <row r="151" spans="1:22" x14ac:dyDescent="0.2">
      <c r="A151" t="s">
        <v>164</v>
      </c>
      <c r="B151" s="3">
        <v>45323</v>
      </c>
      <c r="C151" s="3">
        <v>45324</v>
      </c>
      <c r="D151">
        <f ca="1">IF(ISBLANK(Table14[[#This Row],[Discharge Date]]),TODAY()-Table14[[#This Row],[Admission Date]], Table14[[#This Row],[Discharge Date]]-Table14[[#This Row],[Admission Date]])</f>
        <v>1</v>
      </c>
      <c r="E151" s="6" t="str">
        <f>IF(Table14[[#This Row],[Discharge Date]]="","Still Admitted","Patient Discharged")</f>
        <v>Patient Discharged</v>
      </c>
      <c r="F151" s="6" t="str">
        <f>IF(WEEKDAY(Table14[[#This Row],[Admission Date]],2)&gt;5,"Weekend","Weekday")</f>
        <v>Weekday</v>
      </c>
      <c r="G151" t="s">
        <v>528</v>
      </c>
      <c r="H151">
        <v>32</v>
      </c>
      <c r="I151" t="str" cm="1">
        <f t="array" ref="I151">_xlfn.IFS(Table14[[#This Row],[Age]]&lt;18,"Children",Table14[[#This Row],[Age]]&lt;50,"Adult",Table14[[#This Row],[Age]]&gt;=50,"Elderly")</f>
        <v>Adult</v>
      </c>
      <c r="J151" t="s">
        <v>547</v>
      </c>
      <c r="K151" s="7">
        <v>141450</v>
      </c>
      <c r="L151" s="2" t="str" cm="1">
        <f t="array" ref="L151">_xlfn.IFS(Table14[[#This Row],[Treatment Cost]]&lt;50000,"Low Billing",Table14[[#This Row],[Treatment Cost]]&lt;200000,"Moderate Billing",Table14[[#This Row],[Treatment Cost]]&gt;=200000,"High Billing")</f>
        <v>Moderate Billing</v>
      </c>
      <c r="M151" t="s">
        <v>6</v>
      </c>
      <c r="N151" t="str">
        <f>IF(AND(Table14[[#This Row],[Outcome]]="Follow-up",Table14[[#This Row],[Admission Status]]="Patient Discharged"),"High Risk Patient","Low Risk Patient")</f>
        <v>Low Risk Patient</v>
      </c>
      <c r="O151" t="str">
        <f>IFERROR(VLOOKUP(Table14[[#This Row],[Department]],Doctor_Info!A:D,2,FALSE), "")</f>
        <v>Dr. Kofi</v>
      </c>
      <c r="P151" t="str">
        <f>IF(COUNTIF(A:A,Table14[[#This Row],[Patient ID]]&gt;1),"Returning Patient","New Patient")</f>
        <v>New Patient</v>
      </c>
      <c r="Q151" t="str">
        <f>_xlfn.XLOOKUP(Table14[[#This Row],[Department]], Doctor_Info!A:A, Doctor_Info!C:C, "")&amp;""</f>
        <v>102</v>
      </c>
      <c r="R151" t="str">
        <f>TEXT(Table14[[#This Row],[Admission Date]],"ddd")</f>
        <v>Thu</v>
      </c>
      <c r="S151" t="str">
        <f>TEXT(Table14[[#This Row],[Admission Date]],"mmm")</f>
        <v>Feb</v>
      </c>
      <c r="T151" t="str">
        <f>TEXT(Table14[[#This Row],[Admission Date]],"yyyy")</f>
        <v>2024</v>
      </c>
      <c r="U151" t="str">
        <f>TEXT(Table14[[#This Row],[Admission Date]],"mmm-yyyy")</f>
        <v>Feb-2024</v>
      </c>
      <c r="V151">
        <f t="shared" ca="1" si="2"/>
        <v>8</v>
      </c>
    </row>
    <row r="152" spans="1:22" x14ac:dyDescent="0.2">
      <c r="A152" t="s">
        <v>165</v>
      </c>
      <c r="B152" s="3">
        <v>45325</v>
      </c>
      <c r="C152" s="3">
        <v>45337</v>
      </c>
      <c r="D152">
        <f ca="1">IF(ISBLANK(Table14[[#This Row],[Discharge Date]]),TODAY()-Table14[[#This Row],[Admission Date]], Table14[[#This Row],[Discharge Date]]-Table14[[#This Row],[Admission Date]])</f>
        <v>12</v>
      </c>
      <c r="E152" s="6" t="str">
        <f>IF(Table14[[#This Row],[Discharge Date]]="","Still Admitted","Patient Discharged")</f>
        <v>Patient Discharged</v>
      </c>
      <c r="F152" s="6" t="str">
        <f>IF(WEEKDAY(Table14[[#This Row],[Admission Date]],2)&gt;5,"Weekend","Weekday")</f>
        <v>Weekend</v>
      </c>
      <c r="G152" t="s">
        <v>12</v>
      </c>
      <c r="H152">
        <v>34</v>
      </c>
      <c r="I152" t="str" cm="1">
        <f t="array" ref="I152">_xlfn.IFS(Table14[[#This Row],[Age]]&lt;18,"Children",Table14[[#This Row],[Age]]&lt;50,"Adult",Table14[[#This Row],[Age]]&gt;=50,"Elderly")</f>
        <v>Adult</v>
      </c>
      <c r="J152" t="s">
        <v>546</v>
      </c>
      <c r="K152" s="7">
        <v>142420</v>
      </c>
      <c r="L152" s="2" t="str" cm="1">
        <f t="array" ref="L152">_xlfn.IFS(Table14[[#This Row],[Treatment Cost]]&lt;50000,"Low Billing",Table14[[#This Row],[Treatment Cost]]&lt;200000,"Moderate Billing",Table14[[#This Row],[Treatment Cost]]&gt;=200000,"High Billing")</f>
        <v>Moderate Billing</v>
      </c>
      <c r="M152" t="s">
        <v>8</v>
      </c>
      <c r="N152" t="str">
        <f>IF(AND(Table14[[#This Row],[Outcome]]="Follow-up",Table14[[#This Row],[Admission Status]]="Patient Discharged"),"High Risk Patient","Low Risk Patient")</f>
        <v>High Risk Patient</v>
      </c>
      <c r="O152" t="str">
        <f>IFERROR(VLOOKUP(Table14[[#This Row],[Department]],Doctor_Info!A:D,2,FALSE), "")</f>
        <v>Dr. Temi</v>
      </c>
      <c r="P152" t="str">
        <f>IF(COUNTIF(A:A,Table14[[#This Row],[Patient ID]]&gt;1),"Returning Patient","New Patient")</f>
        <v>New Patient</v>
      </c>
      <c r="Q152" t="str">
        <f>_xlfn.XLOOKUP(Table14[[#This Row],[Department]], Doctor_Info!A:A, Doctor_Info!C:C, "")&amp;""</f>
        <v>502</v>
      </c>
      <c r="R152" t="str">
        <f>TEXT(Table14[[#This Row],[Admission Date]],"ddd")</f>
        <v>Sat</v>
      </c>
      <c r="S152" t="str">
        <f>TEXT(Table14[[#This Row],[Admission Date]],"mmm")</f>
        <v>Feb</v>
      </c>
      <c r="T152" t="str">
        <f>TEXT(Table14[[#This Row],[Admission Date]],"yyyy")</f>
        <v>2024</v>
      </c>
      <c r="U152" t="str">
        <f>TEXT(Table14[[#This Row],[Admission Date]],"mmm-yyyy")</f>
        <v>Feb-2024</v>
      </c>
      <c r="V152">
        <f t="shared" ca="1" si="2"/>
        <v>8</v>
      </c>
    </row>
    <row r="153" spans="1:22" x14ac:dyDescent="0.2">
      <c r="A153" t="s">
        <v>166</v>
      </c>
      <c r="B153" s="3">
        <v>45327</v>
      </c>
      <c r="C153" s="3">
        <v>45328</v>
      </c>
      <c r="D153">
        <f ca="1">IF(ISBLANK(Table14[[#This Row],[Discharge Date]]),TODAY()-Table14[[#This Row],[Admission Date]], Table14[[#This Row],[Discharge Date]]-Table14[[#This Row],[Admission Date]])</f>
        <v>1</v>
      </c>
      <c r="E153" s="6" t="str">
        <f>IF(Table14[[#This Row],[Discharge Date]]="","Still Admitted","Patient Discharged")</f>
        <v>Patient Discharged</v>
      </c>
      <c r="F153" s="6" t="str">
        <f>IF(WEEKDAY(Table14[[#This Row],[Admission Date]],2)&gt;5,"Weekend","Weekday")</f>
        <v>Weekday</v>
      </c>
      <c r="G153" t="s">
        <v>528</v>
      </c>
      <c r="H153">
        <v>36</v>
      </c>
      <c r="I153" t="str" cm="1">
        <f t="array" ref="I153">_xlfn.IFS(Table14[[#This Row],[Age]]&lt;18,"Children",Table14[[#This Row],[Age]]&lt;50,"Adult",Table14[[#This Row],[Age]]&gt;=50,"Elderly")</f>
        <v>Adult</v>
      </c>
      <c r="J153" t="s">
        <v>547</v>
      </c>
      <c r="K153" s="7">
        <v>143390</v>
      </c>
      <c r="L153" s="2" t="str" cm="1">
        <f t="array" ref="L153">_xlfn.IFS(Table14[[#This Row],[Treatment Cost]]&lt;50000,"Low Billing",Table14[[#This Row],[Treatment Cost]]&lt;200000,"Moderate Billing",Table14[[#This Row],[Treatment Cost]]&gt;=200000,"High Billing")</f>
        <v>Moderate Billing</v>
      </c>
      <c r="M153" t="s">
        <v>6</v>
      </c>
      <c r="N153" t="str">
        <f>IF(AND(Table14[[#This Row],[Outcome]]="Follow-up",Table14[[#This Row],[Admission Status]]="Patient Discharged"),"High Risk Patient","Low Risk Patient")</f>
        <v>Low Risk Patient</v>
      </c>
      <c r="O153" t="str">
        <f>IFERROR(VLOOKUP(Table14[[#This Row],[Department]],Doctor_Info!A:D,2,FALSE), "")</f>
        <v>Dr. Kofi</v>
      </c>
      <c r="P153" t="str">
        <f>IF(COUNTIF(A:A,Table14[[#This Row],[Patient ID]]&gt;1),"Returning Patient","New Patient")</f>
        <v>New Patient</v>
      </c>
      <c r="Q153" t="str">
        <f>_xlfn.XLOOKUP(Table14[[#This Row],[Department]], Doctor_Info!A:A, Doctor_Info!C:C, "")&amp;""</f>
        <v>102</v>
      </c>
      <c r="R153" t="str">
        <f>TEXT(Table14[[#This Row],[Admission Date]],"ddd")</f>
        <v>Mon</v>
      </c>
      <c r="S153" t="str">
        <f>TEXT(Table14[[#This Row],[Admission Date]],"mmm")</f>
        <v>Feb</v>
      </c>
      <c r="T153" t="str">
        <f>TEXT(Table14[[#This Row],[Admission Date]],"yyyy")</f>
        <v>2024</v>
      </c>
      <c r="U153" t="str">
        <f>TEXT(Table14[[#This Row],[Admission Date]],"mmm-yyyy")</f>
        <v>Feb-2024</v>
      </c>
      <c r="V153">
        <f t="shared" ca="1" si="2"/>
        <v>8</v>
      </c>
    </row>
    <row r="154" spans="1:22" x14ac:dyDescent="0.2">
      <c r="A154" t="s">
        <v>167</v>
      </c>
      <c r="B154" s="3">
        <v>45332</v>
      </c>
      <c r="D154">
        <f ca="1">IF(ISBLANK(Table14[[#This Row],[Discharge Date]]),TODAY()-Table14[[#This Row],[Admission Date]], Table14[[#This Row],[Discharge Date]]-Table14[[#This Row],[Admission Date]])</f>
        <v>806</v>
      </c>
      <c r="E154" s="6" t="str">
        <f>IF(Table14[[#This Row],[Discharge Date]]="","Still Admitted","Patient Discharged")</f>
        <v>Still Admitted</v>
      </c>
      <c r="F154" s="6" t="str">
        <f>IF(WEEKDAY(Table14[[#This Row],[Admission Date]],2)&gt;5,"Weekend","Weekday")</f>
        <v>Weekend</v>
      </c>
      <c r="G154" t="s">
        <v>10</v>
      </c>
      <c r="H154">
        <v>38</v>
      </c>
      <c r="I154" t="str" cm="1">
        <f t="array" ref="I154">_xlfn.IFS(Table14[[#This Row],[Age]]&lt;18,"Children",Table14[[#This Row],[Age]]&lt;50,"Adult",Table14[[#This Row],[Age]]&gt;=50,"Elderly")</f>
        <v>Adult</v>
      </c>
      <c r="J154" t="s">
        <v>547</v>
      </c>
      <c r="K154" s="7">
        <v>144360</v>
      </c>
      <c r="L154" s="2" t="str" cm="1">
        <f t="array" ref="L154">_xlfn.IFS(Table14[[#This Row],[Treatment Cost]]&lt;50000,"Low Billing",Table14[[#This Row],[Treatment Cost]]&lt;200000,"Moderate Billing",Table14[[#This Row],[Treatment Cost]]&gt;=200000,"High Billing")</f>
        <v>Moderate Billing</v>
      </c>
      <c r="M154" t="s">
        <v>403</v>
      </c>
      <c r="N154" t="str">
        <f>IF(AND(Table14[[#This Row],[Outcome]]="Follow-up",Table14[[#This Row],[Admission Status]]="Patient Discharged"),"High Risk Patient","Low Risk Patient")</f>
        <v>Low Risk Patient</v>
      </c>
      <c r="O154" t="str">
        <f>IFERROR(VLOOKUP(Table14[[#This Row],[Department]],Doctor_Info!A:D,2,FALSE), "")</f>
        <v>Dr. George</v>
      </c>
      <c r="P154" t="str">
        <f>IF(COUNTIF(A:A,Table14[[#This Row],[Patient ID]]&gt;1),"Returning Patient","New Patient")</f>
        <v>New Patient</v>
      </c>
      <c r="Q154" t="str">
        <f>_xlfn.XLOOKUP(Table14[[#This Row],[Department]], Doctor_Info!A:A, Doctor_Info!C:C, "")&amp;""</f>
        <v>405</v>
      </c>
      <c r="R154" t="str">
        <f>TEXT(Table14[[#This Row],[Admission Date]],"ddd")</f>
        <v>Sat</v>
      </c>
      <c r="S154" t="str">
        <f>TEXT(Table14[[#This Row],[Admission Date]],"mmm")</f>
        <v>Feb</v>
      </c>
      <c r="T154" t="str">
        <f>TEXT(Table14[[#This Row],[Admission Date]],"yyyy")</f>
        <v>2024</v>
      </c>
      <c r="U154" t="str">
        <f>TEXT(Table14[[#This Row],[Admission Date]],"mmm-yyyy")</f>
        <v>Feb-2024</v>
      </c>
      <c r="V154">
        <f t="shared" ca="1" si="2"/>
        <v>8</v>
      </c>
    </row>
    <row r="155" spans="1:22" x14ac:dyDescent="0.2">
      <c r="A155" t="s">
        <v>168</v>
      </c>
      <c r="B155" s="3">
        <v>45319</v>
      </c>
      <c r="C155" s="3">
        <v>45327</v>
      </c>
      <c r="D155">
        <f ca="1">IF(ISBLANK(Table14[[#This Row],[Discharge Date]]),TODAY()-Table14[[#This Row],[Admission Date]], Table14[[#This Row],[Discharge Date]]-Table14[[#This Row],[Admission Date]])</f>
        <v>8</v>
      </c>
      <c r="E155" s="6" t="str">
        <f>IF(Table14[[#This Row],[Discharge Date]]="","Still Admitted","Patient Discharged")</f>
        <v>Patient Discharged</v>
      </c>
      <c r="F155" s="6" t="str">
        <f>IF(WEEKDAY(Table14[[#This Row],[Admission Date]],2)&gt;5,"Weekend","Weekday")</f>
        <v>Weekend</v>
      </c>
      <c r="G155" t="s">
        <v>7</v>
      </c>
      <c r="H155">
        <v>40</v>
      </c>
      <c r="I155" t="str" cm="1">
        <f t="array" ref="I155">_xlfn.IFS(Table14[[#This Row],[Age]]&lt;18,"Children",Table14[[#This Row],[Age]]&lt;50,"Adult",Table14[[#This Row],[Age]]&gt;=50,"Elderly")</f>
        <v>Adult</v>
      </c>
      <c r="J155" t="s">
        <v>546</v>
      </c>
      <c r="K155" s="7">
        <v>145330</v>
      </c>
      <c r="L155" s="2" t="str" cm="1">
        <f t="array" ref="L155">_xlfn.IFS(Table14[[#This Row],[Treatment Cost]]&lt;50000,"Low Billing",Table14[[#This Row],[Treatment Cost]]&lt;200000,"Moderate Billing",Table14[[#This Row],[Treatment Cost]]&gt;=200000,"High Billing")</f>
        <v>Moderate Billing</v>
      </c>
      <c r="M155" t="s">
        <v>8</v>
      </c>
      <c r="N155" t="str">
        <f>IF(AND(Table14[[#This Row],[Outcome]]="Follow-up",Table14[[#This Row],[Admission Status]]="Patient Discharged"),"High Risk Patient","Low Risk Patient")</f>
        <v>High Risk Patient</v>
      </c>
      <c r="O155" t="str">
        <f>IFERROR(VLOOKUP(Table14[[#This Row],[Department]],Doctor_Info!A:D,2,FALSE), "")</f>
        <v>Dr. Ada</v>
      </c>
      <c r="P155" t="str">
        <f>IF(COUNTIF(A:A,Table14[[#This Row],[Patient ID]]&gt;1),"Returning Patient","New Patient")</f>
        <v>New Patient</v>
      </c>
      <c r="Q155" t="str">
        <f>_xlfn.XLOOKUP(Table14[[#This Row],[Department]], Doctor_Info!A:A, Doctor_Info!C:C, "")&amp;""</f>
        <v>301</v>
      </c>
      <c r="R155" t="str">
        <f>TEXT(Table14[[#This Row],[Admission Date]],"ddd")</f>
        <v>Sun</v>
      </c>
      <c r="S155" t="str">
        <f>TEXT(Table14[[#This Row],[Admission Date]],"mmm")</f>
        <v>Jan</v>
      </c>
      <c r="T155" t="str">
        <f>TEXT(Table14[[#This Row],[Admission Date]],"yyyy")</f>
        <v>2024</v>
      </c>
      <c r="U155" t="str">
        <f>TEXT(Table14[[#This Row],[Admission Date]],"mmm-yyyy")</f>
        <v>Jan-2024</v>
      </c>
      <c r="V155">
        <f t="shared" ca="1" si="2"/>
        <v>8</v>
      </c>
    </row>
    <row r="156" spans="1:22" x14ac:dyDescent="0.2">
      <c r="A156" t="s">
        <v>169</v>
      </c>
      <c r="B156" s="3">
        <v>45323</v>
      </c>
      <c r="C156" s="3">
        <v>45324</v>
      </c>
      <c r="D156">
        <f ca="1">IF(ISBLANK(Table14[[#This Row],[Discharge Date]]),TODAY()-Table14[[#This Row],[Admission Date]], Table14[[#This Row],[Discharge Date]]-Table14[[#This Row],[Admission Date]])</f>
        <v>1</v>
      </c>
      <c r="E156" s="6" t="str">
        <f>IF(Table14[[#This Row],[Discharge Date]]="","Still Admitted","Patient Discharged")</f>
        <v>Patient Discharged</v>
      </c>
      <c r="F156" s="6" t="str">
        <f>IF(WEEKDAY(Table14[[#This Row],[Admission Date]],2)&gt;5,"Weekend","Weekday")</f>
        <v>Weekday</v>
      </c>
      <c r="G156" t="s">
        <v>528</v>
      </c>
      <c r="H156">
        <v>42</v>
      </c>
      <c r="I156" t="str" cm="1">
        <f t="array" ref="I156">_xlfn.IFS(Table14[[#This Row],[Age]]&lt;18,"Children",Table14[[#This Row],[Age]]&lt;50,"Adult",Table14[[#This Row],[Age]]&gt;=50,"Elderly")</f>
        <v>Adult</v>
      </c>
      <c r="J156" t="s">
        <v>547</v>
      </c>
      <c r="K156" s="7">
        <v>146300</v>
      </c>
      <c r="L156" s="2" t="str" cm="1">
        <f t="array" ref="L156">_xlfn.IFS(Table14[[#This Row],[Treatment Cost]]&lt;50000,"Low Billing",Table14[[#This Row],[Treatment Cost]]&lt;200000,"Moderate Billing",Table14[[#This Row],[Treatment Cost]]&gt;=200000,"High Billing")</f>
        <v>Moderate Billing</v>
      </c>
      <c r="M156" t="s">
        <v>6</v>
      </c>
      <c r="N156" t="str">
        <f>IF(AND(Table14[[#This Row],[Outcome]]="Follow-up",Table14[[#This Row],[Admission Status]]="Patient Discharged"),"High Risk Patient","Low Risk Patient")</f>
        <v>Low Risk Patient</v>
      </c>
      <c r="O156" t="str">
        <f>IFERROR(VLOOKUP(Table14[[#This Row],[Department]],Doctor_Info!A:D,2,FALSE), "")</f>
        <v>Dr. Kofi</v>
      </c>
      <c r="P156" t="str">
        <f>IF(COUNTIF(A:A,Table14[[#This Row],[Patient ID]]&gt;1),"Returning Patient","New Patient")</f>
        <v>New Patient</v>
      </c>
      <c r="Q156" t="str">
        <f>_xlfn.XLOOKUP(Table14[[#This Row],[Department]], Doctor_Info!A:A, Doctor_Info!C:C, "")&amp;""</f>
        <v>102</v>
      </c>
      <c r="R156" t="str">
        <f>TEXT(Table14[[#This Row],[Admission Date]],"ddd")</f>
        <v>Thu</v>
      </c>
      <c r="S156" t="str">
        <f>TEXT(Table14[[#This Row],[Admission Date]],"mmm")</f>
        <v>Feb</v>
      </c>
      <c r="T156" t="str">
        <f>TEXT(Table14[[#This Row],[Admission Date]],"yyyy")</f>
        <v>2024</v>
      </c>
      <c r="U156" t="str">
        <f>TEXT(Table14[[#This Row],[Admission Date]],"mmm-yyyy")</f>
        <v>Feb-2024</v>
      </c>
      <c r="V156">
        <f t="shared" ca="1" si="2"/>
        <v>8</v>
      </c>
    </row>
    <row r="157" spans="1:22" x14ac:dyDescent="0.2">
      <c r="A157" t="s">
        <v>170</v>
      </c>
      <c r="B157" s="3">
        <v>45325</v>
      </c>
      <c r="C157" s="3">
        <v>45337</v>
      </c>
      <c r="D157">
        <f ca="1">IF(ISBLANK(Table14[[#This Row],[Discharge Date]]),TODAY()-Table14[[#This Row],[Admission Date]], Table14[[#This Row],[Discharge Date]]-Table14[[#This Row],[Admission Date]])</f>
        <v>12</v>
      </c>
      <c r="E157" s="6" t="str">
        <f>IF(Table14[[#This Row],[Discharge Date]]="","Still Admitted","Patient Discharged")</f>
        <v>Patient Discharged</v>
      </c>
      <c r="F157" s="6" t="str">
        <f>IF(WEEKDAY(Table14[[#This Row],[Admission Date]],2)&gt;5,"Weekend","Weekday")</f>
        <v>Weekend</v>
      </c>
      <c r="G157" t="s">
        <v>12</v>
      </c>
      <c r="H157">
        <v>44</v>
      </c>
      <c r="I157" t="str" cm="1">
        <f t="array" ref="I157">_xlfn.IFS(Table14[[#This Row],[Age]]&lt;18,"Children",Table14[[#This Row],[Age]]&lt;50,"Adult",Table14[[#This Row],[Age]]&gt;=50,"Elderly")</f>
        <v>Adult</v>
      </c>
      <c r="J157" t="s">
        <v>546</v>
      </c>
      <c r="K157" s="7">
        <v>147270</v>
      </c>
      <c r="L157" s="2" t="str" cm="1">
        <f t="array" ref="L157">_xlfn.IFS(Table14[[#This Row],[Treatment Cost]]&lt;50000,"Low Billing",Table14[[#This Row],[Treatment Cost]]&lt;200000,"Moderate Billing",Table14[[#This Row],[Treatment Cost]]&gt;=200000,"High Billing")</f>
        <v>Moderate Billing</v>
      </c>
      <c r="M157" t="s">
        <v>8</v>
      </c>
      <c r="N157" t="str">
        <f>IF(AND(Table14[[#This Row],[Outcome]]="Follow-up",Table14[[#This Row],[Admission Status]]="Patient Discharged"),"High Risk Patient","Low Risk Patient")</f>
        <v>High Risk Patient</v>
      </c>
      <c r="O157" t="str">
        <f>IFERROR(VLOOKUP(Table14[[#This Row],[Department]],Doctor_Info!A:D,2,FALSE), "")</f>
        <v>Dr. Temi</v>
      </c>
      <c r="P157" t="str">
        <f>IF(COUNTIF(A:A,Table14[[#This Row],[Patient ID]]&gt;1),"Returning Patient","New Patient")</f>
        <v>New Patient</v>
      </c>
      <c r="Q157" t="str">
        <f>_xlfn.XLOOKUP(Table14[[#This Row],[Department]], Doctor_Info!A:A, Doctor_Info!C:C, "")&amp;""</f>
        <v>502</v>
      </c>
      <c r="R157" t="str">
        <f>TEXT(Table14[[#This Row],[Admission Date]],"ddd")</f>
        <v>Sat</v>
      </c>
      <c r="S157" t="str">
        <f>TEXT(Table14[[#This Row],[Admission Date]],"mmm")</f>
        <v>Feb</v>
      </c>
      <c r="T157" t="str">
        <f>TEXT(Table14[[#This Row],[Admission Date]],"yyyy")</f>
        <v>2024</v>
      </c>
      <c r="U157" t="str">
        <f>TEXT(Table14[[#This Row],[Admission Date]],"mmm-yyyy")</f>
        <v>Feb-2024</v>
      </c>
      <c r="V157">
        <f t="shared" ca="1" si="2"/>
        <v>8</v>
      </c>
    </row>
    <row r="158" spans="1:22" x14ac:dyDescent="0.2">
      <c r="A158" t="s">
        <v>123</v>
      </c>
      <c r="B158" s="3">
        <v>45327</v>
      </c>
      <c r="C158" s="3">
        <v>45328</v>
      </c>
      <c r="D158">
        <f ca="1">IF(ISBLANK(Table14[[#This Row],[Discharge Date]]),TODAY()-Table14[[#This Row],[Admission Date]], Table14[[#This Row],[Discharge Date]]-Table14[[#This Row],[Admission Date]])</f>
        <v>1</v>
      </c>
      <c r="E158" s="6" t="str">
        <f>IF(Table14[[#This Row],[Discharge Date]]="","Still Admitted","Patient Discharged")</f>
        <v>Patient Discharged</v>
      </c>
      <c r="F158" s="6" t="str">
        <f>IF(WEEKDAY(Table14[[#This Row],[Admission Date]],2)&gt;5,"Weekend","Weekday")</f>
        <v>Weekday</v>
      </c>
      <c r="G158" t="s">
        <v>528</v>
      </c>
      <c r="H158">
        <v>50</v>
      </c>
      <c r="I158" t="str" cm="1">
        <f t="array" ref="I158">_xlfn.IFS(Table14[[#This Row],[Age]]&lt;18,"Children",Table14[[#This Row],[Age]]&lt;50,"Adult",Table14[[#This Row],[Age]]&gt;=50,"Elderly")</f>
        <v>Elderly</v>
      </c>
      <c r="J158" t="s">
        <v>547</v>
      </c>
      <c r="K158" s="7">
        <v>148240</v>
      </c>
      <c r="L158" s="2" t="str" cm="1">
        <f t="array" ref="L158">_xlfn.IFS(Table14[[#This Row],[Treatment Cost]]&lt;50000,"Low Billing",Table14[[#This Row],[Treatment Cost]]&lt;200000,"Moderate Billing",Table14[[#This Row],[Treatment Cost]]&gt;=200000,"High Billing")</f>
        <v>Moderate Billing</v>
      </c>
      <c r="M158" t="s">
        <v>6</v>
      </c>
      <c r="N158" t="str">
        <f>IF(AND(Table14[[#This Row],[Outcome]]="Follow-up",Table14[[#This Row],[Admission Status]]="Patient Discharged"),"High Risk Patient","Low Risk Patient")</f>
        <v>Low Risk Patient</v>
      </c>
      <c r="O158" t="str">
        <f>IFERROR(VLOOKUP(Table14[[#This Row],[Department]],Doctor_Info!A:D,2,FALSE), "")</f>
        <v>Dr. Kofi</v>
      </c>
      <c r="P158" t="str">
        <f>IF(COUNTIF(A:A,Table14[[#This Row],[Patient ID]]&gt;1),"Returning Patient","New Patient")</f>
        <v>New Patient</v>
      </c>
      <c r="Q158" t="str">
        <f>_xlfn.XLOOKUP(Table14[[#This Row],[Department]], Doctor_Info!A:A, Doctor_Info!C:C, "")&amp;""</f>
        <v>102</v>
      </c>
      <c r="R158" t="str">
        <f>TEXT(Table14[[#This Row],[Admission Date]],"ddd")</f>
        <v>Mon</v>
      </c>
      <c r="S158" t="str">
        <f>TEXT(Table14[[#This Row],[Admission Date]],"mmm")</f>
        <v>Feb</v>
      </c>
      <c r="T158" t="str">
        <f>TEXT(Table14[[#This Row],[Admission Date]],"yyyy")</f>
        <v>2024</v>
      </c>
      <c r="U158" t="str">
        <f>TEXT(Table14[[#This Row],[Admission Date]],"mmm-yyyy")</f>
        <v>Feb-2024</v>
      </c>
      <c r="V158">
        <f t="shared" ca="1" si="2"/>
        <v>8</v>
      </c>
    </row>
    <row r="159" spans="1:22" x14ac:dyDescent="0.2">
      <c r="A159" t="s">
        <v>171</v>
      </c>
      <c r="B159" s="3">
        <v>45332</v>
      </c>
      <c r="D159">
        <f ca="1">IF(ISBLANK(Table14[[#This Row],[Discharge Date]]),TODAY()-Table14[[#This Row],[Admission Date]], Table14[[#This Row],[Discharge Date]]-Table14[[#This Row],[Admission Date]])</f>
        <v>806</v>
      </c>
      <c r="E159" s="6" t="str">
        <f>IF(Table14[[#This Row],[Discharge Date]]="","Still Admitted","Patient Discharged")</f>
        <v>Still Admitted</v>
      </c>
      <c r="F159" s="6" t="str">
        <f>IF(WEEKDAY(Table14[[#This Row],[Admission Date]],2)&gt;5,"Weekend","Weekday")</f>
        <v>Weekend</v>
      </c>
      <c r="G159" t="s">
        <v>10</v>
      </c>
      <c r="H159">
        <v>48</v>
      </c>
      <c r="I159" t="str" cm="1">
        <f t="array" ref="I159">_xlfn.IFS(Table14[[#This Row],[Age]]&lt;18,"Children",Table14[[#This Row],[Age]]&lt;50,"Adult",Table14[[#This Row],[Age]]&gt;=50,"Elderly")</f>
        <v>Adult</v>
      </c>
      <c r="J159" t="s">
        <v>547</v>
      </c>
      <c r="K159" s="7">
        <v>149210</v>
      </c>
      <c r="L159" s="2" t="str" cm="1">
        <f t="array" ref="L159">_xlfn.IFS(Table14[[#This Row],[Treatment Cost]]&lt;50000,"Low Billing",Table14[[#This Row],[Treatment Cost]]&lt;200000,"Moderate Billing",Table14[[#This Row],[Treatment Cost]]&gt;=200000,"High Billing")</f>
        <v>Moderate Billing</v>
      </c>
      <c r="M159" t="s">
        <v>403</v>
      </c>
      <c r="N159" t="str">
        <f>IF(AND(Table14[[#This Row],[Outcome]]="Follow-up",Table14[[#This Row],[Admission Status]]="Patient Discharged"),"High Risk Patient","Low Risk Patient")</f>
        <v>Low Risk Patient</v>
      </c>
      <c r="O159" t="str">
        <f>IFERROR(VLOOKUP(Table14[[#This Row],[Department]],Doctor_Info!A:D,2,FALSE), "")</f>
        <v>Dr. George</v>
      </c>
      <c r="P159" t="str">
        <f>IF(COUNTIF(A:A,Table14[[#This Row],[Patient ID]]&gt;1),"Returning Patient","New Patient")</f>
        <v>New Patient</v>
      </c>
      <c r="Q159" t="str">
        <f>_xlfn.XLOOKUP(Table14[[#This Row],[Department]], Doctor_Info!A:A, Doctor_Info!C:C, "")&amp;""</f>
        <v>405</v>
      </c>
      <c r="R159" t="str">
        <f>TEXT(Table14[[#This Row],[Admission Date]],"ddd")</f>
        <v>Sat</v>
      </c>
      <c r="S159" t="str">
        <f>TEXT(Table14[[#This Row],[Admission Date]],"mmm")</f>
        <v>Feb</v>
      </c>
      <c r="T159" t="str">
        <f>TEXT(Table14[[#This Row],[Admission Date]],"yyyy")</f>
        <v>2024</v>
      </c>
      <c r="U159" t="str">
        <f>TEXT(Table14[[#This Row],[Admission Date]],"mmm-yyyy")</f>
        <v>Feb-2024</v>
      </c>
      <c r="V159">
        <f t="shared" ca="1" si="2"/>
        <v>8</v>
      </c>
    </row>
    <row r="160" spans="1:22" x14ac:dyDescent="0.2">
      <c r="A160" t="s">
        <v>172</v>
      </c>
      <c r="B160" s="3">
        <v>45319</v>
      </c>
      <c r="C160" s="3">
        <v>45327</v>
      </c>
      <c r="D160">
        <f ca="1">IF(ISBLANK(Table14[[#This Row],[Discharge Date]]),TODAY()-Table14[[#This Row],[Admission Date]], Table14[[#This Row],[Discharge Date]]-Table14[[#This Row],[Admission Date]])</f>
        <v>8</v>
      </c>
      <c r="E160" s="6" t="str">
        <f>IF(Table14[[#This Row],[Discharge Date]]="","Still Admitted","Patient Discharged")</f>
        <v>Patient Discharged</v>
      </c>
      <c r="F160" s="6" t="str">
        <f>IF(WEEKDAY(Table14[[#This Row],[Admission Date]],2)&gt;5,"Weekend","Weekday")</f>
        <v>Weekend</v>
      </c>
      <c r="G160" t="s">
        <v>7</v>
      </c>
      <c r="H160">
        <v>50</v>
      </c>
      <c r="I160" t="str" cm="1">
        <f t="array" ref="I160">_xlfn.IFS(Table14[[#This Row],[Age]]&lt;18,"Children",Table14[[#This Row],[Age]]&lt;50,"Adult",Table14[[#This Row],[Age]]&gt;=50,"Elderly")</f>
        <v>Elderly</v>
      </c>
      <c r="J160" t="s">
        <v>546</v>
      </c>
      <c r="K160" s="7">
        <v>150180</v>
      </c>
      <c r="L160" s="2" t="str" cm="1">
        <f t="array" ref="L160">_xlfn.IFS(Table14[[#This Row],[Treatment Cost]]&lt;50000,"Low Billing",Table14[[#This Row],[Treatment Cost]]&lt;200000,"Moderate Billing",Table14[[#This Row],[Treatment Cost]]&gt;=200000,"High Billing")</f>
        <v>Moderate Billing</v>
      </c>
      <c r="M160" t="s">
        <v>8</v>
      </c>
      <c r="N160" t="str">
        <f>IF(AND(Table14[[#This Row],[Outcome]]="Follow-up",Table14[[#This Row],[Admission Status]]="Patient Discharged"),"High Risk Patient","Low Risk Patient")</f>
        <v>High Risk Patient</v>
      </c>
      <c r="O160" t="str">
        <f>IFERROR(VLOOKUP(Table14[[#This Row],[Department]],Doctor_Info!A:D,2,FALSE), "")</f>
        <v>Dr. Ada</v>
      </c>
      <c r="P160" t="str">
        <f>IF(COUNTIF(A:A,Table14[[#This Row],[Patient ID]]&gt;1),"Returning Patient","New Patient")</f>
        <v>New Patient</v>
      </c>
      <c r="Q160" t="str">
        <f>_xlfn.XLOOKUP(Table14[[#This Row],[Department]], Doctor_Info!A:A, Doctor_Info!C:C, "")&amp;""</f>
        <v>301</v>
      </c>
      <c r="R160" t="str">
        <f>TEXT(Table14[[#This Row],[Admission Date]],"ddd")</f>
        <v>Sun</v>
      </c>
      <c r="S160" t="str">
        <f>TEXT(Table14[[#This Row],[Admission Date]],"mmm")</f>
        <v>Jan</v>
      </c>
      <c r="T160" t="str">
        <f>TEXT(Table14[[#This Row],[Admission Date]],"yyyy")</f>
        <v>2024</v>
      </c>
      <c r="U160" t="str">
        <f>TEXT(Table14[[#This Row],[Admission Date]],"mmm-yyyy")</f>
        <v>Jan-2024</v>
      </c>
      <c r="V160">
        <f t="shared" ca="1" si="2"/>
        <v>8</v>
      </c>
    </row>
    <row r="161" spans="1:22" x14ac:dyDescent="0.2">
      <c r="A161" t="s">
        <v>173</v>
      </c>
      <c r="B161" s="3">
        <v>45323</v>
      </c>
      <c r="C161" s="3">
        <v>45324</v>
      </c>
      <c r="D161">
        <f ca="1">IF(ISBLANK(Table14[[#This Row],[Discharge Date]]),TODAY()-Table14[[#This Row],[Admission Date]], Table14[[#This Row],[Discharge Date]]-Table14[[#This Row],[Admission Date]])</f>
        <v>1</v>
      </c>
      <c r="E161" s="6" t="str">
        <f>IF(Table14[[#This Row],[Discharge Date]]="","Still Admitted","Patient Discharged")</f>
        <v>Patient Discharged</v>
      </c>
      <c r="F161" s="6" t="str">
        <f>IF(WEEKDAY(Table14[[#This Row],[Admission Date]],2)&gt;5,"Weekend","Weekday")</f>
        <v>Weekday</v>
      </c>
      <c r="G161" t="s">
        <v>528</v>
      </c>
      <c r="H161">
        <v>52</v>
      </c>
      <c r="I161" t="str" cm="1">
        <f t="array" ref="I161">_xlfn.IFS(Table14[[#This Row],[Age]]&lt;18,"Children",Table14[[#This Row],[Age]]&lt;50,"Adult",Table14[[#This Row],[Age]]&gt;=50,"Elderly")</f>
        <v>Elderly</v>
      </c>
      <c r="J161" t="s">
        <v>547</v>
      </c>
      <c r="K161" s="7">
        <v>151150</v>
      </c>
      <c r="L161" s="2" t="str" cm="1">
        <f t="array" ref="L161">_xlfn.IFS(Table14[[#This Row],[Treatment Cost]]&lt;50000,"Low Billing",Table14[[#This Row],[Treatment Cost]]&lt;200000,"Moderate Billing",Table14[[#This Row],[Treatment Cost]]&gt;=200000,"High Billing")</f>
        <v>Moderate Billing</v>
      </c>
      <c r="M161" t="s">
        <v>6</v>
      </c>
      <c r="N161" t="str">
        <f>IF(AND(Table14[[#This Row],[Outcome]]="Follow-up",Table14[[#This Row],[Admission Status]]="Patient Discharged"),"High Risk Patient","Low Risk Patient")</f>
        <v>Low Risk Patient</v>
      </c>
      <c r="O161" t="str">
        <f>IFERROR(VLOOKUP(Table14[[#This Row],[Department]],Doctor_Info!A:D,2,FALSE), "")</f>
        <v>Dr. Kofi</v>
      </c>
      <c r="P161" t="str">
        <f>IF(COUNTIF(A:A,Table14[[#This Row],[Patient ID]]&gt;1),"Returning Patient","New Patient")</f>
        <v>New Patient</v>
      </c>
      <c r="Q161" t="str">
        <f>_xlfn.XLOOKUP(Table14[[#This Row],[Department]], Doctor_Info!A:A, Doctor_Info!C:C, "")&amp;""</f>
        <v>102</v>
      </c>
      <c r="R161" t="str">
        <f>TEXT(Table14[[#This Row],[Admission Date]],"ddd")</f>
        <v>Thu</v>
      </c>
      <c r="S161" t="str">
        <f>TEXT(Table14[[#This Row],[Admission Date]],"mmm")</f>
        <v>Feb</v>
      </c>
      <c r="T161" t="str">
        <f>TEXT(Table14[[#This Row],[Admission Date]],"yyyy")</f>
        <v>2024</v>
      </c>
      <c r="U161" t="str">
        <f>TEXT(Table14[[#This Row],[Admission Date]],"mmm-yyyy")</f>
        <v>Feb-2024</v>
      </c>
      <c r="V161">
        <f t="shared" ca="1" si="2"/>
        <v>8</v>
      </c>
    </row>
    <row r="162" spans="1:22" x14ac:dyDescent="0.2">
      <c r="A162" t="s">
        <v>174</v>
      </c>
      <c r="B162" s="3">
        <v>45325</v>
      </c>
      <c r="C162" s="3">
        <v>45337</v>
      </c>
      <c r="D162">
        <f ca="1">IF(ISBLANK(Table14[[#This Row],[Discharge Date]]),TODAY()-Table14[[#This Row],[Admission Date]], Table14[[#This Row],[Discharge Date]]-Table14[[#This Row],[Admission Date]])</f>
        <v>12</v>
      </c>
      <c r="E162" s="6" t="str">
        <f>IF(Table14[[#This Row],[Discharge Date]]="","Still Admitted","Patient Discharged")</f>
        <v>Patient Discharged</v>
      </c>
      <c r="F162" s="6" t="str">
        <f>IF(WEEKDAY(Table14[[#This Row],[Admission Date]],2)&gt;5,"Weekend","Weekday")</f>
        <v>Weekend</v>
      </c>
      <c r="G162" t="s">
        <v>12</v>
      </c>
      <c r="H162">
        <v>54</v>
      </c>
      <c r="I162" t="str" cm="1">
        <f t="array" ref="I162">_xlfn.IFS(Table14[[#This Row],[Age]]&lt;18,"Children",Table14[[#This Row],[Age]]&lt;50,"Adult",Table14[[#This Row],[Age]]&gt;=50,"Elderly")</f>
        <v>Elderly</v>
      </c>
      <c r="J162" t="s">
        <v>546</v>
      </c>
      <c r="K162" s="7">
        <v>152120</v>
      </c>
      <c r="L162" s="2" t="str" cm="1">
        <f t="array" ref="L162">_xlfn.IFS(Table14[[#This Row],[Treatment Cost]]&lt;50000,"Low Billing",Table14[[#This Row],[Treatment Cost]]&lt;200000,"Moderate Billing",Table14[[#This Row],[Treatment Cost]]&gt;=200000,"High Billing")</f>
        <v>Moderate Billing</v>
      </c>
      <c r="M162" t="s">
        <v>8</v>
      </c>
      <c r="N162" t="str">
        <f>IF(AND(Table14[[#This Row],[Outcome]]="Follow-up",Table14[[#This Row],[Admission Status]]="Patient Discharged"),"High Risk Patient","Low Risk Patient")</f>
        <v>High Risk Patient</v>
      </c>
      <c r="O162" t="str">
        <f>IFERROR(VLOOKUP(Table14[[#This Row],[Department]],Doctor_Info!A:D,2,FALSE), "")</f>
        <v>Dr. Temi</v>
      </c>
      <c r="P162" t="str">
        <f>IF(COUNTIF(A:A,Table14[[#This Row],[Patient ID]]&gt;1),"Returning Patient","New Patient")</f>
        <v>New Patient</v>
      </c>
      <c r="Q162" t="str">
        <f>_xlfn.XLOOKUP(Table14[[#This Row],[Department]], Doctor_Info!A:A, Doctor_Info!C:C, "")&amp;""</f>
        <v>502</v>
      </c>
      <c r="R162" t="str">
        <f>TEXT(Table14[[#This Row],[Admission Date]],"ddd")</f>
        <v>Sat</v>
      </c>
      <c r="S162" t="str">
        <f>TEXT(Table14[[#This Row],[Admission Date]],"mmm")</f>
        <v>Feb</v>
      </c>
      <c r="T162" t="str">
        <f>TEXT(Table14[[#This Row],[Admission Date]],"yyyy")</f>
        <v>2024</v>
      </c>
      <c r="U162" t="str">
        <f>TEXT(Table14[[#This Row],[Admission Date]],"mmm-yyyy")</f>
        <v>Feb-2024</v>
      </c>
      <c r="V162">
        <f t="shared" ca="1" si="2"/>
        <v>8</v>
      </c>
    </row>
    <row r="163" spans="1:22" x14ac:dyDescent="0.2">
      <c r="A163" t="s">
        <v>175</v>
      </c>
      <c r="B163" s="3">
        <v>45327</v>
      </c>
      <c r="C163" s="3">
        <v>45328</v>
      </c>
      <c r="D163">
        <f ca="1">IF(ISBLANK(Table14[[#This Row],[Discharge Date]]),TODAY()-Table14[[#This Row],[Admission Date]], Table14[[#This Row],[Discharge Date]]-Table14[[#This Row],[Admission Date]])</f>
        <v>1</v>
      </c>
      <c r="E163" s="6" t="str">
        <f>IF(Table14[[#This Row],[Discharge Date]]="","Still Admitted","Patient Discharged")</f>
        <v>Patient Discharged</v>
      </c>
      <c r="F163" s="6" t="str">
        <f>IF(WEEKDAY(Table14[[#This Row],[Admission Date]],2)&gt;5,"Weekend","Weekday")</f>
        <v>Weekday</v>
      </c>
      <c r="G163" t="s">
        <v>528</v>
      </c>
      <c r="H163">
        <v>56</v>
      </c>
      <c r="I163" t="str" cm="1">
        <f t="array" ref="I163">_xlfn.IFS(Table14[[#This Row],[Age]]&lt;18,"Children",Table14[[#This Row],[Age]]&lt;50,"Adult",Table14[[#This Row],[Age]]&gt;=50,"Elderly")</f>
        <v>Elderly</v>
      </c>
      <c r="J163" t="s">
        <v>547</v>
      </c>
      <c r="K163" s="7">
        <v>153090</v>
      </c>
      <c r="L163" s="2" t="str" cm="1">
        <f t="array" ref="L163">_xlfn.IFS(Table14[[#This Row],[Treatment Cost]]&lt;50000,"Low Billing",Table14[[#This Row],[Treatment Cost]]&lt;200000,"Moderate Billing",Table14[[#This Row],[Treatment Cost]]&gt;=200000,"High Billing")</f>
        <v>Moderate Billing</v>
      </c>
      <c r="M163" t="s">
        <v>6</v>
      </c>
      <c r="N163" t="str">
        <f>IF(AND(Table14[[#This Row],[Outcome]]="Follow-up",Table14[[#This Row],[Admission Status]]="Patient Discharged"),"High Risk Patient","Low Risk Patient")</f>
        <v>Low Risk Patient</v>
      </c>
      <c r="O163" t="str">
        <f>IFERROR(VLOOKUP(Table14[[#This Row],[Department]],Doctor_Info!A:D,2,FALSE), "")</f>
        <v>Dr. Kofi</v>
      </c>
      <c r="P163" t="str">
        <f>IF(COUNTIF(A:A,Table14[[#This Row],[Patient ID]]&gt;1),"Returning Patient","New Patient")</f>
        <v>New Patient</v>
      </c>
      <c r="Q163" t="str">
        <f>_xlfn.XLOOKUP(Table14[[#This Row],[Department]], Doctor_Info!A:A, Doctor_Info!C:C, "")&amp;""</f>
        <v>102</v>
      </c>
      <c r="R163" t="str">
        <f>TEXT(Table14[[#This Row],[Admission Date]],"ddd")</f>
        <v>Mon</v>
      </c>
      <c r="S163" t="str">
        <f>TEXT(Table14[[#This Row],[Admission Date]],"mmm")</f>
        <v>Feb</v>
      </c>
      <c r="T163" t="str">
        <f>TEXT(Table14[[#This Row],[Admission Date]],"yyyy")</f>
        <v>2024</v>
      </c>
      <c r="U163" t="str">
        <f>TEXT(Table14[[#This Row],[Admission Date]],"mmm-yyyy")</f>
        <v>Feb-2024</v>
      </c>
      <c r="V163">
        <f t="shared" ca="1" si="2"/>
        <v>8</v>
      </c>
    </row>
    <row r="164" spans="1:22" x14ac:dyDescent="0.2">
      <c r="A164" t="s">
        <v>176</v>
      </c>
      <c r="B164" s="3">
        <v>45332</v>
      </c>
      <c r="D164">
        <f ca="1">IF(ISBLANK(Table14[[#This Row],[Discharge Date]]),TODAY()-Table14[[#This Row],[Admission Date]], Table14[[#This Row],[Discharge Date]]-Table14[[#This Row],[Admission Date]])</f>
        <v>806</v>
      </c>
      <c r="E164" s="6" t="str">
        <f>IF(Table14[[#This Row],[Discharge Date]]="","Still Admitted","Patient Discharged")</f>
        <v>Still Admitted</v>
      </c>
      <c r="F164" s="6" t="str">
        <f>IF(WEEKDAY(Table14[[#This Row],[Admission Date]],2)&gt;5,"Weekend","Weekday")</f>
        <v>Weekend</v>
      </c>
      <c r="G164" t="s">
        <v>10</v>
      </c>
      <c r="H164">
        <v>58</v>
      </c>
      <c r="I164" t="str" cm="1">
        <f t="array" ref="I164">_xlfn.IFS(Table14[[#This Row],[Age]]&lt;18,"Children",Table14[[#This Row],[Age]]&lt;50,"Adult",Table14[[#This Row],[Age]]&gt;=50,"Elderly")</f>
        <v>Elderly</v>
      </c>
      <c r="J164" t="s">
        <v>547</v>
      </c>
      <c r="K164" s="7">
        <v>154060</v>
      </c>
      <c r="L164" s="2" t="str" cm="1">
        <f t="array" ref="L164">_xlfn.IFS(Table14[[#This Row],[Treatment Cost]]&lt;50000,"Low Billing",Table14[[#This Row],[Treatment Cost]]&lt;200000,"Moderate Billing",Table14[[#This Row],[Treatment Cost]]&gt;=200000,"High Billing")</f>
        <v>Moderate Billing</v>
      </c>
      <c r="M164" t="s">
        <v>403</v>
      </c>
      <c r="N164" t="str">
        <f>IF(AND(Table14[[#This Row],[Outcome]]="Follow-up",Table14[[#This Row],[Admission Status]]="Patient Discharged"),"High Risk Patient","Low Risk Patient")</f>
        <v>Low Risk Patient</v>
      </c>
      <c r="O164" t="str">
        <f>IFERROR(VLOOKUP(Table14[[#This Row],[Department]],Doctor_Info!A:D,2,FALSE), "")</f>
        <v>Dr. George</v>
      </c>
      <c r="P164" t="str">
        <f>IF(COUNTIF(A:A,Table14[[#This Row],[Patient ID]]&gt;1),"Returning Patient","New Patient")</f>
        <v>New Patient</v>
      </c>
      <c r="Q164" t="str">
        <f>_xlfn.XLOOKUP(Table14[[#This Row],[Department]], Doctor_Info!A:A, Doctor_Info!C:C, "")&amp;""</f>
        <v>405</v>
      </c>
      <c r="R164" t="str">
        <f>TEXT(Table14[[#This Row],[Admission Date]],"ddd")</f>
        <v>Sat</v>
      </c>
      <c r="S164" t="str">
        <f>TEXT(Table14[[#This Row],[Admission Date]],"mmm")</f>
        <v>Feb</v>
      </c>
      <c r="T164" t="str">
        <f>TEXT(Table14[[#This Row],[Admission Date]],"yyyy")</f>
        <v>2024</v>
      </c>
      <c r="U164" t="str">
        <f>TEXT(Table14[[#This Row],[Admission Date]],"mmm-yyyy")</f>
        <v>Feb-2024</v>
      </c>
      <c r="V164">
        <f t="shared" ca="1" si="2"/>
        <v>8</v>
      </c>
    </row>
    <row r="165" spans="1:22" x14ac:dyDescent="0.2">
      <c r="A165" t="s">
        <v>177</v>
      </c>
      <c r="B165" s="3">
        <v>45319</v>
      </c>
      <c r="C165" s="3">
        <v>45327</v>
      </c>
      <c r="D165">
        <f ca="1">IF(ISBLANK(Table14[[#This Row],[Discharge Date]]),TODAY()-Table14[[#This Row],[Admission Date]], Table14[[#This Row],[Discharge Date]]-Table14[[#This Row],[Admission Date]])</f>
        <v>8</v>
      </c>
      <c r="E165" s="6" t="str">
        <f>IF(Table14[[#This Row],[Discharge Date]]="","Still Admitted","Patient Discharged")</f>
        <v>Patient Discharged</v>
      </c>
      <c r="F165" s="6" t="str">
        <f>IF(WEEKDAY(Table14[[#This Row],[Admission Date]],2)&gt;5,"Weekend","Weekday")</f>
        <v>Weekend</v>
      </c>
      <c r="G165" t="s">
        <v>7</v>
      </c>
      <c r="H165">
        <v>60</v>
      </c>
      <c r="I165" t="str" cm="1">
        <f t="array" ref="I165">_xlfn.IFS(Table14[[#This Row],[Age]]&lt;18,"Children",Table14[[#This Row],[Age]]&lt;50,"Adult",Table14[[#This Row],[Age]]&gt;=50,"Elderly")</f>
        <v>Elderly</v>
      </c>
      <c r="J165" t="s">
        <v>546</v>
      </c>
      <c r="K165" s="7">
        <v>155030</v>
      </c>
      <c r="L165" s="2" t="str" cm="1">
        <f t="array" ref="L165">_xlfn.IFS(Table14[[#This Row],[Treatment Cost]]&lt;50000,"Low Billing",Table14[[#This Row],[Treatment Cost]]&lt;200000,"Moderate Billing",Table14[[#This Row],[Treatment Cost]]&gt;=200000,"High Billing")</f>
        <v>Moderate Billing</v>
      </c>
      <c r="M165" t="s">
        <v>8</v>
      </c>
      <c r="N165" t="str">
        <f>IF(AND(Table14[[#This Row],[Outcome]]="Follow-up",Table14[[#This Row],[Admission Status]]="Patient Discharged"),"High Risk Patient","Low Risk Patient")</f>
        <v>High Risk Patient</v>
      </c>
      <c r="O165" t="str">
        <f>IFERROR(VLOOKUP(Table14[[#This Row],[Department]],Doctor_Info!A:D,2,FALSE), "")</f>
        <v>Dr. Ada</v>
      </c>
      <c r="P165" t="str">
        <f>IF(COUNTIF(A:A,Table14[[#This Row],[Patient ID]]&gt;1),"Returning Patient","New Patient")</f>
        <v>New Patient</v>
      </c>
      <c r="Q165" t="str">
        <f>_xlfn.XLOOKUP(Table14[[#This Row],[Department]], Doctor_Info!A:A, Doctor_Info!C:C, "")&amp;""</f>
        <v>301</v>
      </c>
      <c r="R165" t="str">
        <f>TEXT(Table14[[#This Row],[Admission Date]],"ddd")</f>
        <v>Sun</v>
      </c>
      <c r="S165" t="str">
        <f>TEXT(Table14[[#This Row],[Admission Date]],"mmm")</f>
        <v>Jan</v>
      </c>
      <c r="T165" t="str">
        <f>TEXT(Table14[[#This Row],[Admission Date]],"yyyy")</f>
        <v>2024</v>
      </c>
      <c r="U165" t="str">
        <f>TEXT(Table14[[#This Row],[Admission Date]],"mmm-yyyy")</f>
        <v>Jan-2024</v>
      </c>
      <c r="V165">
        <f t="shared" ca="1" si="2"/>
        <v>8</v>
      </c>
    </row>
    <row r="166" spans="1:22" x14ac:dyDescent="0.2">
      <c r="A166" t="s">
        <v>178</v>
      </c>
      <c r="B166" s="3">
        <v>45323</v>
      </c>
      <c r="C166" s="3">
        <v>45324</v>
      </c>
      <c r="D166">
        <f ca="1">IF(ISBLANK(Table14[[#This Row],[Discharge Date]]),TODAY()-Table14[[#This Row],[Admission Date]], Table14[[#This Row],[Discharge Date]]-Table14[[#This Row],[Admission Date]])</f>
        <v>1</v>
      </c>
      <c r="E166" s="6" t="str">
        <f>IF(Table14[[#This Row],[Discharge Date]]="","Still Admitted","Patient Discharged")</f>
        <v>Patient Discharged</v>
      </c>
      <c r="F166" s="6" t="str">
        <f>IF(WEEKDAY(Table14[[#This Row],[Admission Date]],2)&gt;5,"Weekend","Weekday")</f>
        <v>Weekday</v>
      </c>
      <c r="G166" t="s">
        <v>528</v>
      </c>
      <c r="H166">
        <v>62</v>
      </c>
      <c r="I166" t="str" cm="1">
        <f t="array" ref="I166">_xlfn.IFS(Table14[[#This Row],[Age]]&lt;18,"Children",Table14[[#This Row],[Age]]&lt;50,"Adult",Table14[[#This Row],[Age]]&gt;=50,"Elderly")</f>
        <v>Elderly</v>
      </c>
      <c r="J166" t="s">
        <v>547</v>
      </c>
      <c r="K166" s="7">
        <v>156000</v>
      </c>
      <c r="L166" s="2" t="str" cm="1">
        <f t="array" ref="L166">_xlfn.IFS(Table14[[#This Row],[Treatment Cost]]&lt;50000,"Low Billing",Table14[[#This Row],[Treatment Cost]]&lt;200000,"Moderate Billing",Table14[[#This Row],[Treatment Cost]]&gt;=200000,"High Billing")</f>
        <v>Moderate Billing</v>
      </c>
      <c r="M166" t="s">
        <v>6</v>
      </c>
      <c r="N166" t="str">
        <f>IF(AND(Table14[[#This Row],[Outcome]]="Follow-up",Table14[[#This Row],[Admission Status]]="Patient Discharged"),"High Risk Patient","Low Risk Patient")</f>
        <v>Low Risk Patient</v>
      </c>
      <c r="O166" t="str">
        <f>IFERROR(VLOOKUP(Table14[[#This Row],[Department]],Doctor_Info!A:D,2,FALSE), "")</f>
        <v>Dr. Kofi</v>
      </c>
      <c r="P166" t="str">
        <f>IF(COUNTIF(A:A,Table14[[#This Row],[Patient ID]]&gt;1),"Returning Patient","New Patient")</f>
        <v>New Patient</v>
      </c>
      <c r="Q166" t="str">
        <f>_xlfn.XLOOKUP(Table14[[#This Row],[Department]], Doctor_Info!A:A, Doctor_Info!C:C, "")&amp;""</f>
        <v>102</v>
      </c>
      <c r="R166" t="str">
        <f>TEXT(Table14[[#This Row],[Admission Date]],"ddd")</f>
        <v>Thu</v>
      </c>
      <c r="S166" t="str">
        <f>TEXT(Table14[[#This Row],[Admission Date]],"mmm")</f>
        <v>Feb</v>
      </c>
      <c r="T166" t="str">
        <f>TEXT(Table14[[#This Row],[Admission Date]],"yyyy")</f>
        <v>2024</v>
      </c>
      <c r="U166" t="str">
        <f>TEXT(Table14[[#This Row],[Admission Date]],"mmm-yyyy")</f>
        <v>Feb-2024</v>
      </c>
      <c r="V166">
        <f t="shared" ca="1" si="2"/>
        <v>8</v>
      </c>
    </row>
    <row r="167" spans="1:22" x14ac:dyDescent="0.2">
      <c r="A167" t="s">
        <v>179</v>
      </c>
      <c r="B167" s="3">
        <v>45325</v>
      </c>
      <c r="C167" s="3">
        <v>45337</v>
      </c>
      <c r="D167">
        <f ca="1">IF(ISBLANK(Table14[[#This Row],[Discharge Date]]),TODAY()-Table14[[#This Row],[Admission Date]], Table14[[#This Row],[Discharge Date]]-Table14[[#This Row],[Admission Date]])</f>
        <v>12</v>
      </c>
      <c r="E167" s="6" t="str">
        <f>IF(Table14[[#This Row],[Discharge Date]]="","Still Admitted","Patient Discharged")</f>
        <v>Patient Discharged</v>
      </c>
      <c r="F167" s="6" t="str">
        <f>IF(WEEKDAY(Table14[[#This Row],[Admission Date]],2)&gt;5,"Weekend","Weekday")</f>
        <v>Weekend</v>
      </c>
      <c r="G167" t="s">
        <v>12</v>
      </c>
      <c r="H167">
        <v>64</v>
      </c>
      <c r="I167" t="str" cm="1">
        <f t="array" ref="I167">_xlfn.IFS(Table14[[#This Row],[Age]]&lt;18,"Children",Table14[[#This Row],[Age]]&lt;50,"Adult",Table14[[#This Row],[Age]]&gt;=50,"Elderly")</f>
        <v>Elderly</v>
      </c>
      <c r="J167" t="s">
        <v>546</v>
      </c>
      <c r="K167" s="7">
        <v>156970</v>
      </c>
      <c r="L167" s="2" t="str" cm="1">
        <f t="array" ref="L167">_xlfn.IFS(Table14[[#This Row],[Treatment Cost]]&lt;50000,"Low Billing",Table14[[#This Row],[Treatment Cost]]&lt;200000,"Moderate Billing",Table14[[#This Row],[Treatment Cost]]&gt;=200000,"High Billing")</f>
        <v>Moderate Billing</v>
      </c>
      <c r="M167" t="s">
        <v>8</v>
      </c>
      <c r="N167" t="str">
        <f>IF(AND(Table14[[#This Row],[Outcome]]="Follow-up",Table14[[#This Row],[Admission Status]]="Patient Discharged"),"High Risk Patient","Low Risk Patient")</f>
        <v>High Risk Patient</v>
      </c>
      <c r="O167" t="str">
        <f>IFERROR(VLOOKUP(Table14[[#This Row],[Department]],Doctor_Info!A:D,2,FALSE), "")</f>
        <v>Dr. Temi</v>
      </c>
      <c r="P167" t="str">
        <f>IF(COUNTIF(A:A,Table14[[#This Row],[Patient ID]]&gt;1),"Returning Patient","New Patient")</f>
        <v>New Patient</v>
      </c>
      <c r="Q167" t="str">
        <f>_xlfn.XLOOKUP(Table14[[#This Row],[Department]], Doctor_Info!A:A, Doctor_Info!C:C, "")&amp;""</f>
        <v>502</v>
      </c>
      <c r="R167" t="str">
        <f>TEXT(Table14[[#This Row],[Admission Date]],"ddd")</f>
        <v>Sat</v>
      </c>
      <c r="S167" t="str">
        <f>TEXT(Table14[[#This Row],[Admission Date]],"mmm")</f>
        <v>Feb</v>
      </c>
      <c r="T167" t="str">
        <f>TEXT(Table14[[#This Row],[Admission Date]],"yyyy")</f>
        <v>2024</v>
      </c>
      <c r="U167" t="str">
        <f>TEXT(Table14[[#This Row],[Admission Date]],"mmm-yyyy")</f>
        <v>Feb-2024</v>
      </c>
      <c r="V167">
        <f t="shared" ca="1" si="2"/>
        <v>8</v>
      </c>
    </row>
    <row r="168" spans="1:22" x14ac:dyDescent="0.2">
      <c r="A168" t="s">
        <v>180</v>
      </c>
      <c r="B168" s="3">
        <v>45327</v>
      </c>
      <c r="C168" s="3">
        <v>45328</v>
      </c>
      <c r="D168">
        <f ca="1">IF(ISBLANK(Table14[[#This Row],[Discharge Date]]),TODAY()-Table14[[#This Row],[Admission Date]], Table14[[#This Row],[Discharge Date]]-Table14[[#This Row],[Admission Date]])</f>
        <v>1</v>
      </c>
      <c r="E168" s="6" t="str">
        <f>IF(Table14[[#This Row],[Discharge Date]]="","Still Admitted","Patient Discharged")</f>
        <v>Patient Discharged</v>
      </c>
      <c r="F168" s="6" t="str">
        <f>IF(WEEKDAY(Table14[[#This Row],[Admission Date]],2)&gt;5,"Weekend","Weekday")</f>
        <v>Weekday</v>
      </c>
      <c r="G168" t="s">
        <v>528</v>
      </c>
      <c r="H168">
        <v>66</v>
      </c>
      <c r="I168" t="str" cm="1">
        <f t="array" ref="I168">_xlfn.IFS(Table14[[#This Row],[Age]]&lt;18,"Children",Table14[[#This Row],[Age]]&lt;50,"Adult",Table14[[#This Row],[Age]]&gt;=50,"Elderly")</f>
        <v>Elderly</v>
      </c>
      <c r="J168" t="s">
        <v>547</v>
      </c>
      <c r="K168" s="7">
        <v>157940</v>
      </c>
      <c r="L168" s="2" t="str" cm="1">
        <f t="array" ref="L168">_xlfn.IFS(Table14[[#This Row],[Treatment Cost]]&lt;50000,"Low Billing",Table14[[#This Row],[Treatment Cost]]&lt;200000,"Moderate Billing",Table14[[#This Row],[Treatment Cost]]&gt;=200000,"High Billing")</f>
        <v>Moderate Billing</v>
      </c>
      <c r="M168" t="s">
        <v>6</v>
      </c>
      <c r="N168" t="str">
        <f>IF(AND(Table14[[#This Row],[Outcome]]="Follow-up",Table14[[#This Row],[Admission Status]]="Patient Discharged"),"High Risk Patient","Low Risk Patient")</f>
        <v>Low Risk Patient</v>
      </c>
      <c r="O168" t="str">
        <f>IFERROR(VLOOKUP(Table14[[#This Row],[Department]],Doctor_Info!A:D,2,FALSE), "")</f>
        <v>Dr. Kofi</v>
      </c>
      <c r="P168" t="str">
        <f>IF(COUNTIF(A:A,Table14[[#This Row],[Patient ID]]&gt;1),"Returning Patient","New Patient")</f>
        <v>New Patient</v>
      </c>
      <c r="Q168" t="str">
        <f>_xlfn.XLOOKUP(Table14[[#This Row],[Department]], Doctor_Info!A:A, Doctor_Info!C:C, "")&amp;""</f>
        <v>102</v>
      </c>
      <c r="R168" t="str">
        <f>TEXT(Table14[[#This Row],[Admission Date]],"ddd")</f>
        <v>Mon</v>
      </c>
      <c r="S168" t="str">
        <f>TEXT(Table14[[#This Row],[Admission Date]],"mmm")</f>
        <v>Feb</v>
      </c>
      <c r="T168" t="str">
        <f>TEXT(Table14[[#This Row],[Admission Date]],"yyyy")</f>
        <v>2024</v>
      </c>
      <c r="U168" t="str">
        <f>TEXT(Table14[[#This Row],[Admission Date]],"mmm-yyyy")</f>
        <v>Feb-2024</v>
      </c>
      <c r="V168">
        <f t="shared" ca="1" si="2"/>
        <v>8</v>
      </c>
    </row>
    <row r="169" spans="1:22" x14ac:dyDescent="0.2">
      <c r="A169" t="s">
        <v>181</v>
      </c>
      <c r="B169" s="3">
        <v>45332</v>
      </c>
      <c r="D169">
        <f ca="1">IF(ISBLANK(Table14[[#This Row],[Discharge Date]]),TODAY()-Table14[[#This Row],[Admission Date]], Table14[[#This Row],[Discharge Date]]-Table14[[#This Row],[Admission Date]])</f>
        <v>806</v>
      </c>
      <c r="E169" s="6" t="str">
        <f>IF(Table14[[#This Row],[Discharge Date]]="","Still Admitted","Patient Discharged")</f>
        <v>Still Admitted</v>
      </c>
      <c r="F169" s="6" t="str">
        <f>IF(WEEKDAY(Table14[[#This Row],[Admission Date]],2)&gt;5,"Weekend","Weekday")</f>
        <v>Weekend</v>
      </c>
      <c r="G169" t="s">
        <v>10</v>
      </c>
      <c r="H169">
        <v>68</v>
      </c>
      <c r="I169" t="str" cm="1">
        <f t="array" ref="I169">_xlfn.IFS(Table14[[#This Row],[Age]]&lt;18,"Children",Table14[[#This Row],[Age]]&lt;50,"Adult",Table14[[#This Row],[Age]]&gt;=50,"Elderly")</f>
        <v>Elderly</v>
      </c>
      <c r="J169" t="s">
        <v>547</v>
      </c>
      <c r="K169" s="7">
        <v>158910</v>
      </c>
      <c r="L169" s="2" t="str" cm="1">
        <f t="array" ref="L169">_xlfn.IFS(Table14[[#This Row],[Treatment Cost]]&lt;50000,"Low Billing",Table14[[#This Row],[Treatment Cost]]&lt;200000,"Moderate Billing",Table14[[#This Row],[Treatment Cost]]&gt;=200000,"High Billing")</f>
        <v>Moderate Billing</v>
      </c>
      <c r="M169" t="s">
        <v>403</v>
      </c>
      <c r="N169" t="str">
        <f>IF(AND(Table14[[#This Row],[Outcome]]="Follow-up",Table14[[#This Row],[Admission Status]]="Patient Discharged"),"High Risk Patient","Low Risk Patient")</f>
        <v>Low Risk Patient</v>
      </c>
      <c r="O169" t="str">
        <f>IFERROR(VLOOKUP(Table14[[#This Row],[Department]],Doctor_Info!A:D,2,FALSE), "")</f>
        <v>Dr. George</v>
      </c>
      <c r="P169" t="str">
        <f>IF(COUNTIF(A:A,Table14[[#This Row],[Patient ID]]&gt;1),"Returning Patient","New Patient")</f>
        <v>New Patient</v>
      </c>
      <c r="Q169" t="str">
        <f>_xlfn.XLOOKUP(Table14[[#This Row],[Department]], Doctor_Info!A:A, Doctor_Info!C:C, "")&amp;""</f>
        <v>405</v>
      </c>
      <c r="R169" t="str">
        <f>TEXT(Table14[[#This Row],[Admission Date]],"ddd")</f>
        <v>Sat</v>
      </c>
      <c r="S169" t="str">
        <f>TEXT(Table14[[#This Row],[Admission Date]],"mmm")</f>
        <v>Feb</v>
      </c>
      <c r="T169" t="str">
        <f>TEXT(Table14[[#This Row],[Admission Date]],"yyyy")</f>
        <v>2024</v>
      </c>
      <c r="U169" t="str">
        <f>TEXT(Table14[[#This Row],[Admission Date]],"mmm-yyyy")</f>
        <v>Feb-2024</v>
      </c>
      <c r="V169">
        <f t="shared" ca="1" si="2"/>
        <v>8</v>
      </c>
    </row>
    <row r="170" spans="1:22" x14ac:dyDescent="0.2">
      <c r="A170" t="s">
        <v>182</v>
      </c>
      <c r="B170" s="3">
        <v>45319</v>
      </c>
      <c r="C170" s="3">
        <v>45327</v>
      </c>
      <c r="D170">
        <f ca="1">IF(ISBLANK(Table14[[#This Row],[Discharge Date]]),TODAY()-Table14[[#This Row],[Admission Date]], Table14[[#This Row],[Discharge Date]]-Table14[[#This Row],[Admission Date]])</f>
        <v>8</v>
      </c>
      <c r="E170" s="6" t="str">
        <f>IF(Table14[[#This Row],[Discharge Date]]="","Still Admitted","Patient Discharged")</f>
        <v>Patient Discharged</v>
      </c>
      <c r="F170" s="6" t="str">
        <f>IF(WEEKDAY(Table14[[#This Row],[Admission Date]],2)&gt;5,"Weekend","Weekday")</f>
        <v>Weekend</v>
      </c>
      <c r="G170" t="s">
        <v>7</v>
      </c>
      <c r="H170">
        <v>70</v>
      </c>
      <c r="I170" t="str" cm="1">
        <f t="array" ref="I170">_xlfn.IFS(Table14[[#This Row],[Age]]&lt;18,"Children",Table14[[#This Row],[Age]]&lt;50,"Adult",Table14[[#This Row],[Age]]&gt;=50,"Elderly")</f>
        <v>Elderly</v>
      </c>
      <c r="J170" t="s">
        <v>546</v>
      </c>
      <c r="K170" s="7">
        <v>159880</v>
      </c>
      <c r="L170" s="2" t="str" cm="1">
        <f t="array" ref="L170">_xlfn.IFS(Table14[[#This Row],[Treatment Cost]]&lt;50000,"Low Billing",Table14[[#This Row],[Treatment Cost]]&lt;200000,"Moderate Billing",Table14[[#This Row],[Treatment Cost]]&gt;=200000,"High Billing")</f>
        <v>Moderate Billing</v>
      </c>
      <c r="M170" t="s">
        <v>8</v>
      </c>
      <c r="N170" t="str">
        <f>IF(AND(Table14[[#This Row],[Outcome]]="Follow-up",Table14[[#This Row],[Admission Status]]="Patient Discharged"),"High Risk Patient","Low Risk Patient")</f>
        <v>High Risk Patient</v>
      </c>
      <c r="O170" t="str">
        <f>IFERROR(VLOOKUP(Table14[[#This Row],[Department]],Doctor_Info!A:D,2,FALSE), "")</f>
        <v>Dr. Ada</v>
      </c>
      <c r="P170" t="str">
        <f>IF(COUNTIF(A:A,Table14[[#This Row],[Patient ID]]&gt;1),"Returning Patient","New Patient")</f>
        <v>New Patient</v>
      </c>
      <c r="Q170" t="str">
        <f>_xlfn.XLOOKUP(Table14[[#This Row],[Department]], Doctor_Info!A:A, Doctor_Info!C:C, "")&amp;""</f>
        <v>301</v>
      </c>
      <c r="R170" t="str">
        <f>TEXT(Table14[[#This Row],[Admission Date]],"ddd")</f>
        <v>Sun</v>
      </c>
      <c r="S170" t="str">
        <f>TEXT(Table14[[#This Row],[Admission Date]],"mmm")</f>
        <v>Jan</v>
      </c>
      <c r="T170" t="str">
        <f>TEXT(Table14[[#This Row],[Admission Date]],"yyyy")</f>
        <v>2024</v>
      </c>
      <c r="U170" t="str">
        <f>TEXT(Table14[[#This Row],[Admission Date]],"mmm-yyyy")</f>
        <v>Jan-2024</v>
      </c>
      <c r="V170">
        <f t="shared" ca="1" si="2"/>
        <v>8</v>
      </c>
    </row>
    <row r="171" spans="1:22" x14ac:dyDescent="0.2">
      <c r="A171" t="s">
        <v>183</v>
      </c>
      <c r="B171" s="3">
        <v>45323</v>
      </c>
      <c r="C171" s="3">
        <v>45324</v>
      </c>
      <c r="D171">
        <f ca="1">IF(ISBLANK(Table14[[#This Row],[Discharge Date]]),TODAY()-Table14[[#This Row],[Admission Date]], Table14[[#This Row],[Discharge Date]]-Table14[[#This Row],[Admission Date]])</f>
        <v>1</v>
      </c>
      <c r="E171" s="6" t="str">
        <f>IF(Table14[[#This Row],[Discharge Date]]="","Still Admitted","Patient Discharged")</f>
        <v>Patient Discharged</v>
      </c>
      <c r="F171" s="6" t="str">
        <f>IF(WEEKDAY(Table14[[#This Row],[Admission Date]],2)&gt;5,"Weekend","Weekday")</f>
        <v>Weekday</v>
      </c>
      <c r="G171" t="s">
        <v>528</v>
      </c>
      <c r="H171">
        <v>72</v>
      </c>
      <c r="I171" t="str" cm="1">
        <f t="array" ref="I171">_xlfn.IFS(Table14[[#This Row],[Age]]&lt;18,"Children",Table14[[#This Row],[Age]]&lt;50,"Adult",Table14[[#This Row],[Age]]&gt;=50,"Elderly")</f>
        <v>Elderly</v>
      </c>
      <c r="J171" t="s">
        <v>547</v>
      </c>
      <c r="K171" s="7">
        <v>160850</v>
      </c>
      <c r="L171" s="2" t="str" cm="1">
        <f t="array" ref="L171">_xlfn.IFS(Table14[[#This Row],[Treatment Cost]]&lt;50000,"Low Billing",Table14[[#This Row],[Treatment Cost]]&lt;200000,"Moderate Billing",Table14[[#This Row],[Treatment Cost]]&gt;=200000,"High Billing")</f>
        <v>Moderate Billing</v>
      </c>
      <c r="M171" t="s">
        <v>6</v>
      </c>
      <c r="N171" t="str">
        <f>IF(AND(Table14[[#This Row],[Outcome]]="Follow-up",Table14[[#This Row],[Admission Status]]="Patient Discharged"),"High Risk Patient","Low Risk Patient")</f>
        <v>Low Risk Patient</v>
      </c>
      <c r="O171" t="str">
        <f>IFERROR(VLOOKUP(Table14[[#This Row],[Department]],Doctor_Info!A:D,2,FALSE), "")</f>
        <v>Dr. Kofi</v>
      </c>
      <c r="P171" t="str">
        <f>IF(COUNTIF(A:A,Table14[[#This Row],[Patient ID]]&gt;1),"Returning Patient","New Patient")</f>
        <v>New Patient</v>
      </c>
      <c r="Q171" t="str">
        <f>_xlfn.XLOOKUP(Table14[[#This Row],[Department]], Doctor_Info!A:A, Doctor_Info!C:C, "")&amp;""</f>
        <v>102</v>
      </c>
      <c r="R171" t="str">
        <f>TEXT(Table14[[#This Row],[Admission Date]],"ddd")</f>
        <v>Thu</v>
      </c>
      <c r="S171" t="str">
        <f>TEXT(Table14[[#This Row],[Admission Date]],"mmm")</f>
        <v>Feb</v>
      </c>
      <c r="T171" t="str">
        <f>TEXT(Table14[[#This Row],[Admission Date]],"yyyy")</f>
        <v>2024</v>
      </c>
      <c r="U171" t="str">
        <f>TEXT(Table14[[#This Row],[Admission Date]],"mmm-yyyy")</f>
        <v>Feb-2024</v>
      </c>
      <c r="V171">
        <f t="shared" ca="1" si="2"/>
        <v>8</v>
      </c>
    </row>
    <row r="172" spans="1:22" x14ac:dyDescent="0.2">
      <c r="A172" t="s">
        <v>184</v>
      </c>
      <c r="B172" s="3">
        <v>45325</v>
      </c>
      <c r="C172" s="3">
        <v>45337</v>
      </c>
      <c r="D172">
        <f ca="1">IF(ISBLANK(Table14[[#This Row],[Discharge Date]]),TODAY()-Table14[[#This Row],[Admission Date]], Table14[[#This Row],[Discharge Date]]-Table14[[#This Row],[Admission Date]])</f>
        <v>12</v>
      </c>
      <c r="E172" s="6" t="str">
        <f>IF(Table14[[#This Row],[Discharge Date]]="","Still Admitted","Patient Discharged")</f>
        <v>Patient Discharged</v>
      </c>
      <c r="F172" s="6" t="str">
        <f>IF(WEEKDAY(Table14[[#This Row],[Admission Date]],2)&gt;5,"Weekend","Weekday")</f>
        <v>Weekend</v>
      </c>
      <c r="G172" t="s">
        <v>12</v>
      </c>
      <c r="H172">
        <v>74</v>
      </c>
      <c r="I172" t="str" cm="1">
        <f t="array" ref="I172">_xlfn.IFS(Table14[[#This Row],[Age]]&lt;18,"Children",Table14[[#This Row],[Age]]&lt;50,"Adult",Table14[[#This Row],[Age]]&gt;=50,"Elderly")</f>
        <v>Elderly</v>
      </c>
      <c r="J172" t="s">
        <v>546</v>
      </c>
      <c r="K172" s="7">
        <v>161820</v>
      </c>
      <c r="L172" s="2" t="str" cm="1">
        <f t="array" ref="L172">_xlfn.IFS(Table14[[#This Row],[Treatment Cost]]&lt;50000,"Low Billing",Table14[[#This Row],[Treatment Cost]]&lt;200000,"Moderate Billing",Table14[[#This Row],[Treatment Cost]]&gt;=200000,"High Billing")</f>
        <v>Moderate Billing</v>
      </c>
      <c r="M172" t="s">
        <v>8</v>
      </c>
      <c r="N172" t="str">
        <f>IF(AND(Table14[[#This Row],[Outcome]]="Follow-up",Table14[[#This Row],[Admission Status]]="Patient Discharged"),"High Risk Patient","Low Risk Patient")</f>
        <v>High Risk Patient</v>
      </c>
      <c r="O172" t="str">
        <f>IFERROR(VLOOKUP(Table14[[#This Row],[Department]],Doctor_Info!A:D,2,FALSE), "")</f>
        <v>Dr. Temi</v>
      </c>
      <c r="P172" t="str">
        <f>IF(COUNTIF(A:A,Table14[[#This Row],[Patient ID]]&gt;1),"Returning Patient","New Patient")</f>
        <v>New Patient</v>
      </c>
      <c r="Q172" t="str">
        <f>_xlfn.XLOOKUP(Table14[[#This Row],[Department]], Doctor_Info!A:A, Doctor_Info!C:C, "")&amp;""</f>
        <v>502</v>
      </c>
      <c r="R172" t="str">
        <f>TEXT(Table14[[#This Row],[Admission Date]],"ddd")</f>
        <v>Sat</v>
      </c>
      <c r="S172" t="str">
        <f>TEXT(Table14[[#This Row],[Admission Date]],"mmm")</f>
        <v>Feb</v>
      </c>
      <c r="T172" t="str">
        <f>TEXT(Table14[[#This Row],[Admission Date]],"yyyy")</f>
        <v>2024</v>
      </c>
      <c r="U172" t="str">
        <f>TEXT(Table14[[#This Row],[Admission Date]],"mmm-yyyy")</f>
        <v>Feb-2024</v>
      </c>
      <c r="V172">
        <f t="shared" ca="1" si="2"/>
        <v>8</v>
      </c>
    </row>
    <row r="173" spans="1:22" x14ac:dyDescent="0.2">
      <c r="A173" t="s">
        <v>185</v>
      </c>
      <c r="B173" s="3">
        <v>45327</v>
      </c>
      <c r="C173" s="3">
        <v>45328</v>
      </c>
      <c r="D173">
        <f ca="1">IF(ISBLANK(Table14[[#This Row],[Discharge Date]]),TODAY()-Table14[[#This Row],[Admission Date]], Table14[[#This Row],[Discharge Date]]-Table14[[#This Row],[Admission Date]])</f>
        <v>1</v>
      </c>
      <c r="E173" s="6" t="str">
        <f>IF(Table14[[#This Row],[Discharge Date]]="","Still Admitted","Patient Discharged")</f>
        <v>Patient Discharged</v>
      </c>
      <c r="F173" s="6" t="str">
        <f>IF(WEEKDAY(Table14[[#This Row],[Admission Date]],2)&gt;5,"Weekend","Weekday")</f>
        <v>Weekday</v>
      </c>
      <c r="G173" t="s">
        <v>528</v>
      </c>
      <c r="H173">
        <v>76</v>
      </c>
      <c r="I173" t="str" cm="1">
        <f t="array" ref="I173">_xlfn.IFS(Table14[[#This Row],[Age]]&lt;18,"Children",Table14[[#This Row],[Age]]&lt;50,"Adult",Table14[[#This Row],[Age]]&gt;=50,"Elderly")</f>
        <v>Elderly</v>
      </c>
      <c r="J173" t="s">
        <v>547</v>
      </c>
      <c r="K173" s="7">
        <v>162790</v>
      </c>
      <c r="L173" s="2" t="str" cm="1">
        <f t="array" ref="L173">_xlfn.IFS(Table14[[#This Row],[Treatment Cost]]&lt;50000,"Low Billing",Table14[[#This Row],[Treatment Cost]]&lt;200000,"Moderate Billing",Table14[[#This Row],[Treatment Cost]]&gt;=200000,"High Billing")</f>
        <v>Moderate Billing</v>
      </c>
      <c r="M173" t="s">
        <v>6</v>
      </c>
      <c r="N173" t="str">
        <f>IF(AND(Table14[[#This Row],[Outcome]]="Follow-up",Table14[[#This Row],[Admission Status]]="Patient Discharged"),"High Risk Patient","Low Risk Patient")</f>
        <v>Low Risk Patient</v>
      </c>
      <c r="O173" t="str">
        <f>IFERROR(VLOOKUP(Table14[[#This Row],[Department]],Doctor_Info!A:D,2,FALSE), "")</f>
        <v>Dr. Kofi</v>
      </c>
      <c r="P173" t="str">
        <f>IF(COUNTIF(A:A,Table14[[#This Row],[Patient ID]]&gt;1),"Returning Patient","New Patient")</f>
        <v>New Patient</v>
      </c>
      <c r="Q173" t="str">
        <f>_xlfn.XLOOKUP(Table14[[#This Row],[Department]], Doctor_Info!A:A, Doctor_Info!C:C, "")&amp;""</f>
        <v>102</v>
      </c>
      <c r="R173" t="str">
        <f>TEXT(Table14[[#This Row],[Admission Date]],"ddd")</f>
        <v>Mon</v>
      </c>
      <c r="S173" t="str">
        <f>TEXT(Table14[[#This Row],[Admission Date]],"mmm")</f>
        <v>Feb</v>
      </c>
      <c r="T173" t="str">
        <f>TEXT(Table14[[#This Row],[Admission Date]],"yyyy")</f>
        <v>2024</v>
      </c>
      <c r="U173" t="str">
        <f>TEXT(Table14[[#This Row],[Admission Date]],"mmm-yyyy")</f>
        <v>Feb-2024</v>
      </c>
      <c r="V173">
        <f t="shared" ca="1" si="2"/>
        <v>8</v>
      </c>
    </row>
    <row r="174" spans="1:22" x14ac:dyDescent="0.2">
      <c r="A174" t="s">
        <v>186</v>
      </c>
      <c r="B174" s="3">
        <v>45332</v>
      </c>
      <c r="D174">
        <f ca="1">IF(ISBLANK(Table14[[#This Row],[Discharge Date]]),TODAY()-Table14[[#This Row],[Admission Date]], Table14[[#This Row],[Discharge Date]]-Table14[[#This Row],[Admission Date]])</f>
        <v>806</v>
      </c>
      <c r="E174" s="6" t="str">
        <f>IF(Table14[[#This Row],[Discharge Date]]="","Still Admitted","Patient Discharged")</f>
        <v>Still Admitted</v>
      </c>
      <c r="F174" s="6" t="str">
        <f>IF(WEEKDAY(Table14[[#This Row],[Admission Date]],2)&gt;5,"Weekend","Weekday")</f>
        <v>Weekend</v>
      </c>
      <c r="G174" t="s">
        <v>10</v>
      </c>
      <c r="H174">
        <v>78</v>
      </c>
      <c r="I174" t="str" cm="1">
        <f t="array" ref="I174">_xlfn.IFS(Table14[[#This Row],[Age]]&lt;18,"Children",Table14[[#This Row],[Age]]&lt;50,"Adult",Table14[[#This Row],[Age]]&gt;=50,"Elderly")</f>
        <v>Elderly</v>
      </c>
      <c r="J174" t="s">
        <v>547</v>
      </c>
      <c r="K174" s="7">
        <v>163760</v>
      </c>
      <c r="L174" s="2" t="str" cm="1">
        <f t="array" ref="L174">_xlfn.IFS(Table14[[#This Row],[Treatment Cost]]&lt;50000,"Low Billing",Table14[[#This Row],[Treatment Cost]]&lt;200000,"Moderate Billing",Table14[[#This Row],[Treatment Cost]]&gt;=200000,"High Billing")</f>
        <v>Moderate Billing</v>
      </c>
      <c r="M174" t="s">
        <v>403</v>
      </c>
      <c r="N174" t="str">
        <f>IF(AND(Table14[[#This Row],[Outcome]]="Follow-up",Table14[[#This Row],[Admission Status]]="Patient Discharged"),"High Risk Patient","Low Risk Patient")</f>
        <v>Low Risk Patient</v>
      </c>
      <c r="O174" t="str">
        <f>IFERROR(VLOOKUP(Table14[[#This Row],[Department]],Doctor_Info!A:D,2,FALSE), "")</f>
        <v>Dr. George</v>
      </c>
      <c r="P174" t="str">
        <f>IF(COUNTIF(A:A,Table14[[#This Row],[Patient ID]]&gt;1),"Returning Patient","New Patient")</f>
        <v>New Patient</v>
      </c>
      <c r="Q174" t="str">
        <f>_xlfn.XLOOKUP(Table14[[#This Row],[Department]], Doctor_Info!A:A, Doctor_Info!C:C, "")&amp;""</f>
        <v>405</v>
      </c>
      <c r="R174" t="str">
        <f>TEXT(Table14[[#This Row],[Admission Date]],"ddd")</f>
        <v>Sat</v>
      </c>
      <c r="S174" t="str">
        <f>TEXT(Table14[[#This Row],[Admission Date]],"mmm")</f>
        <v>Feb</v>
      </c>
      <c r="T174" t="str">
        <f>TEXT(Table14[[#This Row],[Admission Date]],"yyyy")</f>
        <v>2024</v>
      </c>
      <c r="U174" t="str">
        <f>TEXT(Table14[[#This Row],[Admission Date]],"mmm-yyyy")</f>
        <v>Feb-2024</v>
      </c>
      <c r="V174">
        <f t="shared" ca="1" si="2"/>
        <v>8</v>
      </c>
    </row>
    <row r="175" spans="1:22" x14ac:dyDescent="0.2">
      <c r="A175" t="s">
        <v>187</v>
      </c>
      <c r="B175" s="3">
        <v>45319</v>
      </c>
      <c r="C175" s="3">
        <v>45327</v>
      </c>
      <c r="D175">
        <f ca="1">IF(ISBLANK(Table14[[#This Row],[Discharge Date]]),TODAY()-Table14[[#This Row],[Admission Date]], Table14[[#This Row],[Discharge Date]]-Table14[[#This Row],[Admission Date]])</f>
        <v>8</v>
      </c>
      <c r="E175" s="6" t="str">
        <f>IF(Table14[[#This Row],[Discharge Date]]="","Still Admitted","Patient Discharged")</f>
        <v>Patient Discharged</v>
      </c>
      <c r="F175" s="6" t="str">
        <f>IF(WEEKDAY(Table14[[#This Row],[Admission Date]],2)&gt;5,"Weekend","Weekday")</f>
        <v>Weekend</v>
      </c>
      <c r="G175" t="s">
        <v>7</v>
      </c>
      <c r="H175">
        <v>80</v>
      </c>
      <c r="I175" t="str" cm="1">
        <f t="array" ref="I175">_xlfn.IFS(Table14[[#This Row],[Age]]&lt;18,"Children",Table14[[#This Row],[Age]]&lt;50,"Adult",Table14[[#This Row],[Age]]&gt;=50,"Elderly")</f>
        <v>Elderly</v>
      </c>
      <c r="J175" t="s">
        <v>546</v>
      </c>
      <c r="K175" s="7">
        <v>164730</v>
      </c>
      <c r="L175" s="2" t="str" cm="1">
        <f t="array" ref="L175">_xlfn.IFS(Table14[[#This Row],[Treatment Cost]]&lt;50000,"Low Billing",Table14[[#This Row],[Treatment Cost]]&lt;200000,"Moderate Billing",Table14[[#This Row],[Treatment Cost]]&gt;=200000,"High Billing")</f>
        <v>Moderate Billing</v>
      </c>
      <c r="M175" t="s">
        <v>8</v>
      </c>
      <c r="N175" t="str">
        <f>IF(AND(Table14[[#This Row],[Outcome]]="Follow-up",Table14[[#This Row],[Admission Status]]="Patient Discharged"),"High Risk Patient","Low Risk Patient")</f>
        <v>High Risk Patient</v>
      </c>
      <c r="O175" t="str">
        <f>IFERROR(VLOOKUP(Table14[[#This Row],[Department]],Doctor_Info!A:D,2,FALSE), "")</f>
        <v>Dr. Ada</v>
      </c>
      <c r="P175" t="str">
        <f>IF(COUNTIF(A:A,Table14[[#This Row],[Patient ID]]&gt;1),"Returning Patient","New Patient")</f>
        <v>New Patient</v>
      </c>
      <c r="Q175" t="str">
        <f>_xlfn.XLOOKUP(Table14[[#This Row],[Department]], Doctor_Info!A:A, Doctor_Info!C:C, "")&amp;""</f>
        <v>301</v>
      </c>
      <c r="R175" t="str">
        <f>TEXT(Table14[[#This Row],[Admission Date]],"ddd")</f>
        <v>Sun</v>
      </c>
      <c r="S175" t="str">
        <f>TEXT(Table14[[#This Row],[Admission Date]],"mmm")</f>
        <v>Jan</v>
      </c>
      <c r="T175" t="str">
        <f>TEXT(Table14[[#This Row],[Admission Date]],"yyyy")</f>
        <v>2024</v>
      </c>
      <c r="U175" t="str">
        <f>TEXT(Table14[[#This Row],[Admission Date]],"mmm-yyyy")</f>
        <v>Jan-2024</v>
      </c>
      <c r="V175">
        <f t="shared" ca="1" si="2"/>
        <v>8</v>
      </c>
    </row>
    <row r="176" spans="1:22" x14ac:dyDescent="0.2">
      <c r="A176" t="s">
        <v>188</v>
      </c>
      <c r="B176" s="3">
        <v>45323</v>
      </c>
      <c r="C176" s="3">
        <v>45324</v>
      </c>
      <c r="D176">
        <f ca="1">IF(ISBLANK(Table14[[#This Row],[Discharge Date]]),TODAY()-Table14[[#This Row],[Admission Date]], Table14[[#This Row],[Discharge Date]]-Table14[[#This Row],[Admission Date]])</f>
        <v>1</v>
      </c>
      <c r="E176" s="6" t="str">
        <f>IF(Table14[[#This Row],[Discharge Date]]="","Still Admitted","Patient Discharged")</f>
        <v>Patient Discharged</v>
      </c>
      <c r="F176" s="6" t="str">
        <f>IF(WEEKDAY(Table14[[#This Row],[Admission Date]],2)&gt;5,"Weekend","Weekday")</f>
        <v>Weekday</v>
      </c>
      <c r="G176" t="s">
        <v>528</v>
      </c>
      <c r="H176">
        <v>82</v>
      </c>
      <c r="I176" t="str" cm="1">
        <f t="array" ref="I176">_xlfn.IFS(Table14[[#This Row],[Age]]&lt;18,"Children",Table14[[#This Row],[Age]]&lt;50,"Adult",Table14[[#This Row],[Age]]&gt;=50,"Elderly")</f>
        <v>Elderly</v>
      </c>
      <c r="J176" t="s">
        <v>547</v>
      </c>
      <c r="K176" s="7">
        <v>165700</v>
      </c>
      <c r="L176" s="2" t="str" cm="1">
        <f t="array" ref="L176">_xlfn.IFS(Table14[[#This Row],[Treatment Cost]]&lt;50000,"Low Billing",Table14[[#This Row],[Treatment Cost]]&lt;200000,"Moderate Billing",Table14[[#This Row],[Treatment Cost]]&gt;=200000,"High Billing")</f>
        <v>Moderate Billing</v>
      </c>
      <c r="M176" t="s">
        <v>6</v>
      </c>
      <c r="N176" t="str">
        <f>IF(AND(Table14[[#This Row],[Outcome]]="Follow-up",Table14[[#This Row],[Admission Status]]="Patient Discharged"),"High Risk Patient","Low Risk Patient")</f>
        <v>Low Risk Patient</v>
      </c>
      <c r="O176" t="str">
        <f>IFERROR(VLOOKUP(Table14[[#This Row],[Department]],Doctor_Info!A:D,2,FALSE), "")</f>
        <v>Dr. Kofi</v>
      </c>
      <c r="P176" t="str">
        <f>IF(COUNTIF(A:A,Table14[[#This Row],[Patient ID]]&gt;1),"Returning Patient","New Patient")</f>
        <v>New Patient</v>
      </c>
      <c r="Q176" t="str">
        <f>_xlfn.XLOOKUP(Table14[[#This Row],[Department]], Doctor_Info!A:A, Doctor_Info!C:C, "")&amp;""</f>
        <v>102</v>
      </c>
      <c r="R176" t="str">
        <f>TEXT(Table14[[#This Row],[Admission Date]],"ddd")</f>
        <v>Thu</v>
      </c>
      <c r="S176" t="str">
        <f>TEXT(Table14[[#This Row],[Admission Date]],"mmm")</f>
        <v>Feb</v>
      </c>
      <c r="T176" t="str">
        <f>TEXT(Table14[[#This Row],[Admission Date]],"yyyy")</f>
        <v>2024</v>
      </c>
      <c r="U176" t="str">
        <f>TEXT(Table14[[#This Row],[Admission Date]],"mmm-yyyy")</f>
        <v>Feb-2024</v>
      </c>
      <c r="V176">
        <f t="shared" ca="1" si="2"/>
        <v>8</v>
      </c>
    </row>
    <row r="177" spans="1:22" x14ac:dyDescent="0.2">
      <c r="A177" t="s">
        <v>189</v>
      </c>
      <c r="B177" s="3">
        <v>45325</v>
      </c>
      <c r="C177" s="3">
        <v>45337</v>
      </c>
      <c r="D177">
        <f ca="1">IF(ISBLANK(Table14[[#This Row],[Discharge Date]]),TODAY()-Table14[[#This Row],[Admission Date]], Table14[[#This Row],[Discharge Date]]-Table14[[#This Row],[Admission Date]])</f>
        <v>12</v>
      </c>
      <c r="E177" s="6" t="str">
        <f>IF(Table14[[#This Row],[Discharge Date]]="","Still Admitted","Patient Discharged")</f>
        <v>Patient Discharged</v>
      </c>
      <c r="F177" s="6" t="str">
        <f>IF(WEEKDAY(Table14[[#This Row],[Admission Date]],2)&gt;5,"Weekend","Weekday")</f>
        <v>Weekend</v>
      </c>
      <c r="G177" t="s">
        <v>12</v>
      </c>
      <c r="H177">
        <v>84</v>
      </c>
      <c r="I177" t="str" cm="1">
        <f t="array" ref="I177">_xlfn.IFS(Table14[[#This Row],[Age]]&lt;18,"Children",Table14[[#This Row],[Age]]&lt;50,"Adult",Table14[[#This Row],[Age]]&gt;=50,"Elderly")</f>
        <v>Elderly</v>
      </c>
      <c r="J177" t="s">
        <v>546</v>
      </c>
      <c r="K177" s="7">
        <v>166670</v>
      </c>
      <c r="L177" s="2" t="str" cm="1">
        <f t="array" ref="L177">_xlfn.IFS(Table14[[#This Row],[Treatment Cost]]&lt;50000,"Low Billing",Table14[[#This Row],[Treatment Cost]]&lt;200000,"Moderate Billing",Table14[[#This Row],[Treatment Cost]]&gt;=200000,"High Billing")</f>
        <v>Moderate Billing</v>
      </c>
      <c r="M177" t="s">
        <v>8</v>
      </c>
      <c r="N177" t="str">
        <f>IF(AND(Table14[[#This Row],[Outcome]]="Follow-up",Table14[[#This Row],[Admission Status]]="Patient Discharged"),"High Risk Patient","Low Risk Patient")</f>
        <v>High Risk Patient</v>
      </c>
      <c r="O177" t="str">
        <f>IFERROR(VLOOKUP(Table14[[#This Row],[Department]],Doctor_Info!A:D,2,FALSE), "")</f>
        <v>Dr. Temi</v>
      </c>
      <c r="P177" t="str">
        <f>IF(COUNTIF(A:A,Table14[[#This Row],[Patient ID]]&gt;1),"Returning Patient","New Patient")</f>
        <v>New Patient</v>
      </c>
      <c r="Q177" t="str">
        <f>_xlfn.XLOOKUP(Table14[[#This Row],[Department]], Doctor_Info!A:A, Doctor_Info!C:C, "")&amp;""</f>
        <v>502</v>
      </c>
      <c r="R177" t="str">
        <f>TEXT(Table14[[#This Row],[Admission Date]],"ddd")</f>
        <v>Sat</v>
      </c>
      <c r="S177" t="str">
        <f>TEXT(Table14[[#This Row],[Admission Date]],"mmm")</f>
        <v>Feb</v>
      </c>
      <c r="T177" t="str">
        <f>TEXT(Table14[[#This Row],[Admission Date]],"yyyy")</f>
        <v>2024</v>
      </c>
      <c r="U177" t="str">
        <f>TEXT(Table14[[#This Row],[Admission Date]],"mmm-yyyy")</f>
        <v>Feb-2024</v>
      </c>
      <c r="V177">
        <f t="shared" ca="1" si="2"/>
        <v>8</v>
      </c>
    </row>
    <row r="178" spans="1:22" x14ac:dyDescent="0.2">
      <c r="A178" t="s">
        <v>190</v>
      </c>
      <c r="B178" s="3">
        <v>45327</v>
      </c>
      <c r="C178" s="3">
        <v>45328</v>
      </c>
      <c r="D178">
        <f ca="1">IF(ISBLANK(Table14[[#This Row],[Discharge Date]]),TODAY()-Table14[[#This Row],[Admission Date]], Table14[[#This Row],[Discharge Date]]-Table14[[#This Row],[Admission Date]])</f>
        <v>1</v>
      </c>
      <c r="E178" s="6" t="str">
        <f>IF(Table14[[#This Row],[Discharge Date]]="","Still Admitted","Patient Discharged")</f>
        <v>Patient Discharged</v>
      </c>
      <c r="F178" s="6" t="str">
        <f>IF(WEEKDAY(Table14[[#This Row],[Admission Date]],2)&gt;5,"Weekend","Weekday")</f>
        <v>Weekday</v>
      </c>
      <c r="G178" t="s">
        <v>528</v>
      </c>
      <c r="H178">
        <v>86</v>
      </c>
      <c r="I178" t="str" cm="1">
        <f t="array" ref="I178">_xlfn.IFS(Table14[[#This Row],[Age]]&lt;18,"Children",Table14[[#This Row],[Age]]&lt;50,"Adult",Table14[[#This Row],[Age]]&gt;=50,"Elderly")</f>
        <v>Elderly</v>
      </c>
      <c r="J178" t="s">
        <v>547</v>
      </c>
      <c r="K178" s="7">
        <v>167640</v>
      </c>
      <c r="L178" s="2" t="str" cm="1">
        <f t="array" ref="L178">_xlfn.IFS(Table14[[#This Row],[Treatment Cost]]&lt;50000,"Low Billing",Table14[[#This Row],[Treatment Cost]]&lt;200000,"Moderate Billing",Table14[[#This Row],[Treatment Cost]]&gt;=200000,"High Billing")</f>
        <v>Moderate Billing</v>
      </c>
      <c r="M178" t="s">
        <v>6</v>
      </c>
      <c r="N178" t="str">
        <f>IF(AND(Table14[[#This Row],[Outcome]]="Follow-up",Table14[[#This Row],[Admission Status]]="Patient Discharged"),"High Risk Patient","Low Risk Patient")</f>
        <v>Low Risk Patient</v>
      </c>
      <c r="O178" t="str">
        <f>IFERROR(VLOOKUP(Table14[[#This Row],[Department]],Doctor_Info!A:D,2,FALSE), "")</f>
        <v>Dr. Kofi</v>
      </c>
      <c r="P178" t="str">
        <f>IF(COUNTIF(A:A,Table14[[#This Row],[Patient ID]]&gt;1),"Returning Patient","New Patient")</f>
        <v>New Patient</v>
      </c>
      <c r="Q178" t="str">
        <f>_xlfn.XLOOKUP(Table14[[#This Row],[Department]], Doctor_Info!A:A, Doctor_Info!C:C, "")&amp;""</f>
        <v>102</v>
      </c>
      <c r="R178" t="str">
        <f>TEXT(Table14[[#This Row],[Admission Date]],"ddd")</f>
        <v>Mon</v>
      </c>
      <c r="S178" t="str">
        <f>TEXT(Table14[[#This Row],[Admission Date]],"mmm")</f>
        <v>Feb</v>
      </c>
      <c r="T178" t="str">
        <f>TEXT(Table14[[#This Row],[Admission Date]],"yyyy")</f>
        <v>2024</v>
      </c>
      <c r="U178" t="str">
        <f>TEXT(Table14[[#This Row],[Admission Date]],"mmm-yyyy")</f>
        <v>Feb-2024</v>
      </c>
      <c r="V178">
        <f t="shared" ca="1" si="2"/>
        <v>8</v>
      </c>
    </row>
    <row r="179" spans="1:22" x14ac:dyDescent="0.2">
      <c r="A179" t="s">
        <v>191</v>
      </c>
      <c r="B179" s="3">
        <v>45332</v>
      </c>
      <c r="D179">
        <f ca="1">IF(ISBLANK(Table14[[#This Row],[Discharge Date]]),TODAY()-Table14[[#This Row],[Admission Date]], Table14[[#This Row],[Discharge Date]]-Table14[[#This Row],[Admission Date]])</f>
        <v>806</v>
      </c>
      <c r="E179" s="6" t="str">
        <f>IF(Table14[[#This Row],[Discharge Date]]="","Still Admitted","Patient Discharged")</f>
        <v>Still Admitted</v>
      </c>
      <c r="F179" s="6" t="str">
        <f>IF(WEEKDAY(Table14[[#This Row],[Admission Date]],2)&gt;5,"Weekend","Weekday")</f>
        <v>Weekend</v>
      </c>
      <c r="G179" t="s">
        <v>10</v>
      </c>
      <c r="H179">
        <v>88</v>
      </c>
      <c r="I179" t="str" cm="1">
        <f t="array" ref="I179">_xlfn.IFS(Table14[[#This Row],[Age]]&lt;18,"Children",Table14[[#This Row],[Age]]&lt;50,"Adult",Table14[[#This Row],[Age]]&gt;=50,"Elderly")</f>
        <v>Elderly</v>
      </c>
      <c r="J179" t="s">
        <v>547</v>
      </c>
      <c r="K179" s="7">
        <v>168610</v>
      </c>
      <c r="L179" s="2" t="str" cm="1">
        <f t="array" ref="L179">_xlfn.IFS(Table14[[#This Row],[Treatment Cost]]&lt;50000,"Low Billing",Table14[[#This Row],[Treatment Cost]]&lt;200000,"Moderate Billing",Table14[[#This Row],[Treatment Cost]]&gt;=200000,"High Billing")</f>
        <v>Moderate Billing</v>
      </c>
      <c r="M179" t="s">
        <v>403</v>
      </c>
      <c r="N179" t="str">
        <f>IF(AND(Table14[[#This Row],[Outcome]]="Follow-up",Table14[[#This Row],[Admission Status]]="Patient Discharged"),"High Risk Patient","Low Risk Patient")</f>
        <v>Low Risk Patient</v>
      </c>
      <c r="O179" t="str">
        <f>IFERROR(VLOOKUP(Table14[[#This Row],[Department]],Doctor_Info!A:D,2,FALSE), "")</f>
        <v>Dr. George</v>
      </c>
      <c r="P179" t="str">
        <f>IF(COUNTIF(A:A,Table14[[#This Row],[Patient ID]]&gt;1),"Returning Patient","New Patient")</f>
        <v>New Patient</v>
      </c>
      <c r="Q179" t="str">
        <f>_xlfn.XLOOKUP(Table14[[#This Row],[Department]], Doctor_Info!A:A, Doctor_Info!C:C, "")&amp;""</f>
        <v>405</v>
      </c>
      <c r="R179" t="str">
        <f>TEXT(Table14[[#This Row],[Admission Date]],"ddd")</f>
        <v>Sat</v>
      </c>
      <c r="S179" t="str">
        <f>TEXT(Table14[[#This Row],[Admission Date]],"mmm")</f>
        <v>Feb</v>
      </c>
      <c r="T179" t="str">
        <f>TEXT(Table14[[#This Row],[Admission Date]],"yyyy")</f>
        <v>2024</v>
      </c>
      <c r="U179" t="str">
        <f>TEXT(Table14[[#This Row],[Admission Date]],"mmm-yyyy")</f>
        <v>Feb-2024</v>
      </c>
      <c r="V179">
        <f t="shared" ca="1" si="2"/>
        <v>8</v>
      </c>
    </row>
    <row r="180" spans="1:22" x14ac:dyDescent="0.2">
      <c r="A180" t="s">
        <v>192</v>
      </c>
      <c r="B180" s="3">
        <v>45319</v>
      </c>
      <c r="C180" s="3">
        <v>45327</v>
      </c>
      <c r="D180">
        <f ca="1">IF(ISBLANK(Table14[[#This Row],[Discharge Date]]),TODAY()-Table14[[#This Row],[Admission Date]], Table14[[#This Row],[Discharge Date]]-Table14[[#This Row],[Admission Date]])</f>
        <v>8</v>
      </c>
      <c r="E180" s="6" t="str">
        <f>IF(Table14[[#This Row],[Discharge Date]]="","Still Admitted","Patient Discharged")</f>
        <v>Patient Discharged</v>
      </c>
      <c r="F180" s="6" t="str">
        <f>IF(WEEKDAY(Table14[[#This Row],[Admission Date]],2)&gt;5,"Weekend","Weekday")</f>
        <v>Weekend</v>
      </c>
      <c r="G180" t="s">
        <v>7</v>
      </c>
      <c r="H180">
        <v>90</v>
      </c>
      <c r="I180" t="str" cm="1">
        <f t="array" ref="I180">_xlfn.IFS(Table14[[#This Row],[Age]]&lt;18,"Children",Table14[[#This Row],[Age]]&lt;50,"Adult",Table14[[#This Row],[Age]]&gt;=50,"Elderly")</f>
        <v>Elderly</v>
      </c>
      <c r="J180" t="s">
        <v>546</v>
      </c>
      <c r="K180" s="7">
        <v>169580</v>
      </c>
      <c r="L180" s="2" t="str" cm="1">
        <f t="array" ref="L180">_xlfn.IFS(Table14[[#This Row],[Treatment Cost]]&lt;50000,"Low Billing",Table14[[#This Row],[Treatment Cost]]&lt;200000,"Moderate Billing",Table14[[#This Row],[Treatment Cost]]&gt;=200000,"High Billing")</f>
        <v>Moderate Billing</v>
      </c>
      <c r="M180" t="s">
        <v>8</v>
      </c>
      <c r="N180" t="str">
        <f>IF(AND(Table14[[#This Row],[Outcome]]="Follow-up",Table14[[#This Row],[Admission Status]]="Patient Discharged"),"High Risk Patient","Low Risk Patient")</f>
        <v>High Risk Patient</v>
      </c>
      <c r="O180" t="str">
        <f>IFERROR(VLOOKUP(Table14[[#This Row],[Department]],Doctor_Info!A:D,2,FALSE), "")</f>
        <v>Dr. Ada</v>
      </c>
      <c r="P180" t="str">
        <f>IF(COUNTIF(A:A,Table14[[#This Row],[Patient ID]]&gt;1),"Returning Patient","New Patient")</f>
        <v>New Patient</v>
      </c>
      <c r="Q180" t="str">
        <f>_xlfn.XLOOKUP(Table14[[#This Row],[Department]], Doctor_Info!A:A, Doctor_Info!C:C, "")&amp;""</f>
        <v>301</v>
      </c>
      <c r="R180" t="str">
        <f>TEXT(Table14[[#This Row],[Admission Date]],"ddd")</f>
        <v>Sun</v>
      </c>
      <c r="S180" t="str">
        <f>TEXT(Table14[[#This Row],[Admission Date]],"mmm")</f>
        <v>Jan</v>
      </c>
      <c r="T180" t="str">
        <f>TEXT(Table14[[#This Row],[Admission Date]],"yyyy")</f>
        <v>2024</v>
      </c>
      <c r="U180" t="str">
        <f>TEXT(Table14[[#This Row],[Admission Date]],"mmm-yyyy")</f>
        <v>Jan-2024</v>
      </c>
      <c r="V180">
        <f t="shared" ca="1" si="2"/>
        <v>8</v>
      </c>
    </row>
    <row r="181" spans="1:22" x14ac:dyDescent="0.2">
      <c r="A181" t="s">
        <v>193</v>
      </c>
      <c r="B181" s="3">
        <v>45323</v>
      </c>
      <c r="C181" s="3">
        <v>45324</v>
      </c>
      <c r="D181">
        <f ca="1">IF(ISBLANK(Table14[[#This Row],[Discharge Date]]),TODAY()-Table14[[#This Row],[Admission Date]], Table14[[#This Row],[Discharge Date]]-Table14[[#This Row],[Admission Date]])</f>
        <v>1</v>
      </c>
      <c r="E181" s="6" t="str">
        <f>IF(Table14[[#This Row],[Discharge Date]]="","Still Admitted","Patient Discharged")</f>
        <v>Patient Discharged</v>
      </c>
      <c r="F181" s="6" t="str">
        <f>IF(WEEKDAY(Table14[[#This Row],[Admission Date]],2)&gt;5,"Weekend","Weekday")</f>
        <v>Weekday</v>
      </c>
      <c r="G181" t="s">
        <v>528</v>
      </c>
      <c r="H181">
        <v>92</v>
      </c>
      <c r="I181" t="str" cm="1">
        <f t="array" ref="I181">_xlfn.IFS(Table14[[#This Row],[Age]]&lt;18,"Children",Table14[[#This Row],[Age]]&lt;50,"Adult",Table14[[#This Row],[Age]]&gt;=50,"Elderly")</f>
        <v>Elderly</v>
      </c>
      <c r="J181" t="s">
        <v>547</v>
      </c>
      <c r="K181" s="7">
        <v>170550</v>
      </c>
      <c r="L181" s="2" t="str" cm="1">
        <f t="array" ref="L181">_xlfn.IFS(Table14[[#This Row],[Treatment Cost]]&lt;50000,"Low Billing",Table14[[#This Row],[Treatment Cost]]&lt;200000,"Moderate Billing",Table14[[#This Row],[Treatment Cost]]&gt;=200000,"High Billing")</f>
        <v>Moderate Billing</v>
      </c>
      <c r="M181" t="s">
        <v>6</v>
      </c>
      <c r="N181" t="str">
        <f>IF(AND(Table14[[#This Row],[Outcome]]="Follow-up",Table14[[#This Row],[Admission Status]]="Patient Discharged"),"High Risk Patient","Low Risk Patient")</f>
        <v>Low Risk Patient</v>
      </c>
      <c r="O181" t="str">
        <f>IFERROR(VLOOKUP(Table14[[#This Row],[Department]],Doctor_Info!A:D,2,FALSE), "")</f>
        <v>Dr. Kofi</v>
      </c>
      <c r="P181" t="str">
        <f>IF(COUNTIF(A:A,Table14[[#This Row],[Patient ID]]&gt;1),"Returning Patient","New Patient")</f>
        <v>New Patient</v>
      </c>
      <c r="Q181" t="str">
        <f>_xlfn.XLOOKUP(Table14[[#This Row],[Department]], Doctor_Info!A:A, Doctor_Info!C:C, "")&amp;""</f>
        <v>102</v>
      </c>
      <c r="R181" t="str">
        <f>TEXT(Table14[[#This Row],[Admission Date]],"ddd")</f>
        <v>Thu</v>
      </c>
      <c r="S181" t="str">
        <f>TEXT(Table14[[#This Row],[Admission Date]],"mmm")</f>
        <v>Feb</v>
      </c>
      <c r="T181" t="str">
        <f>TEXT(Table14[[#This Row],[Admission Date]],"yyyy")</f>
        <v>2024</v>
      </c>
      <c r="U181" t="str">
        <f>TEXT(Table14[[#This Row],[Admission Date]],"mmm-yyyy")</f>
        <v>Feb-2024</v>
      </c>
      <c r="V181">
        <f t="shared" ca="1" si="2"/>
        <v>8</v>
      </c>
    </row>
    <row r="182" spans="1:22" x14ac:dyDescent="0.2">
      <c r="A182" t="s">
        <v>194</v>
      </c>
      <c r="B182" s="3">
        <v>45325</v>
      </c>
      <c r="C182" s="3">
        <v>45337</v>
      </c>
      <c r="D182">
        <f ca="1">IF(ISBLANK(Table14[[#This Row],[Discharge Date]]),TODAY()-Table14[[#This Row],[Admission Date]], Table14[[#This Row],[Discharge Date]]-Table14[[#This Row],[Admission Date]])</f>
        <v>12</v>
      </c>
      <c r="E182" s="6" t="str">
        <f>IF(Table14[[#This Row],[Discharge Date]]="","Still Admitted","Patient Discharged")</f>
        <v>Patient Discharged</v>
      </c>
      <c r="F182" s="6" t="str">
        <f>IF(WEEKDAY(Table14[[#This Row],[Admission Date]],2)&gt;5,"Weekend","Weekday")</f>
        <v>Weekend</v>
      </c>
      <c r="G182" t="s">
        <v>12</v>
      </c>
      <c r="H182">
        <v>94</v>
      </c>
      <c r="I182" t="str" cm="1">
        <f t="array" ref="I182">_xlfn.IFS(Table14[[#This Row],[Age]]&lt;18,"Children",Table14[[#This Row],[Age]]&lt;50,"Adult",Table14[[#This Row],[Age]]&gt;=50,"Elderly")</f>
        <v>Elderly</v>
      </c>
      <c r="J182" t="s">
        <v>546</v>
      </c>
      <c r="K182" s="7">
        <v>171520</v>
      </c>
      <c r="L182" s="2" t="str" cm="1">
        <f t="array" ref="L182">_xlfn.IFS(Table14[[#This Row],[Treatment Cost]]&lt;50000,"Low Billing",Table14[[#This Row],[Treatment Cost]]&lt;200000,"Moderate Billing",Table14[[#This Row],[Treatment Cost]]&gt;=200000,"High Billing")</f>
        <v>Moderate Billing</v>
      </c>
      <c r="M182" t="s">
        <v>8</v>
      </c>
      <c r="N182" t="str">
        <f>IF(AND(Table14[[#This Row],[Outcome]]="Follow-up",Table14[[#This Row],[Admission Status]]="Patient Discharged"),"High Risk Patient","Low Risk Patient")</f>
        <v>High Risk Patient</v>
      </c>
      <c r="O182" t="str">
        <f>IFERROR(VLOOKUP(Table14[[#This Row],[Department]],Doctor_Info!A:D,2,FALSE), "")</f>
        <v>Dr. Temi</v>
      </c>
      <c r="P182" t="str">
        <f>IF(COUNTIF(A:A,Table14[[#This Row],[Patient ID]]&gt;1),"Returning Patient","New Patient")</f>
        <v>New Patient</v>
      </c>
      <c r="Q182" t="str">
        <f>_xlfn.XLOOKUP(Table14[[#This Row],[Department]], Doctor_Info!A:A, Doctor_Info!C:C, "")&amp;""</f>
        <v>502</v>
      </c>
      <c r="R182" t="str">
        <f>TEXT(Table14[[#This Row],[Admission Date]],"ddd")</f>
        <v>Sat</v>
      </c>
      <c r="S182" t="str">
        <f>TEXT(Table14[[#This Row],[Admission Date]],"mmm")</f>
        <v>Feb</v>
      </c>
      <c r="T182" t="str">
        <f>TEXT(Table14[[#This Row],[Admission Date]],"yyyy")</f>
        <v>2024</v>
      </c>
      <c r="U182" t="str">
        <f>TEXT(Table14[[#This Row],[Admission Date]],"mmm-yyyy")</f>
        <v>Feb-2024</v>
      </c>
      <c r="V182">
        <f t="shared" ca="1" si="2"/>
        <v>8</v>
      </c>
    </row>
    <row r="183" spans="1:22" x14ac:dyDescent="0.2">
      <c r="A183" t="s">
        <v>195</v>
      </c>
      <c r="B183" s="3">
        <v>45327</v>
      </c>
      <c r="C183" s="3">
        <v>45328</v>
      </c>
      <c r="D183">
        <f ca="1">IF(ISBLANK(Table14[[#This Row],[Discharge Date]]),TODAY()-Table14[[#This Row],[Admission Date]], Table14[[#This Row],[Discharge Date]]-Table14[[#This Row],[Admission Date]])</f>
        <v>1</v>
      </c>
      <c r="E183" s="6" t="str">
        <f>IF(Table14[[#This Row],[Discharge Date]]="","Still Admitted","Patient Discharged")</f>
        <v>Patient Discharged</v>
      </c>
      <c r="F183" s="6" t="str">
        <f>IF(WEEKDAY(Table14[[#This Row],[Admission Date]],2)&gt;5,"Weekend","Weekday")</f>
        <v>Weekday</v>
      </c>
      <c r="G183" t="s">
        <v>528</v>
      </c>
      <c r="H183">
        <v>96</v>
      </c>
      <c r="I183" t="str" cm="1">
        <f t="array" ref="I183">_xlfn.IFS(Table14[[#This Row],[Age]]&lt;18,"Children",Table14[[#This Row],[Age]]&lt;50,"Adult",Table14[[#This Row],[Age]]&gt;=50,"Elderly")</f>
        <v>Elderly</v>
      </c>
      <c r="J183" t="s">
        <v>547</v>
      </c>
      <c r="K183" s="7">
        <v>172490</v>
      </c>
      <c r="L183" s="2" t="str" cm="1">
        <f t="array" ref="L183">_xlfn.IFS(Table14[[#This Row],[Treatment Cost]]&lt;50000,"Low Billing",Table14[[#This Row],[Treatment Cost]]&lt;200000,"Moderate Billing",Table14[[#This Row],[Treatment Cost]]&gt;=200000,"High Billing")</f>
        <v>Moderate Billing</v>
      </c>
      <c r="M183" t="s">
        <v>6</v>
      </c>
      <c r="N183" t="str">
        <f>IF(AND(Table14[[#This Row],[Outcome]]="Follow-up",Table14[[#This Row],[Admission Status]]="Patient Discharged"),"High Risk Patient","Low Risk Patient")</f>
        <v>Low Risk Patient</v>
      </c>
      <c r="O183" t="str">
        <f>IFERROR(VLOOKUP(Table14[[#This Row],[Department]],Doctor_Info!A:D,2,FALSE), "")</f>
        <v>Dr. Kofi</v>
      </c>
      <c r="P183" t="str">
        <f>IF(COUNTIF(A:A,Table14[[#This Row],[Patient ID]]&gt;1),"Returning Patient","New Patient")</f>
        <v>New Patient</v>
      </c>
      <c r="Q183" t="str">
        <f>_xlfn.XLOOKUP(Table14[[#This Row],[Department]], Doctor_Info!A:A, Doctor_Info!C:C, "")&amp;""</f>
        <v>102</v>
      </c>
      <c r="R183" t="str">
        <f>TEXT(Table14[[#This Row],[Admission Date]],"ddd")</f>
        <v>Mon</v>
      </c>
      <c r="S183" t="str">
        <f>TEXT(Table14[[#This Row],[Admission Date]],"mmm")</f>
        <v>Feb</v>
      </c>
      <c r="T183" t="str">
        <f>TEXT(Table14[[#This Row],[Admission Date]],"yyyy")</f>
        <v>2024</v>
      </c>
      <c r="U183" t="str">
        <f>TEXT(Table14[[#This Row],[Admission Date]],"mmm-yyyy")</f>
        <v>Feb-2024</v>
      </c>
      <c r="V183">
        <f t="shared" ca="1" si="2"/>
        <v>8</v>
      </c>
    </row>
    <row r="184" spans="1:22" x14ac:dyDescent="0.2">
      <c r="A184" t="s">
        <v>196</v>
      </c>
      <c r="B184" s="3">
        <v>45332</v>
      </c>
      <c r="D184">
        <f ca="1">IF(ISBLANK(Table14[[#This Row],[Discharge Date]]),TODAY()-Table14[[#This Row],[Admission Date]], Table14[[#This Row],[Discharge Date]]-Table14[[#This Row],[Admission Date]])</f>
        <v>806</v>
      </c>
      <c r="E184" s="6" t="str">
        <f>IF(Table14[[#This Row],[Discharge Date]]="","Still Admitted","Patient Discharged")</f>
        <v>Still Admitted</v>
      </c>
      <c r="F184" s="6" t="str">
        <f>IF(WEEKDAY(Table14[[#This Row],[Admission Date]],2)&gt;5,"Weekend","Weekday")</f>
        <v>Weekend</v>
      </c>
      <c r="G184" t="s">
        <v>10</v>
      </c>
      <c r="H184">
        <v>98</v>
      </c>
      <c r="I184" t="str" cm="1">
        <f t="array" ref="I184">_xlfn.IFS(Table14[[#This Row],[Age]]&lt;18,"Children",Table14[[#This Row],[Age]]&lt;50,"Adult",Table14[[#This Row],[Age]]&gt;=50,"Elderly")</f>
        <v>Elderly</v>
      </c>
      <c r="J184" t="s">
        <v>547</v>
      </c>
      <c r="K184" s="7">
        <v>173460</v>
      </c>
      <c r="L184" s="2" t="str" cm="1">
        <f t="array" ref="L184">_xlfn.IFS(Table14[[#This Row],[Treatment Cost]]&lt;50000,"Low Billing",Table14[[#This Row],[Treatment Cost]]&lt;200000,"Moderate Billing",Table14[[#This Row],[Treatment Cost]]&gt;=200000,"High Billing")</f>
        <v>Moderate Billing</v>
      </c>
      <c r="M184" t="s">
        <v>403</v>
      </c>
      <c r="N184" t="str">
        <f>IF(AND(Table14[[#This Row],[Outcome]]="Follow-up",Table14[[#This Row],[Admission Status]]="Patient Discharged"),"High Risk Patient","Low Risk Patient")</f>
        <v>Low Risk Patient</v>
      </c>
      <c r="O184" t="str">
        <f>IFERROR(VLOOKUP(Table14[[#This Row],[Department]],Doctor_Info!A:D,2,FALSE), "")</f>
        <v>Dr. George</v>
      </c>
      <c r="P184" t="str">
        <f>IF(COUNTIF(A:A,Table14[[#This Row],[Patient ID]]&gt;1),"Returning Patient","New Patient")</f>
        <v>New Patient</v>
      </c>
      <c r="Q184" t="str">
        <f>_xlfn.XLOOKUP(Table14[[#This Row],[Department]], Doctor_Info!A:A, Doctor_Info!C:C, "")&amp;""</f>
        <v>405</v>
      </c>
      <c r="R184" t="str">
        <f>TEXT(Table14[[#This Row],[Admission Date]],"ddd")</f>
        <v>Sat</v>
      </c>
      <c r="S184" t="str">
        <f>TEXT(Table14[[#This Row],[Admission Date]],"mmm")</f>
        <v>Feb</v>
      </c>
      <c r="T184" t="str">
        <f>TEXT(Table14[[#This Row],[Admission Date]],"yyyy")</f>
        <v>2024</v>
      </c>
      <c r="U184" t="str">
        <f>TEXT(Table14[[#This Row],[Admission Date]],"mmm-yyyy")</f>
        <v>Feb-2024</v>
      </c>
      <c r="V184">
        <f t="shared" ca="1" si="2"/>
        <v>8</v>
      </c>
    </row>
    <row r="185" spans="1:22" x14ac:dyDescent="0.2">
      <c r="A185" t="s">
        <v>197</v>
      </c>
      <c r="B185" s="3">
        <v>45319</v>
      </c>
      <c r="C185" s="3">
        <v>45327</v>
      </c>
      <c r="D185">
        <f ca="1">IF(ISBLANK(Table14[[#This Row],[Discharge Date]]),TODAY()-Table14[[#This Row],[Admission Date]], Table14[[#This Row],[Discharge Date]]-Table14[[#This Row],[Admission Date]])</f>
        <v>8</v>
      </c>
      <c r="E185" s="6" t="str">
        <f>IF(Table14[[#This Row],[Discharge Date]]="","Still Admitted","Patient Discharged")</f>
        <v>Patient Discharged</v>
      </c>
      <c r="F185" s="6" t="str">
        <f>IF(WEEKDAY(Table14[[#This Row],[Admission Date]],2)&gt;5,"Weekend","Weekday")</f>
        <v>Weekend</v>
      </c>
      <c r="G185" t="s">
        <v>7</v>
      </c>
      <c r="H185">
        <v>100</v>
      </c>
      <c r="I185" t="str" cm="1">
        <f t="array" ref="I185">_xlfn.IFS(Table14[[#This Row],[Age]]&lt;18,"Children",Table14[[#This Row],[Age]]&lt;50,"Adult",Table14[[#This Row],[Age]]&gt;=50,"Elderly")</f>
        <v>Elderly</v>
      </c>
      <c r="J185" t="s">
        <v>546</v>
      </c>
      <c r="K185" s="7">
        <v>174430</v>
      </c>
      <c r="L185" s="2" t="str" cm="1">
        <f t="array" ref="L185">_xlfn.IFS(Table14[[#This Row],[Treatment Cost]]&lt;50000,"Low Billing",Table14[[#This Row],[Treatment Cost]]&lt;200000,"Moderate Billing",Table14[[#This Row],[Treatment Cost]]&gt;=200000,"High Billing")</f>
        <v>Moderate Billing</v>
      </c>
      <c r="M185" t="s">
        <v>8</v>
      </c>
      <c r="N185" t="str">
        <f>IF(AND(Table14[[#This Row],[Outcome]]="Follow-up",Table14[[#This Row],[Admission Status]]="Patient Discharged"),"High Risk Patient","Low Risk Patient")</f>
        <v>High Risk Patient</v>
      </c>
      <c r="O185" t="str">
        <f>IFERROR(VLOOKUP(Table14[[#This Row],[Department]],Doctor_Info!A:D,2,FALSE), "")</f>
        <v>Dr. Ada</v>
      </c>
      <c r="P185" t="str">
        <f>IF(COUNTIF(A:A,Table14[[#This Row],[Patient ID]]&gt;1),"Returning Patient","New Patient")</f>
        <v>New Patient</v>
      </c>
      <c r="Q185" t="str">
        <f>_xlfn.XLOOKUP(Table14[[#This Row],[Department]], Doctor_Info!A:A, Doctor_Info!C:C, "")&amp;""</f>
        <v>301</v>
      </c>
      <c r="R185" t="str">
        <f>TEXT(Table14[[#This Row],[Admission Date]],"ddd")</f>
        <v>Sun</v>
      </c>
      <c r="S185" t="str">
        <f>TEXT(Table14[[#This Row],[Admission Date]],"mmm")</f>
        <v>Jan</v>
      </c>
      <c r="T185" t="str">
        <f>TEXT(Table14[[#This Row],[Admission Date]],"yyyy")</f>
        <v>2024</v>
      </c>
      <c r="U185" t="str">
        <f>TEXT(Table14[[#This Row],[Admission Date]],"mmm-yyyy")</f>
        <v>Jan-2024</v>
      </c>
      <c r="V185">
        <f t="shared" ca="1" si="2"/>
        <v>8</v>
      </c>
    </row>
    <row r="186" spans="1:22" x14ac:dyDescent="0.2">
      <c r="A186" t="s">
        <v>198</v>
      </c>
      <c r="B186" s="3">
        <v>45323</v>
      </c>
      <c r="C186" s="3">
        <v>45324</v>
      </c>
      <c r="D186">
        <f ca="1">IF(ISBLANK(Table14[[#This Row],[Discharge Date]]),TODAY()-Table14[[#This Row],[Admission Date]], Table14[[#This Row],[Discharge Date]]-Table14[[#This Row],[Admission Date]])</f>
        <v>1</v>
      </c>
      <c r="E186" s="6" t="str">
        <f>IF(Table14[[#This Row],[Discharge Date]]="","Still Admitted","Patient Discharged")</f>
        <v>Patient Discharged</v>
      </c>
      <c r="F186" s="6" t="str">
        <f>IF(WEEKDAY(Table14[[#This Row],[Admission Date]],2)&gt;5,"Weekend","Weekday")</f>
        <v>Weekday</v>
      </c>
      <c r="G186" t="s">
        <v>528</v>
      </c>
      <c r="H186">
        <v>2</v>
      </c>
      <c r="I186" t="str" cm="1">
        <f t="array" ref="I186">_xlfn.IFS(Table14[[#This Row],[Age]]&lt;18,"Children",Table14[[#This Row],[Age]]&lt;50,"Adult",Table14[[#This Row],[Age]]&gt;=50,"Elderly")</f>
        <v>Children</v>
      </c>
      <c r="J186" t="s">
        <v>547</v>
      </c>
      <c r="K186" s="7">
        <v>175400</v>
      </c>
      <c r="L186" s="2" t="str" cm="1">
        <f t="array" ref="L186">_xlfn.IFS(Table14[[#This Row],[Treatment Cost]]&lt;50000,"Low Billing",Table14[[#This Row],[Treatment Cost]]&lt;200000,"Moderate Billing",Table14[[#This Row],[Treatment Cost]]&gt;=200000,"High Billing")</f>
        <v>Moderate Billing</v>
      </c>
      <c r="M186" t="s">
        <v>6</v>
      </c>
      <c r="N186" t="str">
        <f>IF(AND(Table14[[#This Row],[Outcome]]="Follow-up",Table14[[#This Row],[Admission Status]]="Patient Discharged"),"High Risk Patient","Low Risk Patient")</f>
        <v>Low Risk Patient</v>
      </c>
      <c r="O186" t="str">
        <f>IFERROR(VLOOKUP(Table14[[#This Row],[Department]],Doctor_Info!A:D,2,FALSE), "")</f>
        <v>Dr. Kofi</v>
      </c>
      <c r="P186" t="str">
        <f>IF(COUNTIF(A:A,Table14[[#This Row],[Patient ID]]&gt;1),"Returning Patient","New Patient")</f>
        <v>New Patient</v>
      </c>
      <c r="Q186" t="str">
        <f>_xlfn.XLOOKUP(Table14[[#This Row],[Department]], Doctor_Info!A:A, Doctor_Info!C:C, "")&amp;""</f>
        <v>102</v>
      </c>
      <c r="R186" t="str">
        <f>TEXT(Table14[[#This Row],[Admission Date]],"ddd")</f>
        <v>Thu</v>
      </c>
      <c r="S186" t="str">
        <f>TEXT(Table14[[#This Row],[Admission Date]],"mmm")</f>
        <v>Feb</v>
      </c>
      <c r="T186" t="str">
        <f>TEXT(Table14[[#This Row],[Admission Date]],"yyyy")</f>
        <v>2024</v>
      </c>
      <c r="U186" t="str">
        <f>TEXT(Table14[[#This Row],[Admission Date]],"mmm-yyyy")</f>
        <v>Feb-2024</v>
      </c>
      <c r="V186">
        <f t="shared" ca="1" si="2"/>
        <v>8</v>
      </c>
    </row>
    <row r="187" spans="1:22" x14ac:dyDescent="0.2">
      <c r="A187" t="s">
        <v>199</v>
      </c>
      <c r="B187" s="3">
        <v>45325</v>
      </c>
      <c r="C187" s="3">
        <v>45337</v>
      </c>
      <c r="D187">
        <f ca="1">IF(ISBLANK(Table14[[#This Row],[Discharge Date]]),TODAY()-Table14[[#This Row],[Admission Date]], Table14[[#This Row],[Discharge Date]]-Table14[[#This Row],[Admission Date]])</f>
        <v>12</v>
      </c>
      <c r="E187" s="6" t="str">
        <f>IF(Table14[[#This Row],[Discharge Date]]="","Still Admitted","Patient Discharged")</f>
        <v>Patient Discharged</v>
      </c>
      <c r="F187" s="6" t="str">
        <f>IF(WEEKDAY(Table14[[#This Row],[Admission Date]],2)&gt;5,"Weekend","Weekday")</f>
        <v>Weekend</v>
      </c>
      <c r="G187" t="s">
        <v>12</v>
      </c>
      <c r="H187">
        <v>4</v>
      </c>
      <c r="I187" t="str" cm="1">
        <f t="array" ref="I187">_xlfn.IFS(Table14[[#This Row],[Age]]&lt;18,"Children",Table14[[#This Row],[Age]]&lt;50,"Adult",Table14[[#This Row],[Age]]&gt;=50,"Elderly")</f>
        <v>Children</v>
      </c>
      <c r="J187" t="s">
        <v>546</v>
      </c>
      <c r="K187" s="7">
        <v>176370</v>
      </c>
      <c r="L187" s="2" t="str" cm="1">
        <f t="array" ref="L187">_xlfn.IFS(Table14[[#This Row],[Treatment Cost]]&lt;50000,"Low Billing",Table14[[#This Row],[Treatment Cost]]&lt;200000,"Moderate Billing",Table14[[#This Row],[Treatment Cost]]&gt;=200000,"High Billing")</f>
        <v>Moderate Billing</v>
      </c>
      <c r="M187" t="s">
        <v>8</v>
      </c>
      <c r="N187" t="str">
        <f>IF(AND(Table14[[#This Row],[Outcome]]="Follow-up",Table14[[#This Row],[Admission Status]]="Patient Discharged"),"High Risk Patient","Low Risk Patient")</f>
        <v>High Risk Patient</v>
      </c>
      <c r="O187" t="str">
        <f>IFERROR(VLOOKUP(Table14[[#This Row],[Department]],Doctor_Info!A:D,2,FALSE), "")</f>
        <v>Dr. Temi</v>
      </c>
      <c r="P187" t="str">
        <f>IF(COUNTIF(A:A,Table14[[#This Row],[Patient ID]]&gt;1),"Returning Patient","New Patient")</f>
        <v>New Patient</v>
      </c>
      <c r="Q187" t="str">
        <f>_xlfn.XLOOKUP(Table14[[#This Row],[Department]], Doctor_Info!A:A, Doctor_Info!C:C, "")&amp;""</f>
        <v>502</v>
      </c>
      <c r="R187" t="str">
        <f>TEXT(Table14[[#This Row],[Admission Date]],"ddd")</f>
        <v>Sat</v>
      </c>
      <c r="S187" t="str">
        <f>TEXT(Table14[[#This Row],[Admission Date]],"mmm")</f>
        <v>Feb</v>
      </c>
      <c r="T187" t="str">
        <f>TEXT(Table14[[#This Row],[Admission Date]],"yyyy")</f>
        <v>2024</v>
      </c>
      <c r="U187" t="str">
        <f>TEXT(Table14[[#This Row],[Admission Date]],"mmm-yyyy")</f>
        <v>Feb-2024</v>
      </c>
      <c r="V187">
        <f t="shared" ca="1" si="2"/>
        <v>8</v>
      </c>
    </row>
    <row r="188" spans="1:22" x14ac:dyDescent="0.2">
      <c r="A188" t="s">
        <v>200</v>
      </c>
      <c r="B188" s="3">
        <v>45327</v>
      </c>
      <c r="C188" s="3">
        <v>45328</v>
      </c>
      <c r="D188">
        <f ca="1">IF(ISBLANK(Table14[[#This Row],[Discharge Date]]),TODAY()-Table14[[#This Row],[Admission Date]], Table14[[#This Row],[Discharge Date]]-Table14[[#This Row],[Admission Date]])</f>
        <v>1</v>
      </c>
      <c r="E188" s="6" t="str">
        <f>IF(Table14[[#This Row],[Discharge Date]]="","Still Admitted","Patient Discharged")</f>
        <v>Patient Discharged</v>
      </c>
      <c r="F188" s="6" t="str">
        <f>IF(WEEKDAY(Table14[[#This Row],[Admission Date]],2)&gt;5,"Weekend","Weekday")</f>
        <v>Weekday</v>
      </c>
      <c r="G188" t="s">
        <v>528</v>
      </c>
      <c r="H188">
        <v>6</v>
      </c>
      <c r="I188" t="str" cm="1">
        <f t="array" ref="I188">_xlfn.IFS(Table14[[#This Row],[Age]]&lt;18,"Children",Table14[[#This Row],[Age]]&lt;50,"Adult",Table14[[#This Row],[Age]]&gt;=50,"Elderly")</f>
        <v>Children</v>
      </c>
      <c r="J188" t="s">
        <v>547</v>
      </c>
      <c r="K188" s="7">
        <v>177340</v>
      </c>
      <c r="L188" s="2" t="str" cm="1">
        <f t="array" ref="L188">_xlfn.IFS(Table14[[#This Row],[Treatment Cost]]&lt;50000,"Low Billing",Table14[[#This Row],[Treatment Cost]]&lt;200000,"Moderate Billing",Table14[[#This Row],[Treatment Cost]]&gt;=200000,"High Billing")</f>
        <v>Moderate Billing</v>
      </c>
      <c r="M188" t="s">
        <v>6</v>
      </c>
      <c r="N188" t="str">
        <f>IF(AND(Table14[[#This Row],[Outcome]]="Follow-up",Table14[[#This Row],[Admission Status]]="Patient Discharged"),"High Risk Patient","Low Risk Patient")</f>
        <v>Low Risk Patient</v>
      </c>
      <c r="O188" t="str">
        <f>IFERROR(VLOOKUP(Table14[[#This Row],[Department]],Doctor_Info!A:D,2,FALSE), "")</f>
        <v>Dr. Kofi</v>
      </c>
      <c r="P188" t="str">
        <f>IF(COUNTIF(A:A,Table14[[#This Row],[Patient ID]]&gt;1),"Returning Patient","New Patient")</f>
        <v>New Patient</v>
      </c>
      <c r="Q188" t="str">
        <f>_xlfn.XLOOKUP(Table14[[#This Row],[Department]], Doctor_Info!A:A, Doctor_Info!C:C, "")&amp;""</f>
        <v>102</v>
      </c>
      <c r="R188" t="str">
        <f>TEXT(Table14[[#This Row],[Admission Date]],"ddd")</f>
        <v>Mon</v>
      </c>
      <c r="S188" t="str">
        <f>TEXT(Table14[[#This Row],[Admission Date]],"mmm")</f>
        <v>Feb</v>
      </c>
      <c r="T188" t="str">
        <f>TEXT(Table14[[#This Row],[Admission Date]],"yyyy")</f>
        <v>2024</v>
      </c>
      <c r="U188" t="str">
        <f>TEXT(Table14[[#This Row],[Admission Date]],"mmm-yyyy")</f>
        <v>Feb-2024</v>
      </c>
      <c r="V188">
        <f t="shared" ca="1" si="2"/>
        <v>8</v>
      </c>
    </row>
    <row r="189" spans="1:22" x14ac:dyDescent="0.2">
      <c r="A189" t="s">
        <v>201</v>
      </c>
      <c r="B189" s="3">
        <v>45332</v>
      </c>
      <c r="D189">
        <f ca="1">IF(ISBLANK(Table14[[#This Row],[Discharge Date]]),TODAY()-Table14[[#This Row],[Admission Date]], Table14[[#This Row],[Discharge Date]]-Table14[[#This Row],[Admission Date]])</f>
        <v>806</v>
      </c>
      <c r="E189" s="6" t="str">
        <f>IF(Table14[[#This Row],[Discharge Date]]="","Still Admitted","Patient Discharged")</f>
        <v>Still Admitted</v>
      </c>
      <c r="F189" s="6" t="str">
        <f>IF(WEEKDAY(Table14[[#This Row],[Admission Date]],2)&gt;5,"Weekend","Weekday")</f>
        <v>Weekend</v>
      </c>
      <c r="G189" t="s">
        <v>10</v>
      </c>
      <c r="H189">
        <v>8</v>
      </c>
      <c r="I189" t="str" cm="1">
        <f t="array" ref="I189">_xlfn.IFS(Table14[[#This Row],[Age]]&lt;18,"Children",Table14[[#This Row],[Age]]&lt;50,"Adult",Table14[[#This Row],[Age]]&gt;=50,"Elderly")</f>
        <v>Children</v>
      </c>
      <c r="J189" t="s">
        <v>547</v>
      </c>
      <c r="K189" s="7">
        <v>178310</v>
      </c>
      <c r="L189" s="2" t="str" cm="1">
        <f t="array" ref="L189">_xlfn.IFS(Table14[[#This Row],[Treatment Cost]]&lt;50000,"Low Billing",Table14[[#This Row],[Treatment Cost]]&lt;200000,"Moderate Billing",Table14[[#This Row],[Treatment Cost]]&gt;=200000,"High Billing")</f>
        <v>Moderate Billing</v>
      </c>
      <c r="M189" t="s">
        <v>403</v>
      </c>
      <c r="N189" t="str">
        <f>IF(AND(Table14[[#This Row],[Outcome]]="Follow-up",Table14[[#This Row],[Admission Status]]="Patient Discharged"),"High Risk Patient","Low Risk Patient")</f>
        <v>Low Risk Patient</v>
      </c>
      <c r="O189" t="str">
        <f>IFERROR(VLOOKUP(Table14[[#This Row],[Department]],Doctor_Info!A:D,2,FALSE), "")</f>
        <v>Dr. George</v>
      </c>
      <c r="P189" t="str">
        <f>IF(COUNTIF(A:A,Table14[[#This Row],[Patient ID]]&gt;1),"Returning Patient","New Patient")</f>
        <v>New Patient</v>
      </c>
      <c r="Q189" t="str">
        <f>_xlfn.XLOOKUP(Table14[[#This Row],[Department]], Doctor_Info!A:A, Doctor_Info!C:C, "")&amp;""</f>
        <v>405</v>
      </c>
      <c r="R189" t="str">
        <f>TEXT(Table14[[#This Row],[Admission Date]],"ddd")</f>
        <v>Sat</v>
      </c>
      <c r="S189" t="str">
        <f>TEXT(Table14[[#This Row],[Admission Date]],"mmm")</f>
        <v>Feb</v>
      </c>
      <c r="T189" t="str">
        <f>TEXT(Table14[[#This Row],[Admission Date]],"yyyy")</f>
        <v>2024</v>
      </c>
      <c r="U189" t="str">
        <f>TEXT(Table14[[#This Row],[Admission Date]],"mmm-yyyy")</f>
        <v>Feb-2024</v>
      </c>
      <c r="V189">
        <f t="shared" ca="1" si="2"/>
        <v>8</v>
      </c>
    </row>
    <row r="190" spans="1:22" x14ac:dyDescent="0.2">
      <c r="A190" t="s">
        <v>202</v>
      </c>
      <c r="B190" s="3">
        <v>45319</v>
      </c>
      <c r="C190" s="3">
        <v>45327</v>
      </c>
      <c r="D190">
        <f ca="1">IF(ISBLANK(Table14[[#This Row],[Discharge Date]]),TODAY()-Table14[[#This Row],[Admission Date]], Table14[[#This Row],[Discharge Date]]-Table14[[#This Row],[Admission Date]])</f>
        <v>8</v>
      </c>
      <c r="E190" s="6" t="str">
        <f>IF(Table14[[#This Row],[Discharge Date]]="","Still Admitted","Patient Discharged")</f>
        <v>Patient Discharged</v>
      </c>
      <c r="F190" s="6" t="str">
        <f>IF(WEEKDAY(Table14[[#This Row],[Admission Date]],2)&gt;5,"Weekend","Weekday")</f>
        <v>Weekend</v>
      </c>
      <c r="G190" t="s">
        <v>7</v>
      </c>
      <c r="H190">
        <v>10</v>
      </c>
      <c r="I190" t="str" cm="1">
        <f t="array" ref="I190">_xlfn.IFS(Table14[[#This Row],[Age]]&lt;18,"Children",Table14[[#This Row],[Age]]&lt;50,"Adult",Table14[[#This Row],[Age]]&gt;=50,"Elderly")</f>
        <v>Children</v>
      </c>
      <c r="J190" t="s">
        <v>546</v>
      </c>
      <c r="K190" s="7">
        <v>179280</v>
      </c>
      <c r="L190" s="2" t="str" cm="1">
        <f t="array" ref="L190">_xlfn.IFS(Table14[[#This Row],[Treatment Cost]]&lt;50000,"Low Billing",Table14[[#This Row],[Treatment Cost]]&lt;200000,"Moderate Billing",Table14[[#This Row],[Treatment Cost]]&gt;=200000,"High Billing")</f>
        <v>Moderate Billing</v>
      </c>
      <c r="M190" t="s">
        <v>8</v>
      </c>
      <c r="N190" t="str">
        <f>IF(AND(Table14[[#This Row],[Outcome]]="Follow-up",Table14[[#This Row],[Admission Status]]="Patient Discharged"),"High Risk Patient","Low Risk Patient")</f>
        <v>High Risk Patient</v>
      </c>
      <c r="O190" t="str">
        <f>IFERROR(VLOOKUP(Table14[[#This Row],[Department]],Doctor_Info!A:D,2,FALSE), "")</f>
        <v>Dr. Ada</v>
      </c>
      <c r="P190" t="str">
        <f>IF(COUNTIF(A:A,Table14[[#This Row],[Patient ID]]&gt;1),"Returning Patient","New Patient")</f>
        <v>New Patient</v>
      </c>
      <c r="Q190" t="str">
        <f>_xlfn.XLOOKUP(Table14[[#This Row],[Department]], Doctor_Info!A:A, Doctor_Info!C:C, "")&amp;""</f>
        <v>301</v>
      </c>
      <c r="R190" t="str">
        <f>TEXT(Table14[[#This Row],[Admission Date]],"ddd")</f>
        <v>Sun</v>
      </c>
      <c r="S190" t="str">
        <f>TEXT(Table14[[#This Row],[Admission Date]],"mmm")</f>
        <v>Jan</v>
      </c>
      <c r="T190" t="str">
        <f>TEXT(Table14[[#This Row],[Admission Date]],"yyyy")</f>
        <v>2024</v>
      </c>
      <c r="U190" t="str">
        <f>TEXT(Table14[[#This Row],[Admission Date]],"mmm-yyyy")</f>
        <v>Jan-2024</v>
      </c>
      <c r="V190">
        <f t="shared" ca="1" si="2"/>
        <v>8</v>
      </c>
    </row>
    <row r="191" spans="1:22" x14ac:dyDescent="0.2">
      <c r="A191" t="s">
        <v>203</v>
      </c>
      <c r="B191" s="3">
        <v>45323</v>
      </c>
      <c r="C191" s="3">
        <v>45324</v>
      </c>
      <c r="D191">
        <f ca="1">IF(ISBLANK(Table14[[#This Row],[Discharge Date]]),TODAY()-Table14[[#This Row],[Admission Date]], Table14[[#This Row],[Discharge Date]]-Table14[[#This Row],[Admission Date]])</f>
        <v>1</v>
      </c>
      <c r="E191" s="6" t="str">
        <f>IF(Table14[[#This Row],[Discharge Date]]="","Still Admitted","Patient Discharged")</f>
        <v>Patient Discharged</v>
      </c>
      <c r="F191" s="6" t="str">
        <f>IF(WEEKDAY(Table14[[#This Row],[Admission Date]],2)&gt;5,"Weekend","Weekday")</f>
        <v>Weekday</v>
      </c>
      <c r="G191" t="s">
        <v>528</v>
      </c>
      <c r="H191">
        <v>12</v>
      </c>
      <c r="I191" t="str" cm="1">
        <f t="array" ref="I191">_xlfn.IFS(Table14[[#This Row],[Age]]&lt;18,"Children",Table14[[#This Row],[Age]]&lt;50,"Adult",Table14[[#This Row],[Age]]&gt;=50,"Elderly")</f>
        <v>Children</v>
      </c>
      <c r="J191" t="s">
        <v>547</v>
      </c>
      <c r="K191" s="7">
        <v>180250</v>
      </c>
      <c r="L191" s="2" t="str" cm="1">
        <f t="array" ref="L191">_xlfn.IFS(Table14[[#This Row],[Treatment Cost]]&lt;50000,"Low Billing",Table14[[#This Row],[Treatment Cost]]&lt;200000,"Moderate Billing",Table14[[#This Row],[Treatment Cost]]&gt;=200000,"High Billing")</f>
        <v>Moderate Billing</v>
      </c>
      <c r="M191" t="s">
        <v>6</v>
      </c>
      <c r="N191" t="str">
        <f>IF(AND(Table14[[#This Row],[Outcome]]="Follow-up",Table14[[#This Row],[Admission Status]]="Patient Discharged"),"High Risk Patient","Low Risk Patient")</f>
        <v>Low Risk Patient</v>
      </c>
      <c r="O191" t="str">
        <f>IFERROR(VLOOKUP(Table14[[#This Row],[Department]],Doctor_Info!A:D,2,FALSE), "")</f>
        <v>Dr. Kofi</v>
      </c>
      <c r="P191" t="str">
        <f>IF(COUNTIF(A:A,Table14[[#This Row],[Patient ID]]&gt;1),"Returning Patient","New Patient")</f>
        <v>New Patient</v>
      </c>
      <c r="Q191" t="str">
        <f>_xlfn.XLOOKUP(Table14[[#This Row],[Department]], Doctor_Info!A:A, Doctor_Info!C:C, "")&amp;""</f>
        <v>102</v>
      </c>
      <c r="R191" t="str">
        <f>TEXT(Table14[[#This Row],[Admission Date]],"ddd")</f>
        <v>Thu</v>
      </c>
      <c r="S191" t="str">
        <f>TEXT(Table14[[#This Row],[Admission Date]],"mmm")</f>
        <v>Feb</v>
      </c>
      <c r="T191" t="str">
        <f>TEXT(Table14[[#This Row],[Admission Date]],"yyyy")</f>
        <v>2024</v>
      </c>
      <c r="U191" t="str">
        <f>TEXT(Table14[[#This Row],[Admission Date]],"mmm-yyyy")</f>
        <v>Feb-2024</v>
      </c>
      <c r="V191">
        <f t="shared" ca="1" si="2"/>
        <v>8</v>
      </c>
    </row>
    <row r="192" spans="1:22" x14ac:dyDescent="0.2">
      <c r="A192" t="s">
        <v>204</v>
      </c>
      <c r="B192" s="3">
        <v>45325</v>
      </c>
      <c r="C192" s="3">
        <v>45337</v>
      </c>
      <c r="D192">
        <f ca="1">IF(ISBLANK(Table14[[#This Row],[Discharge Date]]),TODAY()-Table14[[#This Row],[Admission Date]], Table14[[#This Row],[Discharge Date]]-Table14[[#This Row],[Admission Date]])</f>
        <v>12</v>
      </c>
      <c r="E192" s="6" t="str">
        <f>IF(Table14[[#This Row],[Discharge Date]]="","Still Admitted","Patient Discharged")</f>
        <v>Patient Discharged</v>
      </c>
      <c r="F192" s="6" t="str">
        <f>IF(WEEKDAY(Table14[[#This Row],[Admission Date]],2)&gt;5,"Weekend","Weekday")</f>
        <v>Weekend</v>
      </c>
      <c r="G192" t="s">
        <v>12</v>
      </c>
      <c r="H192">
        <v>14</v>
      </c>
      <c r="I192" t="str" cm="1">
        <f t="array" ref="I192">_xlfn.IFS(Table14[[#This Row],[Age]]&lt;18,"Children",Table14[[#This Row],[Age]]&lt;50,"Adult",Table14[[#This Row],[Age]]&gt;=50,"Elderly")</f>
        <v>Children</v>
      </c>
      <c r="J192" t="s">
        <v>546</v>
      </c>
      <c r="K192" s="7">
        <v>181220</v>
      </c>
      <c r="L192" s="2" t="str" cm="1">
        <f t="array" ref="L192">_xlfn.IFS(Table14[[#This Row],[Treatment Cost]]&lt;50000,"Low Billing",Table14[[#This Row],[Treatment Cost]]&lt;200000,"Moderate Billing",Table14[[#This Row],[Treatment Cost]]&gt;=200000,"High Billing")</f>
        <v>Moderate Billing</v>
      </c>
      <c r="M192" t="s">
        <v>8</v>
      </c>
      <c r="N192" t="str">
        <f>IF(AND(Table14[[#This Row],[Outcome]]="Follow-up",Table14[[#This Row],[Admission Status]]="Patient Discharged"),"High Risk Patient","Low Risk Patient")</f>
        <v>High Risk Patient</v>
      </c>
      <c r="O192" t="str">
        <f>IFERROR(VLOOKUP(Table14[[#This Row],[Department]],Doctor_Info!A:D,2,FALSE), "")</f>
        <v>Dr. Temi</v>
      </c>
      <c r="P192" t="str">
        <f>IF(COUNTIF(A:A,Table14[[#This Row],[Patient ID]]&gt;1),"Returning Patient","New Patient")</f>
        <v>New Patient</v>
      </c>
      <c r="Q192" t="str">
        <f>_xlfn.XLOOKUP(Table14[[#This Row],[Department]], Doctor_Info!A:A, Doctor_Info!C:C, "")&amp;""</f>
        <v>502</v>
      </c>
      <c r="R192" t="str">
        <f>TEXT(Table14[[#This Row],[Admission Date]],"ddd")</f>
        <v>Sat</v>
      </c>
      <c r="S192" t="str">
        <f>TEXT(Table14[[#This Row],[Admission Date]],"mmm")</f>
        <v>Feb</v>
      </c>
      <c r="T192" t="str">
        <f>TEXT(Table14[[#This Row],[Admission Date]],"yyyy")</f>
        <v>2024</v>
      </c>
      <c r="U192" t="str">
        <f>TEXT(Table14[[#This Row],[Admission Date]],"mmm-yyyy")</f>
        <v>Feb-2024</v>
      </c>
      <c r="V192">
        <f t="shared" ca="1" si="2"/>
        <v>8</v>
      </c>
    </row>
    <row r="193" spans="1:22" x14ac:dyDescent="0.2">
      <c r="A193" t="s">
        <v>205</v>
      </c>
      <c r="B193" s="3">
        <v>45327</v>
      </c>
      <c r="C193" s="3">
        <v>45328</v>
      </c>
      <c r="D193">
        <f ca="1">IF(ISBLANK(Table14[[#This Row],[Discharge Date]]),TODAY()-Table14[[#This Row],[Admission Date]], Table14[[#This Row],[Discharge Date]]-Table14[[#This Row],[Admission Date]])</f>
        <v>1</v>
      </c>
      <c r="E193" s="6" t="str">
        <f>IF(Table14[[#This Row],[Discharge Date]]="","Still Admitted","Patient Discharged")</f>
        <v>Patient Discharged</v>
      </c>
      <c r="F193" s="6" t="str">
        <f>IF(WEEKDAY(Table14[[#This Row],[Admission Date]],2)&gt;5,"Weekend","Weekday")</f>
        <v>Weekday</v>
      </c>
      <c r="G193" t="s">
        <v>528</v>
      </c>
      <c r="H193">
        <v>16</v>
      </c>
      <c r="I193" t="str" cm="1">
        <f t="array" ref="I193">_xlfn.IFS(Table14[[#This Row],[Age]]&lt;18,"Children",Table14[[#This Row],[Age]]&lt;50,"Adult",Table14[[#This Row],[Age]]&gt;=50,"Elderly")</f>
        <v>Children</v>
      </c>
      <c r="J193" t="s">
        <v>547</v>
      </c>
      <c r="K193" s="7">
        <v>182190</v>
      </c>
      <c r="L193" s="2" t="str" cm="1">
        <f t="array" ref="L193">_xlfn.IFS(Table14[[#This Row],[Treatment Cost]]&lt;50000,"Low Billing",Table14[[#This Row],[Treatment Cost]]&lt;200000,"Moderate Billing",Table14[[#This Row],[Treatment Cost]]&gt;=200000,"High Billing")</f>
        <v>Moderate Billing</v>
      </c>
      <c r="M193" t="s">
        <v>6</v>
      </c>
      <c r="N193" t="str">
        <f>IF(AND(Table14[[#This Row],[Outcome]]="Follow-up",Table14[[#This Row],[Admission Status]]="Patient Discharged"),"High Risk Patient","Low Risk Patient")</f>
        <v>Low Risk Patient</v>
      </c>
      <c r="O193" t="str">
        <f>IFERROR(VLOOKUP(Table14[[#This Row],[Department]],Doctor_Info!A:D,2,FALSE), "")</f>
        <v>Dr. Kofi</v>
      </c>
      <c r="P193" t="str">
        <f>IF(COUNTIF(A:A,Table14[[#This Row],[Patient ID]]&gt;1),"Returning Patient","New Patient")</f>
        <v>New Patient</v>
      </c>
      <c r="Q193" t="str">
        <f>_xlfn.XLOOKUP(Table14[[#This Row],[Department]], Doctor_Info!A:A, Doctor_Info!C:C, "")&amp;""</f>
        <v>102</v>
      </c>
      <c r="R193" t="str">
        <f>TEXT(Table14[[#This Row],[Admission Date]],"ddd")</f>
        <v>Mon</v>
      </c>
      <c r="S193" t="str">
        <f>TEXT(Table14[[#This Row],[Admission Date]],"mmm")</f>
        <v>Feb</v>
      </c>
      <c r="T193" t="str">
        <f>TEXT(Table14[[#This Row],[Admission Date]],"yyyy")</f>
        <v>2024</v>
      </c>
      <c r="U193" t="str">
        <f>TEXT(Table14[[#This Row],[Admission Date]],"mmm-yyyy")</f>
        <v>Feb-2024</v>
      </c>
      <c r="V193">
        <f t="shared" ca="1" si="2"/>
        <v>8</v>
      </c>
    </row>
    <row r="194" spans="1:22" x14ac:dyDescent="0.2">
      <c r="A194" t="s">
        <v>206</v>
      </c>
      <c r="B194" s="3">
        <v>45332</v>
      </c>
      <c r="D194">
        <f ca="1">IF(ISBLANK(Table14[[#This Row],[Discharge Date]]),TODAY()-Table14[[#This Row],[Admission Date]], Table14[[#This Row],[Discharge Date]]-Table14[[#This Row],[Admission Date]])</f>
        <v>806</v>
      </c>
      <c r="E194" s="6" t="str">
        <f>IF(Table14[[#This Row],[Discharge Date]]="","Still Admitted","Patient Discharged")</f>
        <v>Still Admitted</v>
      </c>
      <c r="F194" s="6" t="str">
        <f>IF(WEEKDAY(Table14[[#This Row],[Admission Date]],2)&gt;5,"Weekend","Weekday")</f>
        <v>Weekend</v>
      </c>
      <c r="G194" t="s">
        <v>10</v>
      </c>
      <c r="H194">
        <v>18</v>
      </c>
      <c r="I194" t="str" cm="1">
        <f t="array" ref="I194">_xlfn.IFS(Table14[[#This Row],[Age]]&lt;18,"Children",Table14[[#This Row],[Age]]&lt;50,"Adult",Table14[[#This Row],[Age]]&gt;=50,"Elderly")</f>
        <v>Adult</v>
      </c>
      <c r="J194" t="s">
        <v>547</v>
      </c>
      <c r="K194" s="7">
        <v>183160</v>
      </c>
      <c r="L194" s="2" t="str" cm="1">
        <f t="array" ref="L194">_xlfn.IFS(Table14[[#This Row],[Treatment Cost]]&lt;50000,"Low Billing",Table14[[#This Row],[Treatment Cost]]&lt;200000,"Moderate Billing",Table14[[#This Row],[Treatment Cost]]&gt;=200000,"High Billing")</f>
        <v>Moderate Billing</v>
      </c>
      <c r="M194" t="s">
        <v>403</v>
      </c>
      <c r="N194" t="str">
        <f>IF(AND(Table14[[#This Row],[Outcome]]="Follow-up",Table14[[#This Row],[Admission Status]]="Patient Discharged"),"High Risk Patient","Low Risk Patient")</f>
        <v>Low Risk Patient</v>
      </c>
      <c r="O194" t="str">
        <f>IFERROR(VLOOKUP(Table14[[#This Row],[Department]],Doctor_Info!A:D,2,FALSE), "")</f>
        <v>Dr. George</v>
      </c>
      <c r="P194" t="str">
        <f>IF(COUNTIF(A:A,Table14[[#This Row],[Patient ID]]&gt;1),"Returning Patient","New Patient")</f>
        <v>New Patient</v>
      </c>
      <c r="Q194" t="str">
        <f>_xlfn.XLOOKUP(Table14[[#This Row],[Department]], Doctor_Info!A:A, Doctor_Info!C:C, "")&amp;""</f>
        <v>405</v>
      </c>
      <c r="R194" t="str">
        <f>TEXT(Table14[[#This Row],[Admission Date]],"ddd")</f>
        <v>Sat</v>
      </c>
      <c r="S194" t="str">
        <f>TEXT(Table14[[#This Row],[Admission Date]],"mmm")</f>
        <v>Feb</v>
      </c>
      <c r="T194" t="str">
        <f>TEXT(Table14[[#This Row],[Admission Date]],"yyyy")</f>
        <v>2024</v>
      </c>
      <c r="U194" t="str">
        <f>TEXT(Table14[[#This Row],[Admission Date]],"mmm-yyyy")</f>
        <v>Feb-2024</v>
      </c>
      <c r="V194">
        <f t="shared" ref="V194:V257" ca="1" si="3">MEDIAN($D$2:$D$484)</f>
        <v>8</v>
      </c>
    </row>
    <row r="195" spans="1:22" x14ac:dyDescent="0.2">
      <c r="A195" t="s">
        <v>207</v>
      </c>
      <c r="B195" s="3">
        <v>45319</v>
      </c>
      <c r="C195" s="3">
        <v>45327</v>
      </c>
      <c r="D195">
        <f ca="1">IF(ISBLANK(Table14[[#This Row],[Discharge Date]]),TODAY()-Table14[[#This Row],[Admission Date]], Table14[[#This Row],[Discharge Date]]-Table14[[#This Row],[Admission Date]])</f>
        <v>8</v>
      </c>
      <c r="E195" s="6" t="str">
        <f>IF(Table14[[#This Row],[Discharge Date]]="","Still Admitted","Patient Discharged")</f>
        <v>Patient Discharged</v>
      </c>
      <c r="F195" s="6" t="str">
        <f>IF(WEEKDAY(Table14[[#This Row],[Admission Date]],2)&gt;5,"Weekend","Weekday")</f>
        <v>Weekend</v>
      </c>
      <c r="G195" t="s">
        <v>7</v>
      </c>
      <c r="H195">
        <v>20</v>
      </c>
      <c r="I195" t="str" cm="1">
        <f t="array" ref="I195">_xlfn.IFS(Table14[[#This Row],[Age]]&lt;18,"Children",Table14[[#This Row],[Age]]&lt;50,"Adult",Table14[[#This Row],[Age]]&gt;=50,"Elderly")</f>
        <v>Adult</v>
      </c>
      <c r="J195" t="s">
        <v>546</v>
      </c>
      <c r="K195" s="7">
        <v>184130</v>
      </c>
      <c r="L195" s="2" t="str" cm="1">
        <f t="array" ref="L195">_xlfn.IFS(Table14[[#This Row],[Treatment Cost]]&lt;50000,"Low Billing",Table14[[#This Row],[Treatment Cost]]&lt;200000,"Moderate Billing",Table14[[#This Row],[Treatment Cost]]&gt;=200000,"High Billing")</f>
        <v>Moderate Billing</v>
      </c>
      <c r="M195" t="s">
        <v>8</v>
      </c>
      <c r="N195" t="str">
        <f>IF(AND(Table14[[#This Row],[Outcome]]="Follow-up",Table14[[#This Row],[Admission Status]]="Patient Discharged"),"High Risk Patient","Low Risk Patient")</f>
        <v>High Risk Patient</v>
      </c>
      <c r="O195" t="str">
        <f>IFERROR(VLOOKUP(Table14[[#This Row],[Department]],Doctor_Info!A:D,2,FALSE), "")</f>
        <v>Dr. Ada</v>
      </c>
      <c r="P195" t="str">
        <f>IF(COUNTIF(A:A,Table14[[#This Row],[Patient ID]]&gt;1),"Returning Patient","New Patient")</f>
        <v>New Patient</v>
      </c>
      <c r="Q195" t="str">
        <f>_xlfn.XLOOKUP(Table14[[#This Row],[Department]], Doctor_Info!A:A, Doctor_Info!C:C, "")&amp;""</f>
        <v>301</v>
      </c>
      <c r="R195" t="str">
        <f>TEXT(Table14[[#This Row],[Admission Date]],"ddd")</f>
        <v>Sun</v>
      </c>
      <c r="S195" t="str">
        <f>TEXT(Table14[[#This Row],[Admission Date]],"mmm")</f>
        <v>Jan</v>
      </c>
      <c r="T195" t="str">
        <f>TEXT(Table14[[#This Row],[Admission Date]],"yyyy")</f>
        <v>2024</v>
      </c>
      <c r="U195" t="str">
        <f>TEXT(Table14[[#This Row],[Admission Date]],"mmm-yyyy")</f>
        <v>Jan-2024</v>
      </c>
      <c r="V195">
        <f t="shared" ca="1" si="3"/>
        <v>8</v>
      </c>
    </row>
    <row r="196" spans="1:22" x14ac:dyDescent="0.2">
      <c r="A196" t="s">
        <v>208</v>
      </c>
      <c r="B196" s="3">
        <v>45323</v>
      </c>
      <c r="C196" s="3">
        <v>45324</v>
      </c>
      <c r="D196">
        <f ca="1">IF(ISBLANK(Table14[[#This Row],[Discharge Date]]),TODAY()-Table14[[#This Row],[Admission Date]], Table14[[#This Row],[Discharge Date]]-Table14[[#This Row],[Admission Date]])</f>
        <v>1</v>
      </c>
      <c r="E196" s="6" t="str">
        <f>IF(Table14[[#This Row],[Discharge Date]]="","Still Admitted","Patient Discharged")</f>
        <v>Patient Discharged</v>
      </c>
      <c r="F196" s="6" t="str">
        <f>IF(WEEKDAY(Table14[[#This Row],[Admission Date]],2)&gt;5,"Weekend","Weekday")</f>
        <v>Weekday</v>
      </c>
      <c r="G196" t="s">
        <v>528</v>
      </c>
      <c r="H196">
        <v>22</v>
      </c>
      <c r="I196" t="str" cm="1">
        <f t="array" ref="I196">_xlfn.IFS(Table14[[#This Row],[Age]]&lt;18,"Children",Table14[[#This Row],[Age]]&lt;50,"Adult",Table14[[#This Row],[Age]]&gt;=50,"Elderly")</f>
        <v>Adult</v>
      </c>
      <c r="J196" t="s">
        <v>547</v>
      </c>
      <c r="K196" s="7">
        <v>185100</v>
      </c>
      <c r="L196" s="2" t="str" cm="1">
        <f t="array" ref="L196">_xlfn.IFS(Table14[[#This Row],[Treatment Cost]]&lt;50000,"Low Billing",Table14[[#This Row],[Treatment Cost]]&lt;200000,"Moderate Billing",Table14[[#This Row],[Treatment Cost]]&gt;=200000,"High Billing")</f>
        <v>Moderate Billing</v>
      </c>
      <c r="M196" t="s">
        <v>6</v>
      </c>
      <c r="N196" t="str">
        <f>IF(AND(Table14[[#This Row],[Outcome]]="Follow-up",Table14[[#This Row],[Admission Status]]="Patient Discharged"),"High Risk Patient","Low Risk Patient")</f>
        <v>Low Risk Patient</v>
      </c>
      <c r="O196" t="str">
        <f>IFERROR(VLOOKUP(Table14[[#This Row],[Department]],Doctor_Info!A:D,2,FALSE), "")</f>
        <v>Dr. Kofi</v>
      </c>
      <c r="P196" t="str">
        <f>IF(COUNTIF(A:A,Table14[[#This Row],[Patient ID]]&gt;1),"Returning Patient","New Patient")</f>
        <v>New Patient</v>
      </c>
      <c r="Q196" t="str">
        <f>_xlfn.XLOOKUP(Table14[[#This Row],[Department]], Doctor_Info!A:A, Doctor_Info!C:C, "")&amp;""</f>
        <v>102</v>
      </c>
      <c r="R196" t="str">
        <f>TEXT(Table14[[#This Row],[Admission Date]],"ddd")</f>
        <v>Thu</v>
      </c>
      <c r="S196" t="str">
        <f>TEXT(Table14[[#This Row],[Admission Date]],"mmm")</f>
        <v>Feb</v>
      </c>
      <c r="T196" t="str">
        <f>TEXT(Table14[[#This Row],[Admission Date]],"yyyy")</f>
        <v>2024</v>
      </c>
      <c r="U196" t="str">
        <f>TEXT(Table14[[#This Row],[Admission Date]],"mmm-yyyy")</f>
        <v>Feb-2024</v>
      </c>
      <c r="V196">
        <f t="shared" ca="1" si="3"/>
        <v>8</v>
      </c>
    </row>
    <row r="197" spans="1:22" x14ac:dyDescent="0.2">
      <c r="A197" t="s">
        <v>209</v>
      </c>
      <c r="B197" s="3">
        <v>45325</v>
      </c>
      <c r="C197" s="3">
        <v>45337</v>
      </c>
      <c r="D197">
        <f ca="1">IF(ISBLANK(Table14[[#This Row],[Discharge Date]]),TODAY()-Table14[[#This Row],[Admission Date]], Table14[[#This Row],[Discharge Date]]-Table14[[#This Row],[Admission Date]])</f>
        <v>12</v>
      </c>
      <c r="E197" s="6" t="str">
        <f>IF(Table14[[#This Row],[Discharge Date]]="","Still Admitted","Patient Discharged")</f>
        <v>Patient Discharged</v>
      </c>
      <c r="F197" s="6" t="str">
        <f>IF(WEEKDAY(Table14[[#This Row],[Admission Date]],2)&gt;5,"Weekend","Weekday")</f>
        <v>Weekend</v>
      </c>
      <c r="G197" t="s">
        <v>12</v>
      </c>
      <c r="H197">
        <v>24</v>
      </c>
      <c r="I197" t="str" cm="1">
        <f t="array" ref="I197">_xlfn.IFS(Table14[[#This Row],[Age]]&lt;18,"Children",Table14[[#This Row],[Age]]&lt;50,"Adult",Table14[[#This Row],[Age]]&gt;=50,"Elderly")</f>
        <v>Adult</v>
      </c>
      <c r="J197" t="s">
        <v>546</v>
      </c>
      <c r="K197" s="7">
        <v>186070</v>
      </c>
      <c r="L197" s="2" t="str" cm="1">
        <f t="array" ref="L197">_xlfn.IFS(Table14[[#This Row],[Treatment Cost]]&lt;50000,"Low Billing",Table14[[#This Row],[Treatment Cost]]&lt;200000,"Moderate Billing",Table14[[#This Row],[Treatment Cost]]&gt;=200000,"High Billing")</f>
        <v>Moderate Billing</v>
      </c>
      <c r="M197" t="s">
        <v>8</v>
      </c>
      <c r="N197" t="str">
        <f>IF(AND(Table14[[#This Row],[Outcome]]="Follow-up",Table14[[#This Row],[Admission Status]]="Patient Discharged"),"High Risk Patient","Low Risk Patient")</f>
        <v>High Risk Patient</v>
      </c>
      <c r="O197" t="str">
        <f>IFERROR(VLOOKUP(Table14[[#This Row],[Department]],Doctor_Info!A:D,2,FALSE), "")</f>
        <v>Dr. Temi</v>
      </c>
      <c r="P197" t="str">
        <f>IF(COUNTIF(A:A,Table14[[#This Row],[Patient ID]]&gt;1),"Returning Patient","New Patient")</f>
        <v>New Patient</v>
      </c>
      <c r="Q197" t="str">
        <f>_xlfn.XLOOKUP(Table14[[#This Row],[Department]], Doctor_Info!A:A, Doctor_Info!C:C, "")&amp;""</f>
        <v>502</v>
      </c>
      <c r="R197" t="str">
        <f>TEXT(Table14[[#This Row],[Admission Date]],"ddd")</f>
        <v>Sat</v>
      </c>
      <c r="S197" t="str">
        <f>TEXT(Table14[[#This Row],[Admission Date]],"mmm")</f>
        <v>Feb</v>
      </c>
      <c r="T197" t="str">
        <f>TEXT(Table14[[#This Row],[Admission Date]],"yyyy")</f>
        <v>2024</v>
      </c>
      <c r="U197" t="str">
        <f>TEXT(Table14[[#This Row],[Admission Date]],"mmm-yyyy")</f>
        <v>Feb-2024</v>
      </c>
      <c r="V197">
        <f t="shared" ca="1" si="3"/>
        <v>8</v>
      </c>
    </row>
    <row r="198" spans="1:22" x14ac:dyDescent="0.2">
      <c r="A198" t="s">
        <v>210</v>
      </c>
      <c r="B198" s="3">
        <v>45327</v>
      </c>
      <c r="C198" s="3">
        <v>45328</v>
      </c>
      <c r="D198">
        <f ca="1">IF(ISBLANK(Table14[[#This Row],[Discharge Date]]),TODAY()-Table14[[#This Row],[Admission Date]], Table14[[#This Row],[Discharge Date]]-Table14[[#This Row],[Admission Date]])</f>
        <v>1</v>
      </c>
      <c r="E198" s="6" t="str">
        <f>IF(Table14[[#This Row],[Discharge Date]]="","Still Admitted","Patient Discharged")</f>
        <v>Patient Discharged</v>
      </c>
      <c r="F198" s="6" t="str">
        <f>IF(WEEKDAY(Table14[[#This Row],[Admission Date]],2)&gt;5,"Weekend","Weekday")</f>
        <v>Weekday</v>
      </c>
      <c r="G198" t="s">
        <v>528</v>
      </c>
      <c r="H198">
        <v>26</v>
      </c>
      <c r="I198" t="str" cm="1">
        <f t="array" ref="I198">_xlfn.IFS(Table14[[#This Row],[Age]]&lt;18,"Children",Table14[[#This Row],[Age]]&lt;50,"Adult",Table14[[#This Row],[Age]]&gt;=50,"Elderly")</f>
        <v>Adult</v>
      </c>
      <c r="J198" t="s">
        <v>547</v>
      </c>
      <c r="K198" s="7">
        <v>187040</v>
      </c>
      <c r="L198" s="2" t="str" cm="1">
        <f t="array" ref="L198">_xlfn.IFS(Table14[[#This Row],[Treatment Cost]]&lt;50000,"Low Billing",Table14[[#This Row],[Treatment Cost]]&lt;200000,"Moderate Billing",Table14[[#This Row],[Treatment Cost]]&gt;=200000,"High Billing")</f>
        <v>Moderate Billing</v>
      </c>
      <c r="M198" t="s">
        <v>6</v>
      </c>
      <c r="N198" t="str">
        <f>IF(AND(Table14[[#This Row],[Outcome]]="Follow-up",Table14[[#This Row],[Admission Status]]="Patient Discharged"),"High Risk Patient","Low Risk Patient")</f>
        <v>Low Risk Patient</v>
      </c>
      <c r="O198" t="str">
        <f>IFERROR(VLOOKUP(Table14[[#This Row],[Department]],Doctor_Info!A:D,2,FALSE), "")</f>
        <v>Dr. Kofi</v>
      </c>
      <c r="P198" t="str">
        <f>IF(COUNTIF(A:A,Table14[[#This Row],[Patient ID]]&gt;1),"Returning Patient","New Patient")</f>
        <v>New Patient</v>
      </c>
      <c r="Q198" t="str">
        <f>_xlfn.XLOOKUP(Table14[[#This Row],[Department]], Doctor_Info!A:A, Doctor_Info!C:C, "")&amp;""</f>
        <v>102</v>
      </c>
      <c r="R198" t="str">
        <f>TEXT(Table14[[#This Row],[Admission Date]],"ddd")</f>
        <v>Mon</v>
      </c>
      <c r="S198" t="str">
        <f>TEXT(Table14[[#This Row],[Admission Date]],"mmm")</f>
        <v>Feb</v>
      </c>
      <c r="T198" t="str">
        <f>TEXT(Table14[[#This Row],[Admission Date]],"yyyy")</f>
        <v>2024</v>
      </c>
      <c r="U198" t="str">
        <f>TEXT(Table14[[#This Row],[Admission Date]],"mmm-yyyy")</f>
        <v>Feb-2024</v>
      </c>
      <c r="V198">
        <f t="shared" ca="1" si="3"/>
        <v>8</v>
      </c>
    </row>
    <row r="199" spans="1:22" x14ac:dyDescent="0.2">
      <c r="A199" t="s">
        <v>211</v>
      </c>
      <c r="B199" s="3">
        <v>45332</v>
      </c>
      <c r="D199">
        <f ca="1">IF(ISBLANK(Table14[[#This Row],[Discharge Date]]),TODAY()-Table14[[#This Row],[Admission Date]], Table14[[#This Row],[Discharge Date]]-Table14[[#This Row],[Admission Date]])</f>
        <v>806</v>
      </c>
      <c r="E199" s="6" t="str">
        <f>IF(Table14[[#This Row],[Discharge Date]]="","Still Admitted","Patient Discharged")</f>
        <v>Still Admitted</v>
      </c>
      <c r="F199" s="6" t="str">
        <f>IF(WEEKDAY(Table14[[#This Row],[Admission Date]],2)&gt;5,"Weekend","Weekday")</f>
        <v>Weekend</v>
      </c>
      <c r="G199" t="s">
        <v>10</v>
      </c>
      <c r="H199">
        <v>28</v>
      </c>
      <c r="I199" t="str" cm="1">
        <f t="array" ref="I199">_xlfn.IFS(Table14[[#This Row],[Age]]&lt;18,"Children",Table14[[#This Row],[Age]]&lt;50,"Adult",Table14[[#This Row],[Age]]&gt;=50,"Elderly")</f>
        <v>Adult</v>
      </c>
      <c r="J199" t="s">
        <v>547</v>
      </c>
      <c r="K199" s="7">
        <v>188010</v>
      </c>
      <c r="L199" s="2" t="str" cm="1">
        <f t="array" ref="L199">_xlfn.IFS(Table14[[#This Row],[Treatment Cost]]&lt;50000,"Low Billing",Table14[[#This Row],[Treatment Cost]]&lt;200000,"Moderate Billing",Table14[[#This Row],[Treatment Cost]]&gt;=200000,"High Billing")</f>
        <v>Moderate Billing</v>
      </c>
      <c r="M199" t="s">
        <v>403</v>
      </c>
      <c r="N199" t="str">
        <f>IF(AND(Table14[[#This Row],[Outcome]]="Follow-up",Table14[[#This Row],[Admission Status]]="Patient Discharged"),"High Risk Patient","Low Risk Patient")</f>
        <v>Low Risk Patient</v>
      </c>
      <c r="O199" t="str">
        <f>IFERROR(VLOOKUP(Table14[[#This Row],[Department]],Doctor_Info!A:D,2,FALSE), "")</f>
        <v>Dr. George</v>
      </c>
      <c r="P199" t="str">
        <f>IF(COUNTIF(A:A,Table14[[#This Row],[Patient ID]]&gt;1),"Returning Patient","New Patient")</f>
        <v>New Patient</v>
      </c>
      <c r="Q199" t="str">
        <f>_xlfn.XLOOKUP(Table14[[#This Row],[Department]], Doctor_Info!A:A, Doctor_Info!C:C, "")&amp;""</f>
        <v>405</v>
      </c>
      <c r="R199" t="str">
        <f>TEXT(Table14[[#This Row],[Admission Date]],"ddd")</f>
        <v>Sat</v>
      </c>
      <c r="S199" t="str">
        <f>TEXT(Table14[[#This Row],[Admission Date]],"mmm")</f>
        <v>Feb</v>
      </c>
      <c r="T199" t="str">
        <f>TEXT(Table14[[#This Row],[Admission Date]],"yyyy")</f>
        <v>2024</v>
      </c>
      <c r="U199" t="str">
        <f>TEXT(Table14[[#This Row],[Admission Date]],"mmm-yyyy")</f>
        <v>Feb-2024</v>
      </c>
      <c r="V199">
        <f t="shared" ca="1" si="3"/>
        <v>8</v>
      </c>
    </row>
    <row r="200" spans="1:22" x14ac:dyDescent="0.2">
      <c r="A200" t="s">
        <v>212</v>
      </c>
      <c r="B200" s="3">
        <v>45323</v>
      </c>
      <c r="C200" s="3">
        <v>45324</v>
      </c>
      <c r="D200">
        <f ca="1">IF(ISBLANK(Table14[[#This Row],[Discharge Date]]),TODAY()-Table14[[#This Row],[Admission Date]], Table14[[#This Row],[Discharge Date]]-Table14[[#This Row],[Admission Date]])</f>
        <v>1</v>
      </c>
      <c r="E200" s="6" t="str">
        <f>IF(Table14[[#This Row],[Discharge Date]]="","Still Admitted","Patient Discharged")</f>
        <v>Patient Discharged</v>
      </c>
      <c r="F200" s="6" t="str">
        <f>IF(WEEKDAY(Table14[[#This Row],[Admission Date]],2)&gt;5,"Weekend","Weekday")</f>
        <v>Weekday</v>
      </c>
      <c r="G200" t="s">
        <v>528</v>
      </c>
      <c r="H200">
        <v>52</v>
      </c>
      <c r="I200" t="str" cm="1">
        <f t="array" ref="I200">_xlfn.IFS(Table14[[#This Row],[Age]]&lt;18,"Children",Table14[[#This Row],[Age]]&lt;50,"Adult",Table14[[#This Row],[Age]]&gt;=50,"Elderly")</f>
        <v>Elderly</v>
      </c>
      <c r="J200" t="s">
        <v>547</v>
      </c>
      <c r="K200" s="7">
        <v>199650</v>
      </c>
      <c r="L200" s="2" t="str" cm="1">
        <f t="array" ref="L200">_xlfn.IFS(Table14[[#This Row],[Treatment Cost]]&lt;50000,"Low Billing",Table14[[#This Row],[Treatment Cost]]&lt;200000,"Moderate Billing",Table14[[#This Row],[Treatment Cost]]&gt;=200000,"High Billing")</f>
        <v>Moderate Billing</v>
      </c>
      <c r="M200" t="s">
        <v>6</v>
      </c>
      <c r="N200" t="str">
        <f>IF(AND(Table14[[#This Row],[Outcome]]="Follow-up",Table14[[#This Row],[Admission Status]]="Patient Discharged"),"High Risk Patient","Low Risk Patient")</f>
        <v>Low Risk Patient</v>
      </c>
      <c r="O200" t="str">
        <f>IFERROR(VLOOKUP(Table14[[#This Row],[Department]],Doctor_Info!A:D,2,FALSE), "")</f>
        <v>Dr. Kofi</v>
      </c>
      <c r="P200" t="str">
        <f>IF(COUNTIF(A:A,Table14[[#This Row],[Patient ID]]&gt;1),"Returning Patient","New Patient")</f>
        <v>New Patient</v>
      </c>
      <c r="Q200" t="str">
        <f>_xlfn.XLOOKUP(Table14[[#This Row],[Department]], Doctor_Info!A:A, Doctor_Info!C:C, "")&amp;""</f>
        <v>102</v>
      </c>
      <c r="R200" t="str">
        <f>TEXT(Table14[[#This Row],[Admission Date]],"ddd")</f>
        <v>Thu</v>
      </c>
      <c r="S200" t="str">
        <f>TEXT(Table14[[#This Row],[Admission Date]],"mmm")</f>
        <v>Feb</v>
      </c>
      <c r="T200" t="str">
        <f>TEXT(Table14[[#This Row],[Admission Date]],"yyyy")</f>
        <v>2024</v>
      </c>
      <c r="U200" t="str">
        <f>TEXT(Table14[[#This Row],[Admission Date]],"mmm-yyyy")</f>
        <v>Feb-2024</v>
      </c>
      <c r="V200">
        <f t="shared" ca="1" si="3"/>
        <v>8</v>
      </c>
    </row>
    <row r="201" spans="1:22" x14ac:dyDescent="0.2">
      <c r="A201" t="s">
        <v>213</v>
      </c>
      <c r="B201" s="3">
        <v>45325</v>
      </c>
      <c r="C201" s="3">
        <v>45337</v>
      </c>
      <c r="D201">
        <f ca="1">IF(ISBLANK(Table14[[#This Row],[Discharge Date]]),TODAY()-Table14[[#This Row],[Admission Date]], Table14[[#This Row],[Discharge Date]]-Table14[[#This Row],[Admission Date]])</f>
        <v>12</v>
      </c>
      <c r="E201" s="6" t="str">
        <f>IF(Table14[[#This Row],[Discharge Date]]="","Still Admitted","Patient Discharged")</f>
        <v>Patient Discharged</v>
      </c>
      <c r="F201" s="6" t="str">
        <f>IF(WEEKDAY(Table14[[#This Row],[Admission Date]],2)&gt;5,"Weekend","Weekday")</f>
        <v>Weekend</v>
      </c>
      <c r="G201" t="s">
        <v>12</v>
      </c>
      <c r="H201">
        <v>54</v>
      </c>
      <c r="I201" t="str" cm="1">
        <f t="array" ref="I201">_xlfn.IFS(Table14[[#This Row],[Age]]&lt;18,"Children",Table14[[#This Row],[Age]]&lt;50,"Adult",Table14[[#This Row],[Age]]&gt;=50,"Elderly")</f>
        <v>Elderly</v>
      </c>
      <c r="J201" t="s">
        <v>546</v>
      </c>
      <c r="K201" s="7">
        <v>200620</v>
      </c>
      <c r="L201" s="2" t="str" cm="1">
        <f t="array" ref="L201">_xlfn.IFS(Table14[[#This Row],[Treatment Cost]]&lt;50000,"Low Billing",Table14[[#This Row],[Treatment Cost]]&lt;200000,"Moderate Billing",Table14[[#This Row],[Treatment Cost]]&gt;=200000,"High Billing")</f>
        <v>High Billing</v>
      </c>
      <c r="M201" t="s">
        <v>8</v>
      </c>
      <c r="N201" t="str">
        <f>IF(AND(Table14[[#This Row],[Outcome]]="Follow-up",Table14[[#This Row],[Admission Status]]="Patient Discharged"),"High Risk Patient","Low Risk Patient")</f>
        <v>High Risk Patient</v>
      </c>
      <c r="O201" t="str">
        <f>IFERROR(VLOOKUP(Table14[[#This Row],[Department]],Doctor_Info!A:D,2,FALSE), "")</f>
        <v>Dr. Temi</v>
      </c>
      <c r="P201" t="str">
        <f>IF(COUNTIF(A:A,Table14[[#This Row],[Patient ID]]&gt;1),"Returning Patient","New Patient")</f>
        <v>New Patient</v>
      </c>
      <c r="Q201" t="str">
        <f>_xlfn.XLOOKUP(Table14[[#This Row],[Department]], Doctor_Info!A:A, Doctor_Info!C:C, "")&amp;""</f>
        <v>502</v>
      </c>
      <c r="R201" t="str">
        <f>TEXT(Table14[[#This Row],[Admission Date]],"ddd")</f>
        <v>Sat</v>
      </c>
      <c r="S201" t="str">
        <f>TEXT(Table14[[#This Row],[Admission Date]],"mmm")</f>
        <v>Feb</v>
      </c>
      <c r="T201" t="str">
        <f>TEXT(Table14[[#This Row],[Admission Date]],"yyyy")</f>
        <v>2024</v>
      </c>
      <c r="U201" t="str">
        <f>TEXT(Table14[[#This Row],[Admission Date]],"mmm-yyyy")</f>
        <v>Feb-2024</v>
      </c>
      <c r="V201">
        <f t="shared" ca="1" si="3"/>
        <v>8</v>
      </c>
    </row>
    <row r="202" spans="1:22" x14ac:dyDescent="0.2">
      <c r="A202" t="s">
        <v>214</v>
      </c>
      <c r="B202" s="3">
        <v>45327</v>
      </c>
      <c r="C202" s="3">
        <v>45328</v>
      </c>
      <c r="D202">
        <f ca="1">IF(ISBLANK(Table14[[#This Row],[Discharge Date]]),TODAY()-Table14[[#This Row],[Admission Date]], Table14[[#This Row],[Discharge Date]]-Table14[[#This Row],[Admission Date]])</f>
        <v>1</v>
      </c>
      <c r="E202" s="6" t="str">
        <f>IF(Table14[[#This Row],[Discharge Date]]="","Still Admitted","Patient Discharged")</f>
        <v>Patient Discharged</v>
      </c>
      <c r="F202" s="6" t="str">
        <f>IF(WEEKDAY(Table14[[#This Row],[Admission Date]],2)&gt;5,"Weekend","Weekday")</f>
        <v>Weekday</v>
      </c>
      <c r="G202" t="s">
        <v>528</v>
      </c>
      <c r="H202">
        <v>56</v>
      </c>
      <c r="I202" t="str" cm="1">
        <f t="array" ref="I202">_xlfn.IFS(Table14[[#This Row],[Age]]&lt;18,"Children",Table14[[#This Row],[Age]]&lt;50,"Adult",Table14[[#This Row],[Age]]&gt;=50,"Elderly")</f>
        <v>Elderly</v>
      </c>
      <c r="J202" t="s">
        <v>547</v>
      </c>
      <c r="K202" s="7">
        <v>201590</v>
      </c>
      <c r="L202" s="2" t="str" cm="1">
        <f t="array" ref="L202">_xlfn.IFS(Table14[[#This Row],[Treatment Cost]]&lt;50000,"Low Billing",Table14[[#This Row],[Treatment Cost]]&lt;200000,"Moderate Billing",Table14[[#This Row],[Treatment Cost]]&gt;=200000,"High Billing")</f>
        <v>High Billing</v>
      </c>
      <c r="M202" t="s">
        <v>6</v>
      </c>
      <c r="N202" t="str">
        <f>IF(AND(Table14[[#This Row],[Outcome]]="Follow-up",Table14[[#This Row],[Admission Status]]="Patient Discharged"),"High Risk Patient","Low Risk Patient")</f>
        <v>Low Risk Patient</v>
      </c>
      <c r="O202" t="str">
        <f>IFERROR(VLOOKUP(Table14[[#This Row],[Department]],Doctor_Info!A:D,2,FALSE), "")</f>
        <v>Dr. Kofi</v>
      </c>
      <c r="P202" t="str">
        <f>IF(COUNTIF(A:A,Table14[[#This Row],[Patient ID]]&gt;1),"Returning Patient","New Patient")</f>
        <v>New Patient</v>
      </c>
      <c r="Q202" t="str">
        <f>_xlfn.XLOOKUP(Table14[[#This Row],[Department]], Doctor_Info!A:A, Doctor_Info!C:C, "")&amp;""</f>
        <v>102</v>
      </c>
      <c r="R202" t="str">
        <f>TEXT(Table14[[#This Row],[Admission Date]],"ddd")</f>
        <v>Mon</v>
      </c>
      <c r="S202" t="str">
        <f>TEXT(Table14[[#This Row],[Admission Date]],"mmm")</f>
        <v>Feb</v>
      </c>
      <c r="T202" t="str">
        <f>TEXT(Table14[[#This Row],[Admission Date]],"yyyy")</f>
        <v>2024</v>
      </c>
      <c r="U202" t="str">
        <f>TEXT(Table14[[#This Row],[Admission Date]],"mmm-yyyy")</f>
        <v>Feb-2024</v>
      </c>
      <c r="V202">
        <f t="shared" ca="1" si="3"/>
        <v>8</v>
      </c>
    </row>
    <row r="203" spans="1:22" x14ac:dyDescent="0.2">
      <c r="A203" t="s">
        <v>215</v>
      </c>
      <c r="B203" s="3">
        <v>45332</v>
      </c>
      <c r="D203">
        <f ca="1">IF(ISBLANK(Table14[[#This Row],[Discharge Date]]),TODAY()-Table14[[#This Row],[Admission Date]], Table14[[#This Row],[Discharge Date]]-Table14[[#This Row],[Admission Date]])</f>
        <v>806</v>
      </c>
      <c r="E203" s="6" t="str">
        <f>IF(Table14[[#This Row],[Discharge Date]]="","Still Admitted","Patient Discharged")</f>
        <v>Still Admitted</v>
      </c>
      <c r="F203" s="6" t="str">
        <f>IF(WEEKDAY(Table14[[#This Row],[Admission Date]],2)&gt;5,"Weekend","Weekday")</f>
        <v>Weekend</v>
      </c>
      <c r="G203" t="s">
        <v>10</v>
      </c>
      <c r="H203">
        <v>58</v>
      </c>
      <c r="I203" t="str" cm="1">
        <f t="array" ref="I203">_xlfn.IFS(Table14[[#This Row],[Age]]&lt;18,"Children",Table14[[#This Row],[Age]]&lt;50,"Adult",Table14[[#This Row],[Age]]&gt;=50,"Elderly")</f>
        <v>Elderly</v>
      </c>
      <c r="J203" t="s">
        <v>547</v>
      </c>
      <c r="K203" s="7">
        <v>202560</v>
      </c>
      <c r="L203" s="2" t="str" cm="1">
        <f t="array" ref="L203">_xlfn.IFS(Table14[[#This Row],[Treatment Cost]]&lt;50000,"Low Billing",Table14[[#This Row],[Treatment Cost]]&lt;200000,"Moderate Billing",Table14[[#This Row],[Treatment Cost]]&gt;=200000,"High Billing")</f>
        <v>High Billing</v>
      </c>
      <c r="M203" t="s">
        <v>403</v>
      </c>
      <c r="N203" t="str">
        <f>IF(AND(Table14[[#This Row],[Outcome]]="Follow-up",Table14[[#This Row],[Admission Status]]="Patient Discharged"),"High Risk Patient","Low Risk Patient")</f>
        <v>Low Risk Patient</v>
      </c>
      <c r="O203" t="str">
        <f>IFERROR(VLOOKUP(Table14[[#This Row],[Department]],Doctor_Info!A:D,2,FALSE), "")</f>
        <v>Dr. George</v>
      </c>
      <c r="P203" t="str">
        <f>IF(COUNTIF(A:A,Table14[[#This Row],[Patient ID]]&gt;1),"Returning Patient","New Patient")</f>
        <v>New Patient</v>
      </c>
      <c r="Q203" t="str">
        <f>_xlfn.XLOOKUP(Table14[[#This Row],[Department]], Doctor_Info!A:A, Doctor_Info!C:C, "")&amp;""</f>
        <v>405</v>
      </c>
      <c r="R203" t="str">
        <f>TEXT(Table14[[#This Row],[Admission Date]],"ddd")</f>
        <v>Sat</v>
      </c>
      <c r="S203" t="str">
        <f>TEXT(Table14[[#This Row],[Admission Date]],"mmm")</f>
        <v>Feb</v>
      </c>
      <c r="T203" t="str">
        <f>TEXT(Table14[[#This Row],[Admission Date]],"yyyy")</f>
        <v>2024</v>
      </c>
      <c r="U203" t="str">
        <f>TEXT(Table14[[#This Row],[Admission Date]],"mmm-yyyy")</f>
        <v>Feb-2024</v>
      </c>
      <c r="V203">
        <f t="shared" ca="1" si="3"/>
        <v>8</v>
      </c>
    </row>
    <row r="204" spans="1:22" x14ac:dyDescent="0.2">
      <c r="A204" t="s">
        <v>216</v>
      </c>
      <c r="B204" s="3">
        <v>45319</v>
      </c>
      <c r="C204" s="3">
        <v>45327</v>
      </c>
      <c r="D204">
        <f ca="1">IF(ISBLANK(Table14[[#This Row],[Discharge Date]]),TODAY()-Table14[[#This Row],[Admission Date]], Table14[[#This Row],[Discharge Date]]-Table14[[#This Row],[Admission Date]])</f>
        <v>8</v>
      </c>
      <c r="E204" s="6" t="str">
        <f>IF(Table14[[#This Row],[Discharge Date]]="","Still Admitted","Patient Discharged")</f>
        <v>Patient Discharged</v>
      </c>
      <c r="F204" s="6" t="str">
        <f>IF(WEEKDAY(Table14[[#This Row],[Admission Date]],2)&gt;5,"Weekend","Weekday")</f>
        <v>Weekend</v>
      </c>
      <c r="G204" t="s">
        <v>7</v>
      </c>
      <c r="H204">
        <v>60</v>
      </c>
      <c r="I204" t="str" cm="1">
        <f t="array" ref="I204">_xlfn.IFS(Table14[[#This Row],[Age]]&lt;18,"Children",Table14[[#This Row],[Age]]&lt;50,"Adult",Table14[[#This Row],[Age]]&gt;=50,"Elderly")</f>
        <v>Elderly</v>
      </c>
      <c r="J204" t="s">
        <v>546</v>
      </c>
      <c r="K204" s="7">
        <v>203530</v>
      </c>
      <c r="L204" s="2" t="str" cm="1">
        <f t="array" ref="L204">_xlfn.IFS(Table14[[#This Row],[Treatment Cost]]&lt;50000,"Low Billing",Table14[[#This Row],[Treatment Cost]]&lt;200000,"Moderate Billing",Table14[[#This Row],[Treatment Cost]]&gt;=200000,"High Billing")</f>
        <v>High Billing</v>
      </c>
      <c r="M204" t="s">
        <v>8</v>
      </c>
      <c r="N204" t="str">
        <f>IF(AND(Table14[[#This Row],[Outcome]]="Follow-up",Table14[[#This Row],[Admission Status]]="Patient Discharged"),"High Risk Patient","Low Risk Patient")</f>
        <v>High Risk Patient</v>
      </c>
      <c r="O204" t="str">
        <f>IFERROR(VLOOKUP(Table14[[#This Row],[Department]],Doctor_Info!A:D,2,FALSE), "")</f>
        <v>Dr. Ada</v>
      </c>
      <c r="P204" t="str">
        <f>IF(COUNTIF(A:A,Table14[[#This Row],[Patient ID]]&gt;1),"Returning Patient","New Patient")</f>
        <v>New Patient</v>
      </c>
      <c r="Q204" t="str">
        <f>_xlfn.XLOOKUP(Table14[[#This Row],[Department]], Doctor_Info!A:A, Doctor_Info!C:C, "")&amp;""</f>
        <v>301</v>
      </c>
      <c r="R204" t="str">
        <f>TEXT(Table14[[#This Row],[Admission Date]],"ddd")</f>
        <v>Sun</v>
      </c>
      <c r="S204" t="str">
        <f>TEXT(Table14[[#This Row],[Admission Date]],"mmm")</f>
        <v>Jan</v>
      </c>
      <c r="T204" t="str">
        <f>TEXT(Table14[[#This Row],[Admission Date]],"yyyy")</f>
        <v>2024</v>
      </c>
      <c r="U204" t="str">
        <f>TEXT(Table14[[#This Row],[Admission Date]],"mmm-yyyy")</f>
        <v>Jan-2024</v>
      </c>
      <c r="V204">
        <f t="shared" ca="1" si="3"/>
        <v>8</v>
      </c>
    </row>
    <row r="205" spans="1:22" x14ac:dyDescent="0.2">
      <c r="A205" t="s">
        <v>217</v>
      </c>
      <c r="B205" s="3">
        <v>45323</v>
      </c>
      <c r="C205" s="3">
        <v>45324</v>
      </c>
      <c r="D205">
        <f ca="1">IF(ISBLANK(Table14[[#This Row],[Discharge Date]]),TODAY()-Table14[[#This Row],[Admission Date]], Table14[[#This Row],[Discharge Date]]-Table14[[#This Row],[Admission Date]])</f>
        <v>1</v>
      </c>
      <c r="E205" s="6" t="str">
        <f>IF(Table14[[#This Row],[Discharge Date]]="","Still Admitted","Patient Discharged")</f>
        <v>Patient Discharged</v>
      </c>
      <c r="F205" s="6" t="str">
        <f>IF(WEEKDAY(Table14[[#This Row],[Admission Date]],2)&gt;5,"Weekend","Weekday")</f>
        <v>Weekday</v>
      </c>
      <c r="G205" t="s">
        <v>528</v>
      </c>
      <c r="H205">
        <v>62</v>
      </c>
      <c r="I205" t="str" cm="1">
        <f t="array" ref="I205">_xlfn.IFS(Table14[[#This Row],[Age]]&lt;18,"Children",Table14[[#This Row],[Age]]&lt;50,"Adult",Table14[[#This Row],[Age]]&gt;=50,"Elderly")</f>
        <v>Elderly</v>
      </c>
      <c r="J205" t="s">
        <v>547</v>
      </c>
      <c r="K205" s="7">
        <v>204500</v>
      </c>
      <c r="L205" s="2" t="str" cm="1">
        <f t="array" ref="L205">_xlfn.IFS(Table14[[#This Row],[Treatment Cost]]&lt;50000,"Low Billing",Table14[[#This Row],[Treatment Cost]]&lt;200000,"Moderate Billing",Table14[[#This Row],[Treatment Cost]]&gt;=200000,"High Billing")</f>
        <v>High Billing</v>
      </c>
      <c r="M205" t="s">
        <v>6</v>
      </c>
      <c r="N205" t="str">
        <f>IF(AND(Table14[[#This Row],[Outcome]]="Follow-up",Table14[[#This Row],[Admission Status]]="Patient Discharged"),"High Risk Patient","Low Risk Patient")</f>
        <v>Low Risk Patient</v>
      </c>
      <c r="O205" t="str">
        <f>IFERROR(VLOOKUP(Table14[[#This Row],[Department]],Doctor_Info!A:D,2,FALSE), "")</f>
        <v>Dr. Kofi</v>
      </c>
      <c r="P205" t="str">
        <f>IF(COUNTIF(A:A,Table14[[#This Row],[Patient ID]]&gt;1),"Returning Patient","New Patient")</f>
        <v>New Patient</v>
      </c>
      <c r="Q205" t="str">
        <f>_xlfn.XLOOKUP(Table14[[#This Row],[Department]], Doctor_Info!A:A, Doctor_Info!C:C, "")&amp;""</f>
        <v>102</v>
      </c>
      <c r="R205" t="str">
        <f>TEXT(Table14[[#This Row],[Admission Date]],"ddd")</f>
        <v>Thu</v>
      </c>
      <c r="S205" t="str">
        <f>TEXT(Table14[[#This Row],[Admission Date]],"mmm")</f>
        <v>Feb</v>
      </c>
      <c r="T205" t="str">
        <f>TEXT(Table14[[#This Row],[Admission Date]],"yyyy")</f>
        <v>2024</v>
      </c>
      <c r="U205" t="str">
        <f>TEXT(Table14[[#This Row],[Admission Date]],"mmm-yyyy")</f>
        <v>Feb-2024</v>
      </c>
      <c r="V205">
        <f t="shared" ca="1" si="3"/>
        <v>8</v>
      </c>
    </row>
    <row r="206" spans="1:22" x14ac:dyDescent="0.2">
      <c r="A206" t="s">
        <v>218</v>
      </c>
      <c r="B206" s="3">
        <v>45325</v>
      </c>
      <c r="C206" s="3">
        <v>45337</v>
      </c>
      <c r="D206">
        <f ca="1">IF(ISBLANK(Table14[[#This Row],[Discharge Date]]),TODAY()-Table14[[#This Row],[Admission Date]], Table14[[#This Row],[Discharge Date]]-Table14[[#This Row],[Admission Date]])</f>
        <v>12</v>
      </c>
      <c r="E206" s="6" t="str">
        <f>IF(Table14[[#This Row],[Discharge Date]]="","Still Admitted","Patient Discharged")</f>
        <v>Patient Discharged</v>
      </c>
      <c r="F206" s="6" t="str">
        <f>IF(WEEKDAY(Table14[[#This Row],[Admission Date]],2)&gt;5,"Weekend","Weekday")</f>
        <v>Weekend</v>
      </c>
      <c r="G206" t="s">
        <v>12</v>
      </c>
      <c r="H206">
        <v>64</v>
      </c>
      <c r="I206" t="str" cm="1">
        <f t="array" ref="I206">_xlfn.IFS(Table14[[#This Row],[Age]]&lt;18,"Children",Table14[[#This Row],[Age]]&lt;50,"Adult",Table14[[#This Row],[Age]]&gt;=50,"Elderly")</f>
        <v>Elderly</v>
      </c>
      <c r="J206" t="s">
        <v>546</v>
      </c>
      <c r="K206" s="7">
        <v>205470</v>
      </c>
      <c r="L206" s="2" t="str" cm="1">
        <f t="array" ref="L206">_xlfn.IFS(Table14[[#This Row],[Treatment Cost]]&lt;50000,"Low Billing",Table14[[#This Row],[Treatment Cost]]&lt;200000,"Moderate Billing",Table14[[#This Row],[Treatment Cost]]&gt;=200000,"High Billing")</f>
        <v>High Billing</v>
      </c>
      <c r="M206" t="s">
        <v>8</v>
      </c>
      <c r="N206" t="str">
        <f>IF(AND(Table14[[#This Row],[Outcome]]="Follow-up",Table14[[#This Row],[Admission Status]]="Patient Discharged"),"High Risk Patient","Low Risk Patient")</f>
        <v>High Risk Patient</v>
      </c>
      <c r="O206" t="str">
        <f>IFERROR(VLOOKUP(Table14[[#This Row],[Department]],Doctor_Info!A:D,2,FALSE), "")</f>
        <v>Dr. Temi</v>
      </c>
      <c r="P206" t="str">
        <f>IF(COUNTIF(A:A,Table14[[#This Row],[Patient ID]]&gt;1),"Returning Patient","New Patient")</f>
        <v>New Patient</v>
      </c>
      <c r="Q206" t="str">
        <f>_xlfn.XLOOKUP(Table14[[#This Row],[Department]], Doctor_Info!A:A, Doctor_Info!C:C, "")&amp;""</f>
        <v>502</v>
      </c>
      <c r="R206" t="str">
        <f>TEXT(Table14[[#This Row],[Admission Date]],"ddd")</f>
        <v>Sat</v>
      </c>
      <c r="S206" t="str">
        <f>TEXT(Table14[[#This Row],[Admission Date]],"mmm")</f>
        <v>Feb</v>
      </c>
      <c r="T206" t="str">
        <f>TEXT(Table14[[#This Row],[Admission Date]],"yyyy")</f>
        <v>2024</v>
      </c>
      <c r="U206" t="str">
        <f>TEXT(Table14[[#This Row],[Admission Date]],"mmm-yyyy")</f>
        <v>Feb-2024</v>
      </c>
      <c r="V206">
        <f t="shared" ca="1" si="3"/>
        <v>8</v>
      </c>
    </row>
    <row r="207" spans="1:22" x14ac:dyDescent="0.2">
      <c r="A207" t="s">
        <v>219</v>
      </c>
      <c r="B207" s="3">
        <v>45327</v>
      </c>
      <c r="C207" s="3">
        <v>45328</v>
      </c>
      <c r="D207">
        <f ca="1">IF(ISBLANK(Table14[[#This Row],[Discharge Date]]),TODAY()-Table14[[#This Row],[Admission Date]], Table14[[#This Row],[Discharge Date]]-Table14[[#This Row],[Admission Date]])</f>
        <v>1</v>
      </c>
      <c r="E207" s="6" t="str">
        <f>IF(Table14[[#This Row],[Discharge Date]]="","Still Admitted","Patient Discharged")</f>
        <v>Patient Discharged</v>
      </c>
      <c r="F207" s="6" t="str">
        <f>IF(WEEKDAY(Table14[[#This Row],[Admission Date]],2)&gt;5,"Weekend","Weekday")</f>
        <v>Weekday</v>
      </c>
      <c r="G207" t="s">
        <v>528</v>
      </c>
      <c r="H207">
        <v>66</v>
      </c>
      <c r="I207" t="str" cm="1">
        <f t="array" ref="I207">_xlfn.IFS(Table14[[#This Row],[Age]]&lt;18,"Children",Table14[[#This Row],[Age]]&lt;50,"Adult",Table14[[#This Row],[Age]]&gt;=50,"Elderly")</f>
        <v>Elderly</v>
      </c>
      <c r="J207" t="s">
        <v>547</v>
      </c>
      <c r="K207" s="7">
        <v>206440</v>
      </c>
      <c r="L207" s="2" t="str" cm="1">
        <f t="array" ref="L207">_xlfn.IFS(Table14[[#This Row],[Treatment Cost]]&lt;50000,"Low Billing",Table14[[#This Row],[Treatment Cost]]&lt;200000,"Moderate Billing",Table14[[#This Row],[Treatment Cost]]&gt;=200000,"High Billing")</f>
        <v>High Billing</v>
      </c>
      <c r="M207" t="s">
        <v>6</v>
      </c>
      <c r="N207" t="str">
        <f>IF(AND(Table14[[#This Row],[Outcome]]="Follow-up",Table14[[#This Row],[Admission Status]]="Patient Discharged"),"High Risk Patient","Low Risk Patient")</f>
        <v>Low Risk Patient</v>
      </c>
      <c r="O207" t="str">
        <f>IFERROR(VLOOKUP(Table14[[#This Row],[Department]],Doctor_Info!A:D,2,FALSE), "")</f>
        <v>Dr. Kofi</v>
      </c>
      <c r="P207" t="str">
        <f>IF(COUNTIF(A:A,Table14[[#This Row],[Patient ID]]&gt;1),"Returning Patient","New Patient")</f>
        <v>New Patient</v>
      </c>
      <c r="Q207" t="str">
        <f>_xlfn.XLOOKUP(Table14[[#This Row],[Department]], Doctor_Info!A:A, Doctor_Info!C:C, "")&amp;""</f>
        <v>102</v>
      </c>
      <c r="R207" t="str">
        <f>TEXT(Table14[[#This Row],[Admission Date]],"ddd")</f>
        <v>Mon</v>
      </c>
      <c r="S207" t="str">
        <f>TEXT(Table14[[#This Row],[Admission Date]],"mmm")</f>
        <v>Feb</v>
      </c>
      <c r="T207" t="str">
        <f>TEXT(Table14[[#This Row],[Admission Date]],"yyyy")</f>
        <v>2024</v>
      </c>
      <c r="U207" t="str">
        <f>TEXT(Table14[[#This Row],[Admission Date]],"mmm-yyyy")</f>
        <v>Feb-2024</v>
      </c>
      <c r="V207">
        <f t="shared" ca="1" si="3"/>
        <v>8</v>
      </c>
    </row>
    <row r="208" spans="1:22" x14ac:dyDescent="0.2">
      <c r="A208" t="s">
        <v>220</v>
      </c>
      <c r="B208" s="3">
        <v>45332</v>
      </c>
      <c r="D208">
        <f ca="1">IF(ISBLANK(Table14[[#This Row],[Discharge Date]]),TODAY()-Table14[[#This Row],[Admission Date]], Table14[[#This Row],[Discharge Date]]-Table14[[#This Row],[Admission Date]])</f>
        <v>806</v>
      </c>
      <c r="E208" s="6" t="str">
        <f>IF(Table14[[#This Row],[Discharge Date]]="","Still Admitted","Patient Discharged")</f>
        <v>Still Admitted</v>
      </c>
      <c r="F208" s="6" t="str">
        <f>IF(WEEKDAY(Table14[[#This Row],[Admission Date]],2)&gt;5,"Weekend","Weekday")</f>
        <v>Weekend</v>
      </c>
      <c r="G208" t="s">
        <v>10</v>
      </c>
      <c r="H208">
        <v>68</v>
      </c>
      <c r="I208" t="str" cm="1">
        <f t="array" ref="I208">_xlfn.IFS(Table14[[#This Row],[Age]]&lt;18,"Children",Table14[[#This Row],[Age]]&lt;50,"Adult",Table14[[#This Row],[Age]]&gt;=50,"Elderly")</f>
        <v>Elderly</v>
      </c>
      <c r="J208" t="s">
        <v>547</v>
      </c>
      <c r="K208" s="7">
        <v>207410</v>
      </c>
      <c r="L208" s="2" t="str" cm="1">
        <f t="array" ref="L208">_xlfn.IFS(Table14[[#This Row],[Treatment Cost]]&lt;50000,"Low Billing",Table14[[#This Row],[Treatment Cost]]&lt;200000,"Moderate Billing",Table14[[#This Row],[Treatment Cost]]&gt;=200000,"High Billing")</f>
        <v>High Billing</v>
      </c>
      <c r="M208" t="s">
        <v>403</v>
      </c>
      <c r="N208" t="str">
        <f>IF(AND(Table14[[#This Row],[Outcome]]="Follow-up",Table14[[#This Row],[Admission Status]]="Patient Discharged"),"High Risk Patient","Low Risk Patient")</f>
        <v>Low Risk Patient</v>
      </c>
      <c r="O208" t="str">
        <f>IFERROR(VLOOKUP(Table14[[#This Row],[Department]],Doctor_Info!A:D,2,FALSE), "")</f>
        <v>Dr. George</v>
      </c>
      <c r="P208" t="str">
        <f>IF(COUNTIF(A:A,Table14[[#This Row],[Patient ID]]&gt;1),"Returning Patient","New Patient")</f>
        <v>New Patient</v>
      </c>
      <c r="Q208" t="str">
        <f>_xlfn.XLOOKUP(Table14[[#This Row],[Department]], Doctor_Info!A:A, Doctor_Info!C:C, "")&amp;""</f>
        <v>405</v>
      </c>
      <c r="R208" t="str">
        <f>TEXT(Table14[[#This Row],[Admission Date]],"ddd")</f>
        <v>Sat</v>
      </c>
      <c r="S208" t="str">
        <f>TEXT(Table14[[#This Row],[Admission Date]],"mmm")</f>
        <v>Feb</v>
      </c>
      <c r="T208" t="str">
        <f>TEXT(Table14[[#This Row],[Admission Date]],"yyyy")</f>
        <v>2024</v>
      </c>
      <c r="U208" t="str">
        <f>TEXT(Table14[[#This Row],[Admission Date]],"mmm-yyyy")</f>
        <v>Feb-2024</v>
      </c>
      <c r="V208">
        <f t="shared" ca="1" si="3"/>
        <v>8</v>
      </c>
    </row>
    <row r="209" spans="1:22" x14ac:dyDescent="0.2">
      <c r="A209" t="s">
        <v>221</v>
      </c>
      <c r="B209" s="3">
        <v>45319</v>
      </c>
      <c r="C209" s="3">
        <v>45327</v>
      </c>
      <c r="D209">
        <f ca="1">IF(ISBLANK(Table14[[#This Row],[Discharge Date]]),TODAY()-Table14[[#This Row],[Admission Date]], Table14[[#This Row],[Discharge Date]]-Table14[[#This Row],[Admission Date]])</f>
        <v>8</v>
      </c>
      <c r="E209" s="6" t="str">
        <f>IF(Table14[[#This Row],[Discharge Date]]="","Still Admitted","Patient Discharged")</f>
        <v>Patient Discharged</v>
      </c>
      <c r="F209" s="6" t="str">
        <f>IF(WEEKDAY(Table14[[#This Row],[Admission Date]],2)&gt;5,"Weekend","Weekday")</f>
        <v>Weekend</v>
      </c>
      <c r="G209" t="s">
        <v>7</v>
      </c>
      <c r="H209">
        <v>70</v>
      </c>
      <c r="I209" t="str" cm="1">
        <f t="array" ref="I209">_xlfn.IFS(Table14[[#This Row],[Age]]&lt;18,"Children",Table14[[#This Row],[Age]]&lt;50,"Adult",Table14[[#This Row],[Age]]&gt;=50,"Elderly")</f>
        <v>Elderly</v>
      </c>
      <c r="J209" t="s">
        <v>546</v>
      </c>
      <c r="K209" s="7">
        <v>208380</v>
      </c>
      <c r="L209" s="2" t="str" cm="1">
        <f t="array" ref="L209">_xlfn.IFS(Table14[[#This Row],[Treatment Cost]]&lt;50000,"Low Billing",Table14[[#This Row],[Treatment Cost]]&lt;200000,"Moderate Billing",Table14[[#This Row],[Treatment Cost]]&gt;=200000,"High Billing")</f>
        <v>High Billing</v>
      </c>
      <c r="M209" t="s">
        <v>8</v>
      </c>
      <c r="N209" t="str">
        <f>IF(AND(Table14[[#This Row],[Outcome]]="Follow-up",Table14[[#This Row],[Admission Status]]="Patient Discharged"),"High Risk Patient","Low Risk Patient")</f>
        <v>High Risk Patient</v>
      </c>
      <c r="O209" t="str">
        <f>IFERROR(VLOOKUP(Table14[[#This Row],[Department]],Doctor_Info!A:D,2,FALSE), "")</f>
        <v>Dr. Ada</v>
      </c>
      <c r="P209" t="str">
        <f>IF(COUNTIF(A:A,Table14[[#This Row],[Patient ID]]&gt;1),"Returning Patient","New Patient")</f>
        <v>New Patient</v>
      </c>
      <c r="Q209" t="str">
        <f>_xlfn.XLOOKUP(Table14[[#This Row],[Department]], Doctor_Info!A:A, Doctor_Info!C:C, "")&amp;""</f>
        <v>301</v>
      </c>
      <c r="R209" t="str">
        <f>TEXT(Table14[[#This Row],[Admission Date]],"ddd")</f>
        <v>Sun</v>
      </c>
      <c r="S209" t="str">
        <f>TEXT(Table14[[#This Row],[Admission Date]],"mmm")</f>
        <v>Jan</v>
      </c>
      <c r="T209" t="str">
        <f>TEXT(Table14[[#This Row],[Admission Date]],"yyyy")</f>
        <v>2024</v>
      </c>
      <c r="U209" t="str">
        <f>TEXT(Table14[[#This Row],[Admission Date]],"mmm-yyyy")</f>
        <v>Jan-2024</v>
      </c>
      <c r="V209">
        <f t="shared" ca="1" si="3"/>
        <v>8</v>
      </c>
    </row>
    <row r="210" spans="1:22" x14ac:dyDescent="0.2">
      <c r="A210" t="s">
        <v>222</v>
      </c>
      <c r="B210" s="3">
        <v>45323</v>
      </c>
      <c r="C210" s="3">
        <v>45324</v>
      </c>
      <c r="D210">
        <f ca="1">IF(ISBLANK(Table14[[#This Row],[Discharge Date]]),TODAY()-Table14[[#This Row],[Admission Date]], Table14[[#This Row],[Discharge Date]]-Table14[[#This Row],[Admission Date]])</f>
        <v>1</v>
      </c>
      <c r="E210" s="6" t="str">
        <f>IF(Table14[[#This Row],[Discharge Date]]="","Still Admitted","Patient Discharged")</f>
        <v>Patient Discharged</v>
      </c>
      <c r="F210" s="6" t="str">
        <f>IF(WEEKDAY(Table14[[#This Row],[Admission Date]],2)&gt;5,"Weekend","Weekday")</f>
        <v>Weekday</v>
      </c>
      <c r="G210" t="s">
        <v>528</v>
      </c>
      <c r="H210">
        <v>72</v>
      </c>
      <c r="I210" t="str" cm="1">
        <f t="array" ref="I210">_xlfn.IFS(Table14[[#This Row],[Age]]&lt;18,"Children",Table14[[#This Row],[Age]]&lt;50,"Adult",Table14[[#This Row],[Age]]&gt;=50,"Elderly")</f>
        <v>Elderly</v>
      </c>
      <c r="J210" t="s">
        <v>547</v>
      </c>
      <c r="K210" s="7">
        <v>209350</v>
      </c>
      <c r="L210" s="2" t="str" cm="1">
        <f t="array" ref="L210">_xlfn.IFS(Table14[[#This Row],[Treatment Cost]]&lt;50000,"Low Billing",Table14[[#This Row],[Treatment Cost]]&lt;200000,"Moderate Billing",Table14[[#This Row],[Treatment Cost]]&gt;=200000,"High Billing")</f>
        <v>High Billing</v>
      </c>
      <c r="M210" t="s">
        <v>6</v>
      </c>
      <c r="N210" t="str">
        <f>IF(AND(Table14[[#This Row],[Outcome]]="Follow-up",Table14[[#This Row],[Admission Status]]="Patient Discharged"),"High Risk Patient","Low Risk Patient")</f>
        <v>Low Risk Patient</v>
      </c>
      <c r="O210" t="str">
        <f>IFERROR(VLOOKUP(Table14[[#This Row],[Department]],Doctor_Info!A:D,2,FALSE), "")</f>
        <v>Dr. Kofi</v>
      </c>
      <c r="P210" t="str">
        <f>IF(COUNTIF(A:A,Table14[[#This Row],[Patient ID]]&gt;1),"Returning Patient","New Patient")</f>
        <v>New Patient</v>
      </c>
      <c r="Q210" t="str">
        <f>_xlfn.XLOOKUP(Table14[[#This Row],[Department]], Doctor_Info!A:A, Doctor_Info!C:C, "")&amp;""</f>
        <v>102</v>
      </c>
      <c r="R210" t="str">
        <f>TEXT(Table14[[#This Row],[Admission Date]],"ddd")</f>
        <v>Thu</v>
      </c>
      <c r="S210" t="str">
        <f>TEXT(Table14[[#This Row],[Admission Date]],"mmm")</f>
        <v>Feb</v>
      </c>
      <c r="T210" t="str">
        <f>TEXT(Table14[[#This Row],[Admission Date]],"yyyy")</f>
        <v>2024</v>
      </c>
      <c r="U210" t="str">
        <f>TEXT(Table14[[#This Row],[Admission Date]],"mmm-yyyy")</f>
        <v>Feb-2024</v>
      </c>
      <c r="V210">
        <f t="shared" ca="1" si="3"/>
        <v>8</v>
      </c>
    </row>
    <row r="211" spans="1:22" x14ac:dyDescent="0.2">
      <c r="A211" t="s">
        <v>223</v>
      </c>
      <c r="B211" s="3">
        <v>45325</v>
      </c>
      <c r="C211" s="3">
        <v>45337</v>
      </c>
      <c r="D211">
        <f ca="1">IF(ISBLANK(Table14[[#This Row],[Discharge Date]]),TODAY()-Table14[[#This Row],[Admission Date]], Table14[[#This Row],[Discharge Date]]-Table14[[#This Row],[Admission Date]])</f>
        <v>12</v>
      </c>
      <c r="E211" s="6" t="str">
        <f>IF(Table14[[#This Row],[Discharge Date]]="","Still Admitted","Patient Discharged")</f>
        <v>Patient Discharged</v>
      </c>
      <c r="F211" s="6" t="str">
        <f>IF(WEEKDAY(Table14[[#This Row],[Admission Date]],2)&gt;5,"Weekend","Weekday")</f>
        <v>Weekend</v>
      </c>
      <c r="G211" t="s">
        <v>12</v>
      </c>
      <c r="H211">
        <v>74</v>
      </c>
      <c r="I211" t="str" cm="1">
        <f t="array" ref="I211">_xlfn.IFS(Table14[[#This Row],[Age]]&lt;18,"Children",Table14[[#This Row],[Age]]&lt;50,"Adult",Table14[[#This Row],[Age]]&gt;=50,"Elderly")</f>
        <v>Elderly</v>
      </c>
      <c r="J211" t="s">
        <v>546</v>
      </c>
      <c r="K211" s="7">
        <v>210320</v>
      </c>
      <c r="L211" s="2" t="str" cm="1">
        <f t="array" ref="L211">_xlfn.IFS(Table14[[#This Row],[Treatment Cost]]&lt;50000,"Low Billing",Table14[[#This Row],[Treatment Cost]]&lt;200000,"Moderate Billing",Table14[[#This Row],[Treatment Cost]]&gt;=200000,"High Billing")</f>
        <v>High Billing</v>
      </c>
      <c r="M211" t="s">
        <v>8</v>
      </c>
      <c r="N211" t="str">
        <f>IF(AND(Table14[[#This Row],[Outcome]]="Follow-up",Table14[[#This Row],[Admission Status]]="Patient Discharged"),"High Risk Patient","Low Risk Patient")</f>
        <v>High Risk Patient</v>
      </c>
      <c r="O211" t="str">
        <f>IFERROR(VLOOKUP(Table14[[#This Row],[Department]],Doctor_Info!A:D,2,FALSE), "")</f>
        <v>Dr. Temi</v>
      </c>
      <c r="P211" t="str">
        <f>IF(COUNTIF(A:A,Table14[[#This Row],[Patient ID]]&gt;1),"Returning Patient","New Patient")</f>
        <v>New Patient</v>
      </c>
      <c r="Q211" t="str">
        <f>_xlfn.XLOOKUP(Table14[[#This Row],[Department]], Doctor_Info!A:A, Doctor_Info!C:C, "")&amp;""</f>
        <v>502</v>
      </c>
      <c r="R211" t="str">
        <f>TEXT(Table14[[#This Row],[Admission Date]],"ddd")</f>
        <v>Sat</v>
      </c>
      <c r="S211" t="str">
        <f>TEXT(Table14[[#This Row],[Admission Date]],"mmm")</f>
        <v>Feb</v>
      </c>
      <c r="T211" t="str">
        <f>TEXT(Table14[[#This Row],[Admission Date]],"yyyy")</f>
        <v>2024</v>
      </c>
      <c r="U211" t="str">
        <f>TEXT(Table14[[#This Row],[Admission Date]],"mmm-yyyy")</f>
        <v>Feb-2024</v>
      </c>
      <c r="V211">
        <f t="shared" ca="1" si="3"/>
        <v>8</v>
      </c>
    </row>
    <row r="212" spans="1:22" x14ac:dyDescent="0.2">
      <c r="A212" t="s">
        <v>224</v>
      </c>
      <c r="B212" s="3">
        <v>45327</v>
      </c>
      <c r="C212" s="3">
        <v>45328</v>
      </c>
      <c r="D212">
        <f ca="1">IF(ISBLANK(Table14[[#This Row],[Discharge Date]]),TODAY()-Table14[[#This Row],[Admission Date]], Table14[[#This Row],[Discharge Date]]-Table14[[#This Row],[Admission Date]])</f>
        <v>1</v>
      </c>
      <c r="E212" s="6" t="str">
        <f>IF(Table14[[#This Row],[Discharge Date]]="","Still Admitted","Patient Discharged")</f>
        <v>Patient Discharged</v>
      </c>
      <c r="F212" s="6" t="str">
        <f>IF(WEEKDAY(Table14[[#This Row],[Admission Date]],2)&gt;5,"Weekend","Weekday")</f>
        <v>Weekday</v>
      </c>
      <c r="G212" t="s">
        <v>528</v>
      </c>
      <c r="H212">
        <v>76</v>
      </c>
      <c r="I212" t="str" cm="1">
        <f t="array" ref="I212">_xlfn.IFS(Table14[[#This Row],[Age]]&lt;18,"Children",Table14[[#This Row],[Age]]&lt;50,"Adult",Table14[[#This Row],[Age]]&gt;=50,"Elderly")</f>
        <v>Elderly</v>
      </c>
      <c r="J212" t="s">
        <v>547</v>
      </c>
      <c r="K212" s="7">
        <v>211290</v>
      </c>
      <c r="L212" s="2" t="str" cm="1">
        <f t="array" ref="L212">_xlfn.IFS(Table14[[#This Row],[Treatment Cost]]&lt;50000,"Low Billing",Table14[[#This Row],[Treatment Cost]]&lt;200000,"Moderate Billing",Table14[[#This Row],[Treatment Cost]]&gt;=200000,"High Billing")</f>
        <v>High Billing</v>
      </c>
      <c r="M212" t="s">
        <v>6</v>
      </c>
      <c r="N212" t="str">
        <f>IF(AND(Table14[[#This Row],[Outcome]]="Follow-up",Table14[[#This Row],[Admission Status]]="Patient Discharged"),"High Risk Patient","Low Risk Patient")</f>
        <v>Low Risk Patient</v>
      </c>
      <c r="O212" t="str">
        <f>IFERROR(VLOOKUP(Table14[[#This Row],[Department]],Doctor_Info!A:D,2,FALSE), "")</f>
        <v>Dr. Kofi</v>
      </c>
      <c r="P212" t="str">
        <f>IF(COUNTIF(A:A,Table14[[#This Row],[Patient ID]]&gt;1),"Returning Patient","New Patient")</f>
        <v>New Patient</v>
      </c>
      <c r="Q212" t="str">
        <f>_xlfn.XLOOKUP(Table14[[#This Row],[Department]], Doctor_Info!A:A, Doctor_Info!C:C, "")&amp;""</f>
        <v>102</v>
      </c>
      <c r="R212" t="str">
        <f>TEXT(Table14[[#This Row],[Admission Date]],"ddd")</f>
        <v>Mon</v>
      </c>
      <c r="S212" t="str">
        <f>TEXT(Table14[[#This Row],[Admission Date]],"mmm")</f>
        <v>Feb</v>
      </c>
      <c r="T212" t="str">
        <f>TEXT(Table14[[#This Row],[Admission Date]],"yyyy")</f>
        <v>2024</v>
      </c>
      <c r="U212" t="str">
        <f>TEXT(Table14[[#This Row],[Admission Date]],"mmm-yyyy")</f>
        <v>Feb-2024</v>
      </c>
      <c r="V212">
        <f t="shared" ca="1" si="3"/>
        <v>8</v>
      </c>
    </row>
    <row r="213" spans="1:22" x14ac:dyDescent="0.2">
      <c r="A213" t="s">
        <v>225</v>
      </c>
      <c r="B213" s="3">
        <v>45332</v>
      </c>
      <c r="D213">
        <f ca="1">IF(ISBLANK(Table14[[#This Row],[Discharge Date]]),TODAY()-Table14[[#This Row],[Admission Date]], Table14[[#This Row],[Discharge Date]]-Table14[[#This Row],[Admission Date]])</f>
        <v>806</v>
      </c>
      <c r="E213" s="6" t="str">
        <f>IF(Table14[[#This Row],[Discharge Date]]="","Still Admitted","Patient Discharged")</f>
        <v>Still Admitted</v>
      </c>
      <c r="F213" s="6" t="str">
        <f>IF(WEEKDAY(Table14[[#This Row],[Admission Date]],2)&gt;5,"Weekend","Weekday")</f>
        <v>Weekend</v>
      </c>
      <c r="G213" t="s">
        <v>10</v>
      </c>
      <c r="H213">
        <v>78</v>
      </c>
      <c r="I213" t="str" cm="1">
        <f t="array" ref="I213">_xlfn.IFS(Table14[[#This Row],[Age]]&lt;18,"Children",Table14[[#This Row],[Age]]&lt;50,"Adult",Table14[[#This Row],[Age]]&gt;=50,"Elderly")</f>
        <v>Elderly</v>
      </c>
      <c r="J213" t="s">
        <v>547</v>
      </c>
      <c r="K213" s="7">
        <v>212260</v>
      </c>
      <c r="L213" s="2" t="str" cm="1">
        <f t="array" ref="L213">_xlfn.IFS(Table14[[#This Row],[Treatment Cost]]&lt;50000,"Low Billing",Table14[[#This Row],[Treatment Cost]]&lt;200000,"Moderate Billing",Table14[[#This Row],[Treatment Cost]]&gt;=200000,"High Billing")</f>
        <v>High Billing</v>
      </c>
      <c r="M213" t="s">
        <v>403</v>
      </c>
      <c r="N213" t="str">
        <f>IF(AND(Table14[[#This Row],[Outcome]]="Follow-up",Table14[[#This Row],[Admission Status]]="Patient Discharged"),"High Risk Patient","Low Risk Patient")</f>
        <v>Low Risk Patient</v>
      </c>
      <c r="O213" t="str">
        <f>IFERROR(VLOOKUP(Table14[[#This Row],[Department]],Doctor_Info!A:D,2,FALSE), "")</f>
        <v>Dr. George</v>
      </c>
      <c r="P213" t="str">
        <f>IF(COUNTIF(A:A,Table14[[#This Row],[Patient ID]]&gt;1),"Returning Patient","New Patient")</f>
        <v>New Patient</v>
      </c>
      <c r="Q213" t="str">
        <f>_xlfn.XLOOKUP(Table14[[#This Row],[Department]], Doctor_Info!A:A, Doctor_Info!C:C, "")&amp;""</f>
        <v>405</v>
      </c>
      <c r="R213" t="str">
        <f>TEXT(Table14[[#This Row],[Admission Date]],"ddd")</f>
        <v>Sat</v>
      </c>
      <c r="S213" t="str">
        <f>TEXT(Table14[[#This Row],[Admission Date]],"mmm")</f>
        <v>Feb</v>
      </c>
      <c r="T213" t="str">
        <f>TEXT(Table14[[#This Row],[Admission Date]],"yyyy")</f>
        <v>2024</v>
      </c>
      <c r="U213" t="str">
        <f>TEXT(Table14[[#This Row],[Admission Date]],"mmm-yyyy")</f>
        <v>Feb-2024</v>
      </c>
      <c r="V213">
        <f t="shared" ca="1" si="3"/>
        <v>8</v>
      </c>
    </row>
    <row r="214" spans="1:22" x14ac:dyDescent="0.2">
      <c r="A214" t="s">
        <v>226</v>
      </c>
      <c r="B214" s="3">
        <v>45319</v>
      </c>
      <c r="C214" s="3">
        <v>45327</v>
      </c>
      <c r="D214">
        <f ca="1">IF(ISBLANK(Table14[[#This Row],[Discharge Date]]),TODAY()-Table14[[#This Row],[Admission Date]], Table14[[#This Row],[Discharge Date]]-Table14[[#This Row],[Admission Date]])</f>
        <v>8</v>
      </c>
      <c r="E214" s="6" t="str">
        <f>IF(Table14[[#This Row],[Discharge Date]]="","Still Admitted","Patient Discharged")</f>
        <v>Patient Discharged</v>
      </c>
      <c r="F214" s="6" t="str">
        <f>IF(WEEKDAY(Table14[[#This Row],[Admission Date]],2)&gt;5,"Weekend","Weekday")</f>
        <v>Weekend</v>
      </c>
      <c r="G214" t="s">
        <v>7</v>
      </c>
      <c r="H214">
        <v>80</v>
      </c>
      <c r="I214" t="str" cm="1">
        <f t="array" ref="I214">_xlfn.IFS(Table14[[#This Row],[Age]]&lt;18,"Children",Table14[[#This Row],[Age]]&lt;50,"Adult",Table14[[#This Row],[Age]]&gt;=50,"Elderly")</f>
        <v>Elderly</v>
      </c>
      <c r="J214" t="s">
        <v>546</v>
      </c>
      <c r="K214" s="7">
        <v>213230</v>
      </c>
      <c r="L214" s="2" t="str" cm="1">
        <f t="array" ref="L214">_xlfn.IFS(Table14[[#This Row],[Treatment Cost]]&lt;50000,"Low Billing",Table14[[#This Row],[Treatment Cost]]&lt;200000,"Moderate Billing",Table14[[#This Row],[Treatment Cost]]&gt;=200000,"High Billing")</f>
        <v>High Billing</v>
      </c>
      <c r="M214" t="s">
        <v>8</v>
      </c>
      <c r="N214" t="str">
        <f>IF(AND(Table14[[#This Row],[Outcome]]="Follow-up",Table14[[#This Row],[Admission Status]]="Patient Discharged"),"High Risk Patient","Low Risk Patient")</f>
        <v>High Risk Patient</v>
      </c>
      <c r="O214" t="str">
        <f>IFERROR(VLOOKUP(Table14[[#This Row],[Department]],Doctor_Info!A:D,2,FALSE), "")</f>
        <v>Dr. Ada</v>
      </c>
      <c r="P214" t="str">
        <f>IF(COUNTIF(A:A,Table14[[#This Row],[Patient ID]]&gt;1),"Returning Patient","New Patient")</f>
        <v>New Patient</v>
      </c>
      <c r="Q214" t="str">
        <f>_xlfn.XLOOKUP(Table14[[#This Row],[Department]], Doctor_Info!A:A, Doctor_Info!C:C, "")&amp;""</f>
        <v>301</v>
      </c>
      <c r="R214" t="str">
        <f>TEXT(Table14[[#This Row],[Admission Date]],"ddd")</f>
        <v>Sun</v>
      </c>
      <c r="S214" t="str">
        <f>TEXT(Table14[[#This Row],[Admission Date]],"mmm")</f>
        <v>Jan</v>
      </c>
      <c r="T214" t="str">
        <f>TEXT(Table14[[#This Row],[Admission Date]],"yyyy")</f>
        <v>2024</v>
      </c>
      <c r="U214" t="str">
        <f>TEXT(Table14[[#This Row],[Admission Date]],"mmm-yyyy")</f>
        <v>Jan-2024</v>
      </c>
      <c r="V214">
        <f t="shared" ca="1" si="3"/>
        <v>8</v>
      </c>
    </row>
    <row r="215" spans="1:22" x14ac:dyDescent="0.2">
      <c r="A215" t="s">
        <v>227</v>
      </c>
      <c r="B215" s="3">
        <v>45323</v>
      </c>
      <c r="C215" s="3">
        <v>45324</v>
      </c>
      <c r="D215">
        <f ca="1">IF(ISBLANK(Table14[[#This Row],[Discharge Date]]),TODAY()-Table14[[#This Row],[Admission Date]], Table14[[#This Row],[Discharge Date]]-Table14[[#This Row],[Admission Date]])</f>
        <v>1</v>
      </c>
      <c r="E215" s="6" t="str">
        <f>IF(Table14[[#This Row],[Discharge Date]]="","Still Admitted","Patient Discharged")</f>
        <v>Patient Discharged</v>
      </c>
      <c r="F215" s="6" t="str">
        <f>IF(WEEKDAY(Table14[[#This Row],[Admission Date]],2)&gt;5,"Weekend","Weekday")</f>
        <v>Weekday</v>
      </c>
      <c r="G215" t="s">
        <v>528</v>
      </c>
      <c r="H215">
        <v>82</v>
      </c>
      <c r="I215" t="str" cm="1">
        <f t="array" ref="I215">_xlfn.IFS(Table14[[#This Row],[Age]]&lt;18,"Children",Table14[[#This Row],[Age]]&lt;50,"Adult",Table14[[#This Row],[Age]]&gt;=50,"Elderly")</f>
        <v>Elderly</v>
      </c>
      <c r="J215" t="s">
        <v>547</v>
      </c>
      <c r="K215" s="7">
        <v>214200</v>
      </c>
      <c r="L215" s="2" t="str" cm="1">
        <f t="array" ref="L215">_xlfn.IFS(Table14[[#This Row],[Treatment Cost]]&lt;50000,"Low Billing",Table14[[#This Row],[Treatment Cost]]&lt;200000,"Moderate Billing",Table14[[#This Row],[Treatment Cost]]&gt;=200000,"High Billing")</f>
        <v>High Billing</v>
      </c>
      <c r="M215" t="s">
        <v>6</v>
      </c>
      <c r="N215" t="str">
        <f>IF(AND(Table14[[#This Row],[Outcome]]="Follow-up",Table14[[#This Row],[Admission Status]]="Patient Discharged"),"High Risk Patient","Low Risk Patient")</f>
        <v>Low Risk Patient</v>
      </c>
      <c r="O215" t="str">
        <f>IFERROR(VLOOKUP(Table14[[#This Row],[Department]],Doctor_Info!A:D,2,FALSE), "")</f>
        <v>Dr. Kofi</v>
      </c>
      <c r="P215" t="str">
        <f>IF(COUNTIF(A:A,Table14[[#This Row],[Patient ID]]&gt;1),"Returning Patient","New Patient")</f>
        <v>New Patient</v>
      </c>
      <c r="Q215" t="str">
        <f>_xlfn.XLOOKUP(Table14[[#This Row],[Department]], Doctor_Info!A:A, Doctor_Info!C:C, "")&amp;""</f>
        <v>102</v>
      </c>
      <c r="R215" t="str">
        <f>TEXT(Table14[[#This Row],[Admission Date]],"ddd")</f>
        <v>Thu</v>
      </c>
      <c r="S215" t="str">
        <f>TEXT(Table14[[#This Row],[Admission Date]],"mmm")</f>
        <v>Feb</v>
      </c>
      <c r="T215" t="str">
        <f>TEXT(Table14[[#This Row],[Admission Date]],"yyyy")</f>
        <v>2024</v>
      </c>
      <c r="U215" t="str">
        <f>TEXT(Table14[[#This Row],[Admission Date]],"mmm-yyyy")</f>
        <v>Feb-2024</v>
      </c>
      <c r="V215">
        <f t="shared" ca="1" si="3"/>
        <v>8</v>
      </c>
    </row>
    <row r="216" spans="1:22" x14ac:dyDescent="0.2">
      <c r="A216" t="s">
        <v>228</v>
      </c>
      <c r="B216" s="3">
        <v>45325</v>
      </c>
      <c r="C216" s="3">
        <v>45337</v>
      </c>
      <c r="D216">
        <f ca="1">IF(ISBLANK(Table14[[#This Row],[Discharge Date]]),TODAY()-Table14[[#This Row],[Admission Date]], Table14[[#This Row],[Discharge Date]]-Table14[[#This Row],[Admission Date]])</f>
        <v>12</v>
      </c>
      <c r="E216" s="6" t="str">
        <f>IF(Table14[[#This Row],[Discharge Date]]="","Still Admitted","Patient Discharged")</f>
        <v>Patient Discharged</v>
      </c>
      <c r="F216" s="6" t="str">
        <f>IF(WEEKDAY(Table14[[#This Row],[Admission Date]],2)&gt;5,"Weekend","Weekday")</f>
        <v>Weekend</v>
      </c>
      <c r="G216" t="s">
        <v>12</v>
      </c>
      <c r="H216">
        <v>84</v>
      </c>
      <c r="I216" t="str" cm="1">
        <f t="array" ref="I216">_xlfn.IFS(Table14[[#This Row],[Age]]&lt;18,"Children",Table14[[#This Row],[Age]]&lt;50,"Adult",Table14[[#This Row],[Age]]&gt;=50,"Elderly")</f>
        <v>Elderly</v>
      </c>
      <c r="J216" t="s">
        <v>546</v>
      </c>
      <c r="K216" s="7">
        <v>215170</v>
      </c>
      <c r="L216" s="2" t="str" cm="1">
        <f t="array" ref="L216">_xlfn.IFS(Table14[[#This Row],[Treatment Cost]]&lt;50000,"Low Billing",Table14[[#This Row],[Treatment Cost]]&lt;200000,"Moderate Billing",Table14[[#This Row],[Treatment Cost]]&gt;=200000,"High Billing")</f>
        <v>High Billing</v>
      </c>
      <c r="M216" t="s">
        <v>8</v>
      </c>
      <c r="N216" t="str">
        <f>IF(AND(Table14[[#This Row],[Outcome]]="Follow-up",Table14[[#This Row],[Admission Status]]="Patient Discharged"),"High Risk Patient","Low Risk Patient")</f>
        <v>High Risk Patient</v>
      </c>
      <c r="O216" t="str">
        <f>IFERROR(VLOOKUP(Table14[[#This Row],[Department]],Doctor_Info!A:D,2,FALSE), "")</f>
        <v>Dr. Temi</v>
      </c>
      <c r="P216" t="str">
        <f>IF(COUNTIF(A:A,Table14[[#This Row],[Patient ID]]&gt;1),"Returning Patient","New Patient")</f>
        <v>New Patient</v>
      </c>
      <c r="Q216" t="str">
        <f>_xlfn.XLOOKUP(Table14[[#This Row],[Department]], Doctor_Info!A:A, Doctor_Info!C:C, "")&amp;""</f>
        <v>502</v>
      </c>
      <c r="R216" t="str">
        <f>TEXT(Table14[[#This Row],[Admission Date]],"ddd")</f>
        <v>Sat</v>
      </c>
      <c r="S216" t="str">
        <f>TEXT(Table14[[#This Row],[Admission Date]],"mmm")</f>
        <v>Feb</v>
      </c>
      <c r="T216" t="str">
        <f>TEXT(Table14[[#This Row],[Admission Date]],"yyyy")</f>
        <v>2024</v>
      </c>
      <c r="U216" t="str">
        <f>TEXT(Table14[[#This Row],[Admission Date]],"mmm-yyyy")</f>
        <v>Feb-2024</v>
      </c>
      <c r="V216">
        <f t="shared" ca="1" si="3"/>
        <v>8</v>
      </c>
    </row>
    <row r="217" spans="1:22" x14ac:dyDescent="0.2">
      <c r="A217" t="s">
        <v>229</v>
      </c>
      <c r="B217" s="3">
        <v>45327</v>
      </c>
      <c r="C217" s="3">
        <v>45328</v>
      </c>
      <c r="D217">
        <f ca="1">IF(ISBLANK(Table14[[#This Row],[Discharge Date]]),TODAY()-Table14[[#This Row],[Admission Date]], Table14[[#This Row],[Discharge Date]]-Table14[[#This Row],[Admission Date]])</f>
        <v>1</v>
      </c>
      <c r="E217" s="6" t="str">
        <f>IF(Table14[[#This Row],[Discharge Date]]="","Still Admitted","Patient Discharged")</f>
        <v>Patient Discharged</v>
      </c>
      <c r="F217" s="6" t="str">
        <f>IF(WEEKDAY(Table14[[#This Row],[Admission Date]],2)&gt;5,"Weekend","Weekday")</f>
        <v>Weekday</v>
      </c>
      <c r="G217" t="s">
        <v>528</v>
      </c>
      <c r="H217">
        <v>86</v>
      </c>
      <c r="I217" t="str" cm="1">
        <f t="array" ref="I217">_xlfn.IFS(Table14[[#This Row],[Age]]&lt;18,"Children",Table14[[#This Row],[Age]]&lt;50,"Adult",Table14[[#This Row],[Age]]&gt;=50,"Elderly")</f>
        <v>Elderly</v>
      </c>
      <c r="J217" t="s">
        <v>547</v>
      </c>
      <c r="K217" s="7">
        <v>216140</v>
      </c>
      <c r="L217" s="2" t="str" cm="1">
        <f t="array" ref="L217">_xlfn.IFS(Table14[[#This Row],[Treatment Cost]]&lt;50000,"Low Billing",Table14[[#This Row],[Treatment Cost]]&lt;200000,"Moderate Billing",Table14[[#This Row],[Treatment Cost]]&gt;=200000,"High Billing")</f>
        <v>High Billing</v>
      </c>
      <c r="M217" t="s">
        <v>6</v>
      </c>
      <c r="N217" t="str">
        <f>IF(AND(Table14[[#This Row],[Outcome]]="Follow-up",Table14[[#This Row],[Admission Status]]="Patient Discharged"),"High Risk Patient","Low Risk Patient")</f>
        <v>Low Risk Patient</v>
      </c>
      <c r="O217" t="str">
        <f>IFERROR(VLOOKUP(Table14[[#This Row],[Department]],Doctor_Info!A:D,2,FALSE), "")</f>
        <v>Dr. Kofi</v>
      </c>
      <c r="P217" t="str">
        <f>IF(COUNTIF(A:A,Table14[[#This Row],[Patient ID]]&gt;1),"Returning Patient","New Patient")</f>
        <v>New Patient</v>
      </c>
      <c r="Q217" t="str">
        <f>_xlfn.XLOOKUP(Table14[[#This Row],[Department]], Doctor_Info!A:A, Doctor_Info!C:C, "")&amp;""</f>
        <v>102</v>
      </c>
      <c r="R217" t="str">
        <f>TEXT(Table14[[#This Row],[Admission Date]],"ddd")</f>
        <v>Mon</v>
      </c>
      <c r="S217" t="str">
        <f>TEXT(Table14[[#This Row],[Admission Date]],"mmm")</f>
        <v>Feb</v>
      </c>
      <c r="T217" t="str">
        <f>TEXT(Table14[[#This Row],[Admission Date]],"yyyy")</f>
        <v>2024</v>
      </c>
      <c r="U217" t="str">
        <f>TEXT(Table14[[#This Row],[Admission Date]],"mmm-yyyy")</f>
        <v>Feb-2024</v>
      </c>
      <c r="V217">
        <f t="shared" ca="1" si="3"/>
        <v>8</v>
      </c>
    </row>
    <row r="218" spans="1:22" x14ac:dyDescent="0.2">
      <c r="A218" t="s">
        <v>230</v>
      </c>
      <c r="B218" s="3">
        <v>45332</v>
      </c>
      <c r="D218">
        <f ca="1">IF(ISBLANK(Table14[[#This Row],[Discharge Date]]),TODAY()-Table14[[#This Row],[Admission Date]], Table14[[#This Row],[Discharge Date]]-Table14[[#This Row],[Admission Date]])</f>
        <v>806</v>
      </c>
      <c r="E218" s="6" t="str">
        <f>IF(Table14[[#This Row],[Discharge Date]]="","Still Admitted","Patient Discharged")</f>
        <v>Still Admitted</v>
      </c>
      <c r="F218" s="6" t="str">
        <f>IF(WEEKDAY(Table14[[#This Row],[Admission Date]],2)&gt;5,"Weekend","Weekday")</f>
        <v>Weekend</v>
      </c>
      <c r="G218" t="s">
        <v>10</v>
      </c>
      <c r="H218">
        <v>88</v>
      </c>
      <c r="I218" t="str" cm="1">
        <f t="array" ref="I218">_xlfn.IFS(Table14[[#This Row],[Age]]&lt;18,"Children",Table14[[#This Row],[Age]]&lt;50,"Adult",Table14[[#This Row],[Age]]&gt;=50,"Elderly")</f>
        <v>Elderly</v>
      </c>
      <c r="J218" t="s">
        <v>547</v>
      </c>
      <c r="K218" s="7">
        <v>217110</v>
      </c>
      <c r="L218" s="2" t="str" cm="1">
        <f t="array" ref="L218">_xlfn.IFS(Table14[[#This Row],[Treatment Cost]]&lt;50000,"Low Billing",Table14[[#This Row],[Treatment Cost]]&lt;200000,"Moderate Billing",Table14[[#This Row],[Treatment Cost]]&gt;=200000,"High Billing")</f>
        <v>High Billing</v>
      </c>
      <c r="M218" t="s">
        <v>403</v>
      </c>
      <c r="N218" t="str">
        <f>IF(AND(Table14[[#This Row],[Outcome]]="Follow-up",Table14[[#This Row],[Admission Status]]="Patient Discharged"),"High Risk Patient","Low Risk Patient")</f>
        <v>Low Risk Patient</v>
      </c>
      <c r="O218" t="str">
        <f>IFERROR(VLOOKUP(Table14[[#This Row],[Department]],Doctor_Info!A:D,2,FALSE), "")</f>
        <v>Dr. George</v>
      </c>
      <c r="P218" t="str">
        <f>IF(COUNTIF(A:A,Table14[[#This Row],[Patient ID]]&gt;1),"Returning Patient","New Patient")</f>
        <v>New Patient</v>
      </c>
      <c r="Q218" t="str">
        <f>_xlfn.XLOOKUP(Table14[[#This Row],[Department]], Doctor_Info!A:A, Doctor_Info!C:C, "")&amp;""</f>
        <v>405</v>
      </c>
      <c r="R218" t="str">
        <f>TEXT(Table14[[#This Row],[Admission Date]],"ddd")</f>
        <v>Sat</v>
      </c>
      <c r="S218" t="str">
        <f>TEXT(Table14[[#This Row],[Admission Date]],"mmm")</f>
        <v>Feb</v>
      </c>
      <c r="T218" t="str">
        <f>TEXT(Table14[[#This Row],[Admission Date]],"yyyy")</f>
        <v>2024</v>
      </c>
      <c r="U218" t="str">
        <f>TEXT(Table14[[#This Row],[Admission Date]],"mmm-yyyy")</f>
        <v>Feb-2024</v>
      </c>
      <c r="V218">
        <f t="shared" ca="1" si="3"/>
        <v>8</v>
      </c>
    </row>
    <row r="219" spans="1:22" x14ac:dyDescent="0.2">
      <c r="A219" t="s">
        <v>231</v>
      </c>
      <c r="B219" s="3">
        <v>45319</v>
      </c>
      <c r="C219" s="3">
        <v>45327</v>
      </c>
      <c r="D219">
        <f ca="1">IF(ISBLANK(Table14[[#This Row],[Discharge Date]]),TODAY()-Table14[[#This Row],[Admission Date]], Table14[[#This Row],[Discharge Date]]-Table14[[#This Row],[Admission Date]])</f>
        <v>8</v>
      </c>
      <c r="E219" s="6" t="str">
        <f>IF(Table14[[#This Row],[Discharge Date]]="","Still Admitted","Patient Discharged")</f>
        <v>Patient Discharged</v>
      </c>
      <c r="F219" s="6" t="str">
        <f>IF(WEEKDAY(Table14[[#This Row],[Admission Date]],2)&gt;5,"Weekend","Weekday")</f>
        <v>Weekend</v>
      </c>
      <c r="G219" t="s">
        <v>7</v>
      </c>
      <c r="H219">
        <v>90</v>
      </c>
      <c r="I219" t="str" cm="1">
        <f t="array" ref="I219">_xlfn.IFS(Table14[[#This Row],[Age]]&lt;18,"Children",Table14[[#This Row],[Age]]&lt;50,"Adult",Table14[[#This Row],[Age]]&gt;=50,"Elderly")</f>
        <v>Elderly</v>
      </c>
      <c r="J219" t="s">
        <v>546</v>
      </c>
      <c r="K219" s="7">
        <v>218080</v>
      </c>
      <c r="L219" s="2" t="str" cm="1">
        <f t="array" ref="L219">_xlfn.IFS(Table14[[#This Row],[Treatment Cost]]&lt;50000,"Low Billing",Table14[[#This Row],[Treatment Cost]]&lt;200000,"Moderate Billing",Table14[[#This Row],[Treatment Cost]]&gt;=200000,"High Billing")</f>
        <v>High Billing</v>
      </c>
      <c r="M219" t="s">
        <v>8</v>
      </c>
      <c r="N219" t="str">
        <f>IF(AND(Table14[[#This Row],[Outcome]]="Follow-up",Table14[[#This Row],[Admission Status]]="Patient Discharged"),"High Risk Patient","Low Risk Patient")</f>
        <v>High Risk Patient</v>
      </c>
      <c r="O219" t="str">
        <f>IFERROR(VLOOKUP(Table14[[#This Row],[Department]],Doctor_Info!A:D,2,FALSE), "")</f>
        <v>Dr. Ada</v>
      </c>
      <c r="P219" t="str">
        <f>IF(COUNTIF(A:A,Table14[[#This Row],[Patient ID]]&gt;1),"Returning Patient","New Patient")</f>
        <v>New Patient</v>
      </c>
      <c r="Q219" t="str">
        <f>_xlfn.XLOOKUP(Table14[[#This Row],[Department]], Doctor_Info!A:A, Doctor_Info!C:C, "")&amp;""</f>
        <v>301</v>
      </c>
      <c r="R219" t="str">
        <f>TEXT(Table14[[#This Row],[Admission Date]],"ddd")</f>
        <v>Sun</v>
      </c>
      <c r="S219" t="str">
        <f>TEXT(Table14[[#This Row],[Admission Date]],"mmm")</f>
        <v>Jan</v>
      </c>
      <c r="T219" t="str">
        <f>TEXT(Table14[[#This Row],[Admission Date]],"yyyy")</f>
        <v>2024</v>
      </c>
      <c r="U219" t="str">
        <f>TEXT(Table14[[#This Row],[Admission Date]],"mmm-yyyy")</f>
        <v>Jan-2024</v>
      </c>
      <c r="V219">
        <f t="shared" ca="1" si="3"/>
        <v>8</v>
      </c>
    </row>
    <row r="220" spans="1:22" x14ac:dyDescent="0.2">
      <c r="A220" t="s">
        <v>232</v>
      </c>
      <c r="B220" s="3">
        <v>45323</v>
      </c>
      <c r="C220" s="3">
        <v>45324</v>
      </c>
      <c r="D220">
        <f ca="1">IF(ISBLANK(Table14[[#This Row],[Discharge Date]]),TODAY()-Table14[[#This Row],[Admission Date]], Table14[[#This Row],[Discharge Date]]-Table14[[#This Row],[Admission Date]])</f>
        <v>1</v>
      </c>
      <c r="E220" s="6" t="str">
        <f>IF(Table14[[#This Row],[Discharge Date]]="","Still Admitted","Patient Discharged")</f>
        <v>Patient Discharged</v>
      </c>
      <c r="F220" s="6" t="str">
        <f>IF(WEEKDAY(Table14[[#This Row],[Admission Date]],2)&gt;5,"Weekend","Weekday")</f>
        <v>Weekday</v>
      </c>
      <c r="G220" t="s">
        <v>528</v>
      </c>
      <c r="H220">
        <v>92</v>
      </c>
      <c r="I220" t="str" cm="1">
        <f t="array" ref="I220">_xlfn.IFS(Table14[[#This Row],[Age]]&lt;18,"Children",Table14[[#This Row],[Age]]&lt;50,"Adult",Table14[[#This Row],[Age]]&gt;=50,"Elderly")</f>
        <v>Elderly</v>
      </c>
      <c r="J220" t="s">
        <v>547</v>
      </c>
      <c r="K220" s="7">
        <v>219050</v>
      </c>
      <c r="L220" s="2" t="str" cm="1">
        <f t="array" ref="L220">_xlfn.IFS(Table14[[#This Row],[Treatment Cost]]&lt;50000,"Low Billing",Table14[[#This Row],[Treatment Cost]]&lt;200000,"Moderate Billing",Table14[[#This Row],[Treatment Cost]]&gt;=200000,"High Billing")</f>
        <v>High Billing</v>
      </c>
      <c r="M220" t="s">
        <v>6</v>
      </c>
      <c r="N220" t="str">
        <f>IF(AND(Table14[[#This Row],[Outcome]]="Follow-up",Table14[[#This Row],[Admission Status]]="Patient Discharged"),"High Risk Patient","Low Risk Patient")</f>
        <v>Low Risk Patient</v>
      </c>
      <c r="O220" t="str">
        <f>IFERROR(VLOOKUP(Table14[[#This Row],[Department]],Doctor_Info!A:D,2,FALSE), "")</f>
        <v>Dr. Kofi</v>
      </c>
      <c r="P220" t="str">
        <f>IF(COUNTIF(A:A,Table14[[#This Row],[Patient ID]]&gt;1),"Returning Patient","New Patient")</f>
        <v>New Patient</v>
      </c>
      <c r="Q220" t="str">
        <f>_xlfn.XLOOKUP(Table14[[#This Row],[Department]], Doctor_Info!A:A, Doctor_Info!C:C, "")&amp;""</f>
        <v>102</v>
      </c>
      <c r="R220" t="str">
        <f>TEXT(Table14[[#This Row],[Admission Date]],"ddd")</f>
        <v>Thu</v>
      </c>
      <c r="S220" t="str">
        <f>TEXT(Table14[[#This Row],[Admission Date]],"mmm")</f>
        <v>Feb</v>
      </c>
      <c r="T220" t="str">
        <f>TEXT(Table14[[#This Row],[Admission Date]],"yyyy")</f>
        <v>2024</v>
      </c>
      <c r="U220" t="str">
        <f>TEXT(Table14[[#This Row],[Admission Date]],"mmm-yyyy")</f>
        <v>Feb-2024</v>
      </c>
      <c r="V220">
        <f t="shared" ca="1" si="3"/>
        <v>8</v>
      </c>
    </row>
    <row r="221" spans="1:22" x14ac:dyDescent="0.2">
      <c r="A221" t="s">
        <v>233</v>
      </c>
      <c r="B221" s="3">
        <v>45325</v>
      </c>
      <c r="C221" s="3">
        <v>45337</v>
      </c>
      <c r="D221">
        <f ca="1">IF(ISBLANK(Table14[[#This Row],[Discharge Date]]),TODAY()-Table14[[#This Row],[Admission Date]], Table14[[#This Row],[Discharge Date]]-Table14[[#This Row],[Admission Date]])</f>
        <v>12</v>
      </c>
      <c r="E221" s="6" t="str">
        <f>IF(Table14[[#This Row],[Discharge Date]]="","Still Admitted","Patient Discharged")</f>
        <v>Patient Discharged</v>
      </c>
      <c r="F221" s="6" t="str">
        <f>IF(WEEKDAY(Table14[[#This Row],[Admission Date]],2)&gt;5,"Weekend","Weekday")</f>
        <v>Weekend</v>
      </c>
      <c r="G221" t="s">
        <v>12</v>
      </c>
      <c r="H221">
        <v>94</v>
      </c>
      <c r="I221" t="str" cm="1">
        <f t="array" ref="I221">_xlfn.IFS(Table14[[#This Row],[Age]]&lt;18,"Children",Table14[[#This Row],[Age]]&lt;50,"Adult",Table14[[#This Row],[Age]]&gt;=50,"Elderly")</f>
        <v>Elderly</v>
      </c>
      <c r="J221" t="s">
        <v>546</v>
      </c>
      <c r="K221" s="7">
        <v>220020</v>
      </c>
      <c r="L221" s="2" t="str" cm="1">
        <f t="array" ref="L221">_xlfn.IFS(Table14[[#This Row],[Treatment Cost]]&lt;50000,"Low Billing",Table14[[#This Row],[Treatment Cost]]&lt;200000,"Moderate Billing",Table14[[#This Row],[Treatment Cost]]&gt;=200000,"High Billing")</f>
        <v>High Billing</v>
      </c>
      <c r="M221" t="s">
        <v>8</v>
      </c>
      <c r="N221" t="str">
        <f>IF(AND(Table14[[#This Row],[Outcome]]="Follow-up",Table14[[#This Row],[Admission Status]]="Patient Discharged"),"High Risk Patient","Low Risk Patient")</f>
        <v>High Risk Patient</v>
      </c>
      <c r="O221" t="str">
        <f>IFERROR(VLOOKUP(Table14[[#This Row],[Department]],Doctor_Info!A:D,2,FALSE), "")</f>
        <v>Dr. Temi</v>
      </c>
      <c r="P221" t="str">
        <f>IF(COUNTIF(A:A,Table14[[#This Row],[Patient ID]]&gt;1),"Returning Patient","New Patient")</f>
        <v>New Patient</v>
      </c>
      <c r="Q221" t="str">
        <f>_xlfn.XLOOKUP(Table14[[#This Row],[Department]], Doctor_Info!A:A, Doctor_Info!C:C, "")&amp;""</f>
        <v>502</v>
      </c>
      <c r="R221" t="str">
        <f>TEXT(Table14[[#This Row],[Admission Date]],"ddd")</f>
        <v>Sat</v>
      </c>
      <c r="S221" t="str">
        <f>TEXT(Table14[[#This Row],[Admission Date]],"mmm")</f>
        <v>Feb</v>
      </c>
      <c r="T221" t="str">
        <f>TEXT(Table14[[#This Row],[Admission Date]],"yyyy")</f>
        <v>2024</v>
      </c>
      <c r="U221" t="str">
        <f>TEXT(Table14[[#This Row],[Admission Date]],"mmm-yyyy")</f>
        <v>Feb-2024</v>
      </c>
      <c r="V221">
        <f t="shared" ca="1" si="3"/>
        <v>8</v>
      </c>
    </row>
    <row r="222" spans="1:22" x14ac:dyDescent="0.2">
      <c r="A222" t="s">
        <v>234</v>
      </c>
      <c r="B222" s="3">
        <v>45332</v>
      </c>
      <c r="D222">
        <f ca="1">IF(ISBLANK(Table14[[#This Row],[Discharge Date]]),TODAY()-Table14[[#This Row],[Admission Date]], Table14[[#This Row],[Discharge Date]]-Table14[[#This Row],[Admission Date]])</f>
        <v>806</v>
      </c>
      <c r="E222" s="6" t="str">
        <f>IF(Table14[[#This Row],[Discharge Date]]="","Still Admitted","Patient Discharged")</f>
        <v>Still Admitted</v>
      </c>
      <c r="F222" s="6" t="str">
        <f>IF(WEEKDAY(Table14[[#This Row],[Admission Date]],2)&gt;5,"Weekend","Weekday")</f>
        <v>Weekend</v>
      </c>
      <c r="G222" t="s">
        <v>10</v>
      </c>
      <c r="H222">
        <v>98</v>
      </c>
      <c r="I222" t="str" cm="1">
        <f t="array" ref="I222">_xlfn.IFS(Table14[[#This Row],[Age]]&lt;18,"Children",Table14[[#This Row],[Age]]&lt;50,"Adult",Table14[[#This Row],[Age]]&gt;=50,"Elderly")</f>
        <v>Elderly</v>
      </c>
      <c r="J222" t="s">
        <v>547</v>
      </c>
      <c r="K222" s="7">
        <v>221960</v>
      </c>
      <c r="L222" s="2" t="str" cm="1">
        <f t="array" ref="L222">_xlfn.IFS(Table14[[#This Row],[Treatment Cost]]&lt;50000,"Low Billing",Table14[[#This Row],[Treatment Cost]]&lt;200000,"Moderate Billing",Table14[[#This Row],[Treatment Cost]]&gt;=200000,"High Billing")</f>
        <v>High Billing</v>
      </c>
      <c r="M222" t="s">
        <v>403</v>
      </c>
      <c r="N222" t="str">
        <f>IF(AND(Table14[[#This Row],[Outcome]]="Follow-up",Table14[[#This Row],[Admission Status]]="Patient Discharged"),"High Risk Patient","Low Risk Patient")</f>
        <v>Low Risk Patient</v>
      </c>
      <c r="O222" t="str">
        <f>IFERROR(VLOOKUP(Table14[[#This Row],[Department]],Doctor_Info!A:D,2,FALSE), "")</f>
        <v>Dr. George</v>
      </c>
      <c r="P222" t="str">
        <f>IF(COUNTIF(A:A,Table14[[#This Row],[Patient ID]]&gt;1),"Returning Patient","New Patient")</f>
        <v>New Patient</v>
      </c>
      <c r="Q222" t="str">
        <f>_xlfn.XLOOKUP(Table14[[#This Row],[Department]], Doctor_Info!A:A, Doctor_Info!C:C, "")&amp;""</f>
        <v>405</v>
      </c>
      <c r="R222" t="str">
        <f>TEXT(Table14[[#This Row],[Admission Date]],"ddd")</f>
        <v>Sat</v>
      </c>
      <c r="S222" t="str">
        <f>TEXT(Table14[[#This Row],[Admission Date]],"mmm")</f>
        <v>Feb</v>
      </c>
      <c r="T222" t="str">
        <f>TEXT(Table14[[#This Row],[Admission Date]],"yyyy")</f>
        <v>2024</v>
      </c>
      <c r="U222" t="str">
        <f>TEXT(Table14[[#This Row],[Admission Date]],"mmm-yyyy")</f>
        <v>Feb-2024</v>
      </c>
      <c r="V222">
        <f t="shared" ca="1" si="3"/>
        <v>8</v>
      </c>
    </row>
    <row r="223" spans="1:22" x14ac:dyDescent="0.2">
      <c r="A223" t="s">
        <v>235</v>
      </c>
      <c r="B223" s="3">
        <v>45319</v>
      </c>
      <c r="C223" s="3">
        <v>45327</v>
      </c>
      <c r="D223">
        <f ca="1">IF(ISBLANK(Table14[[#This Row],[Discharge Date]]),TODAY()-Table14[[#This Row],[Admission Date]], Table14[[#This Row],[Discharge Date]]-Table14[[#This Row],[Admission Date]])</f>
        <v>8</v>
      </c>
      <c r="E223" s="6" t="str">
        <f>IF(Table14[[#This Row],[Discharge Date]]="","Still Admitted","Patient Discharged")</f>
        <v>Patient Discharged</v>
      </c>
      <c r="F223" s="6" t="str">
        <f>IF(WEEKDAY(Table14[[#This Row],[Admission Date]],2)&gt;5,"Weekend","Weekday")</f>
        <v>Weekend</v>
      </c>
      <c r="G223" t="s">
        <v>7</v>
      </c>
      <c r="H223">
        <v>100</v>
      </c>
      <c r="I223" t="str" cm="1">
        <f t="array" ref="I223">_xlfn.IFS(Table14[[#This Row],[Age]]&lt;18,"Children",Table14[[#This Row],[Age]]&lt;50,"Adult",Table14[[#This Row],[Age]]&gt;=50,"Elderly")</f>
        <v>Elderly</v>
      </c>
      <c r="J223" t="s">
        <v>546</v>
      </c>
      <c r="K223" s="7">
        <v>222930</v>
      </c>
      <c r="L223" s="2" t="str" cm="1">
        <f t="array" ref="L223">_xlfn.IFS(Table14[[#This Row],[Treatment Cost]]&lt;50000,"Low Billing",Table14[[#This Row],[Treatment Cost]]&lt;200000,"Moderate Billing",Table14[[#This Row],[Treatment Cost]]&gt;=200000,"High Billing")</f>
        <v>High Billing</v>
      </c>
      <c r="M223" t="s">
        <v>8</v>
      </c>
      <c r="N223" t="str">
        <f>IF(AND(Table14[[#This Row],[Outcome]]="Follow-up",Table14[[#This Row],[Admission Status]]="Patient Discharged"),"High Risk Patient","Low Risk Patient")</f>
        <v>High Risk Patient</v>
      </c>
      <c r="O223" t="str">
        <f>IFERROR(VLOOKUP(Table14[[#This Row],[Department]],Doctor_Info!A:D,2,FALSE), "")</f>
        <v>Dr. Ada</v>
      </c>
      <c r="P223" t="str">
        <f>IF(COUNTIF(A:A,Table14[[#This Row],[Patient ID]]&gt;1),"Returning Patient","New Patient")</f>
        <v>New Patient</v>
      </c>
      <c r="Q223" t="str">
        <f>_xlfn.XLOOKUP(Table14[[#This Row],[Department]], Doctor_Info!A:A, Doctor_Info!C:C, "")&amp;""</f>
        <v>301</v>
      </c>
      <c r="R223" t="str">
        <f>TEXT(Table14[[#This Row],[Admission Date]],"ddd")</f>
        <v>Sun</v>
      </c>
      <c r="S223" t="str">
        <f>TEXT(Table14[[#This Row],[Admission Date]],"mmm")</f>
        <v>Jan</v>
      </c>
      <c r="T223" t="str">
        <f>TEXT(Table14[[#This Row],[Admission Date]],"yyyy")</f>
        <v>2024</v>
      </c>
      <c r="U223" t="str">
        <f>TEXT(Table14[[#This Row],[Admission Date]],"mmm-yyyy")</f>
        <v>Jan-2024</v>
      </c>
      <c r="V223">
        <f t="shared" ca="1" si="3"/>
        <v>8</v>
      </c>
    </row>
    <row r="224" spans="1:22" x14ac:dyDescent="0.2">
      <c r="A224" t="s">
        <v>236</v>
      </c>
      <c r="B224" s="3">
        <v>45323</v>
      </c>
      <c r="C224" s="3">
        <v>45324</v>
      </c>
      <c r="D224">
        <f ca="1">IF(ISBLANK(Table14[[#This Row],[Discharge Date]]),TODAY()-Table14[[#This Row],[Admission Date]], Table14[[#This Row],[Discharge Date]]-Table14[[#This Row],[Admission Date]])</f>
        <v>1</v>
      </c>
      <c r="E224" s="6" t="str">
        <f>IF(Table14[[#This Row],[Discharge Date]]="","Still Admitted","Patient Discharged")</f>
        <v>Patient Discharged</v>
      </c>
      <c r="F224" s="6" t="str">
        <f>IF(WEEKDAY(Table14[[#This Row],[Admission Date]],2)&gt;5,"Weekend","Weekday")</f>
        <v>Weekday</v>
      </c>
      <c r="G224" t="s">
        <v>528</v>
      </c>
      <c r="H224">
        <v>2</v>
      </c>
      <c r="I224" t="str" cm="1">
        <f t="array" ref="I224">_xlfn.IFS(Table14[[#This Row],[Age]]&lt;18,"Children",Table14[[#This Row],[Age]]&lt;50,"Adult",Table14[[#This Row],[Age]]&gt;=50,"Elderly")</f>
        <v>Children</v>
      </c>
      <c r="J224" t="s">
        <v>547</v>
      </c>
      <c r="K224" s="7">
        <v>223900</v>
      </c>
      <c r="L224" s="2" t="str" cm="1">
        <f t="array" ref="L224">_xlfn.IFS(Table14[[#This Row],[Treatment Cost]]&lt;50000,"Low Billing",Table14[[#This Row],[Treatment Cost]]&lt;200000,"Moderate Billing",Table14[[#This Row],[Treatment Cost]]&gt;=200000,"High Billing")</f>
        <v>High Billing</v>
      </c>
      <c r="M224" t="s">
        <v>6</v>
      </c>
      <c r="N224" t="str">
        <f>IF(AND(Table14[[#This Row],[Outcome]]="Follow-up",Table14[[#This Row],[Admission Status]]="Patient Discharged"),"High Risk Patient","Low Risk Patient")</f>
        <v>Low Risk Patient</v>
      </c>
      <c r="O224" t="str">
        <f>IFERROR(VLOOKUP(Table14[[#This Row],[Department]],Doctor_Info!A:D,2,FALSE), "")</f>
        <v>Dr. Kofi</v>
      </c>
      <c r="P224" t="str">
        <f>IF(COUNTIF(A:A,Table14[[#This Row],[Patient ID]]&gt;1),"Returning Patient","New Patient")</f>
        <v>New Patient</v>
      </c>
      <c r="Q224" t="str">
        <f>_xlfn.XLOOKUP(Table14[[#This Row],[Department]], Doctor_Info!A:A, Doctor_Info!C:C, "")&amp;""</f>
        <v>102</v>
      </c>
      <c r="R224" t="str">
        <f>TEXT(Table14[[#This Row],[Admission Date]],"ddd")</f>
        <v>Thu</v>
      </c>
      <c r="S224" t="str">
        <f>TEXT(Table14[[#This Row],[Admission Date]],"mmm")</f>
        <v>Feb</v>
      </c>
      <c r="T224" t="str">
        <f>TEXT(Table14[[#This Row],[Admission Date]],"yyyy")</f>
        <v>2024</v>
      </c>
      <c r="U224" t="str">
        <f>TEXT(Table14[[#This Row],[Admission Date]],"mmm-yyyy")</f>
        <v>Feb-2024</v>
      </c>
      <c r="V224">
        <f t="shared" ca="1" si="3"/>
        <v>8</v>
      </c>
    </row>
    <row r="225" spans="1:22" x14ac:dyDescent="0.2">
      <c r="A225" t="s">
        <v>237</v>
      </c>
      <c r="B225" s="3">
        <v>45325</v>
      </c>
      <c r="C225" s="3">
        <v>45337</v>
      </c>
      <c r="D225">
        <f ca="1">IF(ISBLANK(Table14[[#This Row],[Discharge Date]]),TODAY()-Table14[[#This Row],[Admission Date]], Table14[[#This Row],[Discharge Date]]-Table14[[#This Row],[Admission Date]])</f>
        <v>12</v>
      </c>
      <c r="E225" s="6" t="str">
        <f>IF(Table14[[#This Row],[Discharge Date]]="","Still Admitted","Patient Discharged")</f>
        <v>Patient Discharged</v>
      </c>
      <c r="F225" s="6" t="str">
        <f>IF(WEEKDAY(Table14[[#This Row],[Admission Date]],2)&gt;5,"Weekend","Weekday")</f>
        <v>Weekend</v>
      </c>
      <c r="G225" t="s">
        <v>12</v>
      </c>
      <c r="H225">
        <v>4</v>
      </c>
      <c r="I225" t="str" cm="1">
        <f t="array" ref="I225">_xlfn.IFS(Table14[[#This Row],[Age]]&lt;18,"Children",Table14[[#This Row],[Age]]&lt;50,"Adult",Table14[[#This Row],[Age]]&gt;=50,"Elderly")</f>
        <v>Children</v>
      </c>
      <c r="J225" t="s">
        <v>546</v>
      </c>
      <c r="K225" s="7">
        <v>224870</v>
      </c>
      <c r="L225" s="2" t="str" cm="1">
        <f t="array" ref="L225">_xlfn.IFS(Table14[[#This Row],[Treatment Cost]]&lt;50000,"Low Billing",Table14[[#This Row],[Treatment Cost]]&lt;200000,"Moderate Billing",Table14[[#This Row],[Treatment Cost]]&gt;=200000,"High Billing")</f>
        <v>High Billing</v>
      </c>
      <c r="M225" t="s">
        <v>8</v>
      </c>
      <c r="N225" t="str">
        <f>IF(AND(Table14[[#This Row],[Outcome]]="Follow-up",Table14[[#This Row],[Admission Status]]="Patient Discharged"),"High Risk Patient","Low Risk Patient")</f>
        <v>High Risk Patient</v>
      </c>
      <c r="O225" t="str">
        <f>IFERROR(VLOOKUP(Table14[[#This Row],[Department]],Doctor_Info!A:D,2,FALSE), "")</f>
        <v>Dr. Temi</v>
      </c>
      <c r="P225" t="str">
        <f>IF(COUNTIF(A:A,Table14[[#This Row],[Patient ID]]&gt;1),"Returning Patient","New Patient")</f>
        <v>New Patient</v>
      </c>
      <c r="Q225" t="str">
        <f>_xlfn.XLOOKUP(Table14[[#This Row],[Department]], Doctor_Info!A:A, Doctor_Info!C:C, "")&amp;""</f>
        <v>502</v>
      </c>
      <c r="R225" t="str">
        <f>TEXT(Table14[[#This Row],[Admission Date]],"ddd")</f>
        <v>Sat</v>
      </c>
      <c r="S225" t="str">
        <f>TEXT(Table14[[#This Row],[Admission Date]],"mmm")</f>
        <v>Feb</v>
      </c>
      <c r="T225" t="str">
        <f>TEXT(Table14[[#This Row],[Admission Date]],"yyyy")</f>
        <v>2024</v>
      </c>
      <c r="U225" t="str">
        <f>TEXT(Table14[[#This Row],[Admission Date]],"mmm-yyyy")</f>
        <v>Feb-2024</v>
      </c>
      <c r="V225">
        <f t="shared" ca="1" si="3"/>
        <v>8</v>
      </c>
    </row>
    <row r="226" spans="1:22" x14ac:dyDescent="0.2">
      <c r="A226" t="s">
        <v>238</v>
      </c>
      <c r="B226" s="3">
        <v>45327</v>
      </c>
      <c r="C226" s="3">
        <v>45328</v>
      </c>
      <c r="D226">
        <f ca="1">IF(ISBLANK(Table14[[#This Row],[Discharge Date]]),TODAY()-Table14[[#This Row],[Admission Date]], Table14[[#This Row],[Discharge Date]]-Table14[[#This Row],[Admission Date]])</f>
        <v>1</v>
      </c>
      <c r="E226" s="6" t="str">
        <f>IF(Table14[[#This Row],[Discharge Date]]="","Still Admitted","Patient Discharged")</f>
        <v>Patient Discharged</v>
      </c>
      <c r="F226" s="6" t="str">
        <f>IF(WEEKDAY(Table14[[#This Row],[Admission Date]],2)&gt;5,"Weekend","Weekday")</f>
        <v>Weekday</v>
      </c>
      <c r="G226" t="s">
        <v>528</v>
      </c>
      <c r="H226">
        <v>6</v>
      </c>
      <c r="I226" t="str" cm="1">
        <f t="array" ref="I226">_xlfn.IFS(Table14[[#This Row],[Age]]&lt;18,"Children",Table14[[#This Row],[Age]]&lt;50,"Adult",Table14[[#This Row],[Age]]&gt;=50,"Elderly")</f>
        <v>Children</v>
      </c>
      <c r="J226" t="s">
        <v>547</v>
      </c>
      <c r="K226" s="7">
        <v>225840</v>
      </c>
      <c r="L226" s="2" t="str" cm="1">
        <f t="array" ref="L226">_xlfn.IFS(Table14[[#This Row],[Treatment Cost]]&lt;50000,"Low Billing",Table14[[#This Row],[Treatment Cost]]&lt;200000,"Moderate Billing",Table14[[#This Row],[Treatment Cost]]&gt;=200000,"High Billing")</f>
        <v>High Billing</v>
      </c>
      <c r="M226" t="s">
        <v>6</v>
      </c>
      <c r="N226" t="str">
        <f>IF(AND(Table14[[#This Row],[Outcome]]="Follow-up",Table14[[#This Row],[Admission Status]]="Patient Discharged"),"High Risk Patient","Low Risk Patient")</f>
        <v>Low Risk Patient</v>
      </c>
      <c r="O226" t="str">
        <f>IFERROR(VLOOKUP(Table14[[#This Row],[Department]],Doctor_Info!A:D,2,FALSE), "")</f>
        <v>Dr. Kofi</v>
      </c>
      <c r="P226" t="str">
        <f>IF(COUNTIF(A:A,Table14[[#This Row],[Patient ID]]&gt;1),"Returning Patient","New Patient")</f>
        <v>New Patient</v>
      </c>
      <c r="Q226" t="str">
        <f>_xlfn.XLOOKUP(Table14[[#This Row],[Department]], Doctor_Info!A:A, Doctor_Info!C:C, "")&amp;""</f>
        <v>102</v>
      </c>
      <c r="R226" t="str">
        <f>TEXT(Table14[[#This Row],[Admission Date]],"ddd")</f>
        <v>Mon</v>
      </c>
      <c r="S226" t="str">
        <f>TEXT(Table14[[#This Row],[Admission Date]],"mmm")</f>
        <v>Feb</v>
      </c>
      <c r="T226" t="str">
        <f>TEXT(Table14[[#This Row],[Admission Date]],"yyyy")</f>
        <v>2024</v>
      </c>
      <c r="U226" t="str">
        <f>TEXT(Table14[[#This Row],[Admission Date]],"mmm-yyyy")</f>
        <v>Feb-2024</v>
      </c>
      <c r="V226">
        <f t="shared" ca="1" si="3"/>
        <v>8</v>
      </c>
    </row>
    <row r="227" spans="1:22" x14ac:dyDescent="0.2">
      <c r="A227" t="s">
        <v>239</v>
      </c>
      <c r="B227" s="3">
        <v>45332</v>
      </c>
      <c r="D227">
        <f ca="1">IF(ISBLANK(Table14[[#This Row],[Discharge Date]]),TODAY()-Table14[[#This Row],[Admission Date]], Table14[[#This Row],[Discharge Date]]-Table14[[#This Row],[Admission Date]])</f>
        <v>806</v>
      </c>
      <c r="E227" s="6" t="str">
        <f>IF(Table14[[#This Row],[Discharge Date]]="","Still Admitted","Patient Discharged")</f>
        <v>Still Admitted</v>
      </c>
      <c r="F227" s="6" t="str">
        <f>IF(WEEKDAY(Table14[[#This Row],[Admission Date]],2)&gt;5,"Weekend","Weekday")</f>
        <v>Weekend</v>
      </c>
      <c r="G227" t="s">
        <v>10</v>
      </c>
      <c r="H227">
        <v>8</v>
      </c>
      <c r="I227" t="str" cm="1">
        <f t="array" ref="I227">_xlfn.IFS(Table14[[#This Row],[Age]]&lt;18,"Children",Table14[[#This Row],[Age]]&lt;50,"Adult",Table14[[#This Row],[Age]]&gt;=50,"Elderly")</f>
        <v>Children</v>
      </c>
      <c r="J227" t="s">
        <v>547</v>
      </c>
      <c r="K227" s="7">
        <v>226810</v>
      </c>
      <c r="L227" s="2" t="str" cm="1">
        <f t="array" ref="L227">_xlfn.IFS(Table14[[#This Row],[Treatment Cost]]&lt;50000,"Low Billing",Table14[[#This Row],[Treatment Cost]]&lt;200000,"Moderate Billing",Table14[[#This Row],[Treatment Cost]]&gt;=200000,"High Billing")</f>
        <v>High Billing</v>
      </c>
      <c r="M227" t="s">
        <v>403</v>
      </c>
      <c r="N227" t="str">
        <f>IF(AND(Table14[[#This Row],[Outcome]]="Follow-up",Table14[[#This Row],[Admission Status]]="Patient Discharged"),"High Risk Patient","Low Risk Patient")</f>
        <v>Low Risk Patient</v>
      </c>
      <c r="O227" t="str">
        <f>IFERROR(VLOOKUP(Table14[[#This Row],[Department]],Doctor_Info!A:D,2,FALSE), "")</f>
        <v>Dr. George</v>
      </c>
      <c r="P227" t="str">
        <f>IF(COUNTIF(A:A,Table14[[#This Row],[Patient ID]]&gt;1),"Returning Patient","New Patient")</f>
        <v>New Patient</v>
      </c>
      <c r="Q227" t="str">
        <f>_xlfn.XLOOKUP(Table14[[#This Row],[Department]], Doctor_Info!A:A, Doctor_Info!C:C, "")&amp;""</f>
        <v>405</v>
      </c>
      <c r="R227" t="str">
        <f>TEXT(Table14[[#This Row],[Admission Date]],"ddd")</f>
        <v>Sat</v>
      </c>
      <c r="S227" t="str">
        <f>TEXT(Table14[[#This Row],[Admission Date]],"mmm")</f>
        <v>Feb</v>
      </c>
      <c r="T227" t="str">
        <f>TEXT(Table14[[#This Row],[Admission Date]],"yyyy")</f>
        <v>2024</v>
      </c>
      <c r="U227" t="str">
        <f>TEXT(Table14[[#This Row],[Admission Date]],"mmm-yyyy")</f>
        <v>Feb-2024</v>
      </c>
      <c r="V227">
        <f t="shared" ca="1" si="3"/>
        <v>8</v>
      </c>
    </row>
    <row r="228" spans="1:22" x14ac:dyDescent="0.2">
      <c r="A228" t="s">
        <v>240</v>
      </c>
      <c r="B228" s="3">
        <v>45319</v>
      </c>
      <c r="C228" s="3">
        <v>45327</v>
      </c>
      <c r="D228">
        <f ca="1">IF(ISBLANK(Table14[[#This Row],[Discharge Date]]),TODAY()-Table14[[#This Row],[Admission Date]], Table14[[#This Row],[Discharge Date]]-Table14[[#This Row],[Admission Date]])</f>
        <v>8</v>
      </c>
      <c r="E228" s="6" t="str">
        <f>IF(Table14[[#This Row],[Discharge Date]]="","Still Admitted","Patient Discharged")</f>
        <v>Patient Discharged</v>
      </c>
      <c r="F228" s="6" t="str">
        <f>IF(WEEKDAY(Table14[[#This Row],[Admission Date]],2)&gt;5,"Weekend","Weekday")</f>
        <v>Weekend</v>
      </c>
      <c r="G228" t="s">
        <v>7</v>
      </c>
      <c r="H228">
        <v>10</v>
      </c>
      <c r="I228" t="str" cm="1">
        <f t="array" ref="I228">_xlfn.IFS(Table14[[#This Row],[Age]]&lt;18,"Children",Table14[[#This Row],[Age]]&lt;50,"Adult",Table14[[#This Row],[Age]]&gt;=50,"Elderly")</f>
        <v>Children</v>
      </c>
      <c r="J228" t="s">
        <v>546</v>
      </c>
      <c r="K228" s="7">
        <v>227780</v>
      </c>
      <c r="L228" s="2" t="str" cm="1">
        <f t="array" ref="L228">_xlfn.IFS(Table14[[#This Row],[Treatment Cost]]&lt;50000,"Low Billing",Table14[[#This Row],[Treatment Cost]]&lt;200000,"Moderate Billing",Table14[[#This Row],[Treatment Cost]]&gt;=200000,"High Billing")</f>
        <v>High Billing</v>
      </c>
      <c r="M228" t="s">
        <v>8</v>
      </c>
      <c r="N228" t="str">
        <f>IF(AND(Table14[[#This Row],[Outcome]]="Follow-up",Table14[[#This Row],[Admission Status]]="Patient Discharged"),"High Risk Patient","Low Risk Patient")</f>
        <v>High Risk Patient</v>
      </c>
      <c r="O228" t="str">
        <f>IFERROR(VLOOKUP(Table14[[#This Row],[Department]],Doctor_Info!A:D,2,FALSE), "")</f>
        <v>Dr. Ada</v>
      </c>
      <c r="P228" t="str">
        <f>IF(COUNTIF(A:A,Table14[[#This Row],[Patient ID]]&gt;1),"Returning Patient","New Patient")</f>
        <v>New Patient</v>
      </c>
      <c r="Q228" t="str">
        <f>_xlfn.XLOOKUP(Table14[[#This Row],[Department]], Doctor_Info!A:A, Doctor_Info!C:C, "")&amp;""</f>
        <v>301</v>
      </c>
      <c r="R228" t="str">
        <f>TEXT(Table14[[#This Row],[Admission Date]],"ddd")</f>
        <v>Sun</v>
      </c>
      <c r="S228" t="str">
        <f>TEXT(Table14[[#This Row],[Admission Date]],"mmm")</f>
        <v>Jan</v>
      </c>
      <c r="T228" t="str">
        <f>TEXT(Table14[[#This Row],[Admission Date]],"yyyy")</f>
        <v>2024</v>
      </c>
      <c r="U228" t="str">
        <f>TEXT(Table14[[#This Row],[Admission Date]],"mmm-yyyy")</f>
        <v>Jan-2024</v>
      </c>
      <c r="V228">
        <f t="shared" ca="1" si="3"/>
        <v>8</v>
      </c>
    </row>
    <row r="229" spans="1:22" x14ac:dyDescent="0.2">
      <c r="A229" t="s">
        <v>241</v>
      </c>
      <c r="B229" s="3">
        <v>45323</v>
      </c>
      <c r="C229" s="3">
        <v>45324</v>
      </c>
      <c r="D229">
        <f ca="1">IF(ISBLANK(Table14[[#This Row],[Discharge Date]]),TODAY()-Table14[[#This Row],[Admission Date]], Table14[[#This Row],[Discharge Date]]-Table14[[#This Row],[Admission Date]])</f>
        <v>1</v>
      </c>
      <c r="E229" s="6" t="str">
        <f>IF(Table14[[#This Row],[Discharge Date]]="","Still Admitted","Patient Discharged")</f>
        <v>Patient Discharged</v>
      </c>
      <c r="F229" s="6" t="str">
        <f>IF(WEEKDAY(Table14[[#This Row],[Admission Date]],2)&gt;5,"Weekend","Weekday")</f>
        <v>Weekday</v>
      </c>
      <c r="G229" t="s">
        <v>528</v>
      </c>
      <c r="H229">
        <v>12</v>
      </c>
      <c r="I229" t="str" cm="1">
        <f t="array" ref="I229">_xlfn.IFS(Table14[[#This Row],[Age]]&lt;18,"Children",Table14[[#This Row],[Age]]&lt;50,"Adult",Table14[[#This Row],[Age]]&gt;=50,"Elderly")</f>
        <v>Children</v>
      </c>
      <c r="J229" t="s">
        <v>547</v>
      </c>
      <c r="K229" s="7">
        <v>228750</v>
      </c>
      <c r="L229" s="2" t="str" cm="1">
        <f t="array" ref="L229">_xlfn.IFS(Table14[[#This Row],[Treatment Cost]]&lt;50000,"Low Billing",Table14[[#This Row],[Treatment Cost]]&lt;200000,"Moderate Billing",Table14[[#This Row],[Treatment Cost]]&gt;=200000,"High Billing")</f>
        <v>High Billing</v>
      </c>
      <c r="M229" t="s">
        <v>6</v>
      </c>
      <c r="N229" t="str">
        <f>IF(AND(Table14[[#This Row],[Outcome]]="Follow-up",Table14[[#This Row],[Admission Status]]="Patient Discharged"),"High Risk Patient","Low Risk Patient")</f>
        <v>Low Risk Patient</v>
      </c>
      <c r="O229" t="str">
        <f>IFERROR(VLOOKUP(Table14[[#This Row],[Department]],Doctor_Info!A:D,2,FALSE), "")</f>
        <v>Dr. Kofi</v>
      </c>
      <c r="P229" t="str">
        <f>IF(COUNTIF(A:A,Table14[[#This Row],[Patient ID]]&gt;1),"Returning Patient","New Patient")</f>
        <v>New Patient</v>
      </c>
      <c r="Q229" t="str">
        <f>_xlfn.XLOOKUP(Table14[[#This Row],[Department]], Doctor_Info!A:A, Doctor_Info!C:C, "")&amp;""</f>
        <v>102</v>
      </c>
      <c r="R229" t="str">
        <f>TEXT(Table14[[#This Row],[Admission Date]],"ddd")</f>
        <v>Thu</v>
      </c>
      <c r="S229" t="str">
        <f>TEXT(Table14[[#This Row],[Admission Date]],"mmm")</f>
        <v>Feb</v>
      </c>
      <c r="T229" t="str">
        <f>TEXT(Table14[[#This Row],[Admission Date]],"yyyy")</f>
        <v>2024</v>
      </c>
      <c r="U229" t="str">
        <f>TEXT(Table14[[#This Row],[Admission Date]],"mmm-yyyy")</f>
        <v>Feb-2024</v>
      </c>
      <c r="V229">
        <f t="shared" ca="1" si="3"/>
        <v>8</v>
      </c>
    </row>
    <row r="230" spans="1:22" x14ac:dyDescent="0.2">
      <c r="A230" t="s">
        <v>242</v>
      </c>
      <c r="B230" s="3">
        <v>45325</v>
      </c>
      <c r="C230" s="3">
        <v>45337</v>
      </c>
      <c r="D230">
        <f ca="1">IF(ISBLANK(Table14[[#This Row],[Discharge Date]]),TODAY()-Table14[[#This Row],[Admission Date]], Table14[[#This Row],[Discharge Date]]-Table14[[#This Row],[Admission Date]])</f>
        <v>12</v>
      </c>
      <c r="E230" s="6" t="str">
        <f>IF(Table14[[#This Row],[Discharge Date]]="","Still Admitted","Patient Discharged")</f>
        <v>Patient Discharged</v>
      </c>
      <c r="F230" s="6" t="str">
        <f>IF(WEEKDAY(Table14[[#This Row],[Admission Date]],2)&gt;5,"Weekend","Weekday")</f>
        <v>Weekend</v>
      </c>
      <c r="G230" t="s">
        <v>12</v>
      </c>
      <c r="H230">
        <v>14</v>
      </c>
      <c r="I230" t="str" cm="1">
        <f t="array" ref="I230">_xlfn.IFS(Table14[[#This Row],[Age]]&lt;18,"Children",Table14[[#This Row],[Age]]&lt;50,"Adult",Table14[[#This Row],[Age]]&gt;=50,"Elderly")</f>
        <v>Children</v>
      </c>
      <c r="J230" t="s">
        <v>546</v>
      </c>
      <c r="K230" s="7">
        <v>229720</v>
      </c>
      <c r="L230" s="2" t="str" cm="1">
        <f t="array" ref="L230">_xlfn.IFS(Table14[[#This Row],[Treatment Cost]]&lt;50000,"Low Billing",Table14[[#This Row],[Treatment Cost]]&lt;200000,"Moderate Billing",Table14[[#This Row],[Treatment Cost]]&gt;=200000,"High Billing")</f>
        <v>High Billing</v>
      </c>
      <c r="M230" t="s">
        <v>8</v>
      </c>
      <c r="N230" t="str">
        <f>IF(AND(Table14[[#This Row],[Outcome]]="Follow-up",Table14[[#This Row],[Admission Status]]="Patient Discharged"),"High Risk Patient","Low Risk Patient")</f>
        <v>High Risk Patient</v>
      </c>
      <c r="O230" t="str">
        <f>IFERROR(VLOOKUP(Table14[[#This Row],[Department]],Doctor_Info!A:D,2,FALSE), "")</f>
        <v>Dr. Temi</v>
      </c>
      <c r="P230" t="str">
        <f>IF(COUNTIF(A:A,Table14[[#This Row],[Patient ID]]&gt;1),"Returning Patient","New Patient")</f>
        <v>New Patient</v>
      </c>
      <c r="Q230" t="str">
        <f>_xlfn.XLOOKUP(Table14[[#This Row],[Department]], Doctor_Info!A:A, Doctor_Info!C:C, "")&amp;""</f>
        <v>502</v>
      </c>
      <c r="R230" t="str">
        <f>TEXT(Table14[[#This Row],[Admission Date]],"ddd")</f>
        <v>Sat</v>
      </c>
      <c r="S230" t="str">
        <f>TEXT(Table14[[#This Row],[Admission Date]],"mmm")</f>
        <v>Feb</v>
      </c>
      <c r="T230" t="str">
        <f>TEXT(Table14[[#This Row],[Admission Date]],"yyyy")</f>
        <v>2024</v>
      </c>
      <c r="U230" t="str">
        <f>TEXT(Table14[[#This Row],[Admission Date]],"mmm-yyyy")</f>
        <v>Feb-2024</v>
      </c>
      <c r="V230">
        <f t="shared" ca="1" si="3"/>
        <v>8</v>
      </c>
    </row>
    <row r="231" spans="1:22" x14ac:dyDescent="0.2">
      <c r="A231" t="s">
        <v>243</v>
      </c>
      <c r="B231" s="3">
        <v>45327</v>
      </c>
      <c r="C231" s="3">
        <v>45328</v>
      </c>
      <c r="D231">
        <f ca="1">IF(ISBLANK(Table14[[#This Row],[Discharge Date]]),TODAY()-Table14[[#This Row],[Admission Date]], Table14[[#This Row],[Discharge Date]]-Table14[[#This Row],[Admission Date]])</f>
        <v>1</v>
      </c>
      <c r="E231" s="6" t="str">
        <f>IF(Table14[[#This Row],[Discharge Date]]="","Still Admitted","Patient Discharged")</f>
        <v>Patient Discharged</v>
      </c>
      <c r="F231" s="6" t="str">
        <f>IF(WEEKDAY(Table14[[#This Row],[Admission Date]],2)&gt;5,"Weekend","Weekday")</f>
        <v>Weekday</v>
      </c>
      <c r="G231" t="s">
        <v>528</v>
      </c>
      <c r="H231">
        <v>16</v>
      </c>
      <c r="I231" t="str" cm="1">
        <f t="array" ref="I231">_xlfn.IFS(Table14[[#This Row],[Age]]&lt;18,"Children",Table14[[#This Row],[Age]]&lt;50,"Adult",Table14[[#This Row],[Age]]&gt;=50,"Elderly")</f>
        <v>Children</v>
      </c>
      <c r="J231" t="s">
        <v>547</v>
      </c>
      <c r="K231" s="7">
        <v>230690</v>
      </c>
      <c r="L231" s="2" t="str" cm="1">
        <f t="array" ref="L231">_xlfn.IFS(Table14[[#This Row],[Treatment Cost]]&lt;50000,"Low Billing",Table14[[#This Row],[Treatment Cost]]&lt;200000,"Moderate Billing",Table14[[#This Row],[Treatment Cost]]&gt;=200000,"High Billing")</f>
        <v>High Billing</v>
      </c>
      <c r="M231" t="s">
        <v>6</v>
      </c>
      <c r="N231" t="str">
        <f>IF(AND(Table14[[#This Row],[Outcome]]="Follow-up",Table14[[#This Row],[Admission Status]]="Patient Discharged"),"High Risk Patient","Low Risk Patient")</f>
        <v>Low Risk Patient</v>
      </c>
      <c r="O231" t="str">
        <f>IFERROR(VLOOKUP(Table14[[#This Row],[Department]],Doctor_Info!A:D,2,FALSE), "")</f>
        <v>Dr. Kofi</v>
      </c>
      <c r="P231" t="str">
        <f>IF(COUNTIF(A:A,Table14[[#This Row],[Patient ID]]&gt;1),"Returning Patient","New Patient")</f>
        <v>New Patient</v>
      </c>
      <c r="Q231" t="str">
        <f>_xlfn.XLOOKUP(Table14[[#This Row],[Department]], Doctor_Info!A:A, Doctor_Info!C:C, "")&amp;""</f>
        <v>102</v>
      </c>
      <c r="R231" t="str">
        <f>TEXT(Table14[[#This Row],[Admission Date]],"ddd")</f>
        <v>Mon</v>
      </c>
      <c r="S231" t="str">
        <f>TEXT(Table14[[#This Row],[Admission Date]],"mmm")</f>
        <v>Feb</v>
      </c>
      <c r="T231" t="str">
        <f>TEXT(Table14[[#This Row],[Admission Date]],"yyyy")</f>
        <v>2024</v>
      </c>
      <c r="U231" t="str">
        <f>TEXT(Table14[[#This Row],[Admission Date]],"mmm-yyyy")</f>
        <v>Feb-2024</v>
      </c>
      <c r="V231">
        <f t="shared" ca="1" si="3"/>
        <v>8</v>
      </c>
    </row>
    <row r="232" spans="1:22" x14ac:dyDescent="0.2">
      <c r="A232" t="s">
        <v>244</v>
      </c>
      <c r="B232" s="3">
        <v>45332</v>
      </c>
      <c r="D232">
        <f ca="1">IF(ISBLANK(Table14[[#This Row],[Discharge Date]]),TODAY()-Table14[[#This Row],[Admission Date]], Table14[[#This Row],[Discharge Date]]-Table14[[#This Row],[Admission Date]])</f>
        <v>806</v>
      </c>
      <c r="E232" s="6" t="str">
        <f>IF(Table14[[#This Row],[Discharge Date]]="","Still Admitted","Patient Discharged")</f>
        <v>Still Admitted</v>
      </c>
      <c r="F232" s="6" t="str">
        <f>IF(WEEKDAY(Table14[[#This Row],[Admission Date]],2)&gt;5,"Weekend","Weekday")</f>
        <v>Weekend</v>
      </c>
      <c r="G232" t="s">
        <v>10</v>
      </c>
      <c r="H232">
        <v>18</v>
      </c>
      <c r="I232" t="str" cm="1">
        <f t="array" ref="I232">_xlfn.IFS(Table14[[#This Row],[Age]]&lt;18,"Children",Table14[[#This Row],[Age]]&lt;50,"Adult",Table14[[#This Row],[Age]]&gt;=50,"Elderly")</f>
        <v>Adult</v>
      </c>
      <c r="J232" t="s">
        <v>547</v>
      </c>
      <c r="K232" s="7">
        <v>231660</v>
      </c>
      <c r="L232" s="2" t="str" cm="1">
        <f t="array" ref="L232">_xlfn.IFS(Table14[[#This Row],[Treatment Cost]]&lt;50000,"Low Billing",Table14[[#This Row],[Treatment Cost]]&lt;200000,"Moderate Billing",Table14[[#This Row],[Treatment Cost]]&gt;=200000,"High Billing")</f>
        <v>High Billing</v>
      </c>
      <c r="M232" t="s">
        <v>403</v>
      </c>
      <c r="N232" t="str">
        <f>IF(AND(Table14[[#This Row],[Outcome]]="Follow-up",Table14[[#This Row],[Admission Status]]="Patient Discharged"),"High Risk Patient","Low Risk Patient")</f>
        <v>Low Risk Patient</v>
      </c>
      <c r="O232" t="str">
        <f>IFERROR(VLOOKUP(Table14[[#This Row],[Department]],Doctor_Info!A:D,2,FALSE), "")</f>
        <v>Dr. George</v>
      </c>
      <c r="P232" t="str">
        <f>IF(COUNTIF(A:A,Table14[[#This Row],[Patient ID]]&gt;1),"Returning Patient","New Patient")</f>
        <v>New Patient</v>
      </c>
      <c r="Q232" t="str">
        <f>_xlfn.XLOOKUP(Table14[[#This Row],[Department]], Doctor_Info!A:A, Doctor_Info!C:C, "")&amp;""</f>
        <v>405</v>
      </c>
      <c r="R232" t="str">
        <f>TEXT(Table14[[#This Row],[Admission Date]],"ddd")</f>
        <v>Sat</v>
      </c>
      <c r="S232" t="str">
        <f>TEXT(Table14[[#This Row],[Admission Date]],"mmm")</f>
        <v>Feb</v>
      </c>
      <c r="T232" t="str">
        <f>TEXT(Table14[[#This Row],[Admission Date]],"yyyy")</f>
        <v>2024</v>
      </c>
      <c r="U232" t="str">
        <f>TEXT(Table14[[#This Row],[Admission Date]],"mmm-yyyy")</f>
        <v>Feb-2024</v>
      </c>
      <c r="V232">
        <f t="shared" ca="1" si="3"/>
        <v>8</v>
      </c>
    </row>
    <row r="233" spans="1:22" x14ac:dyDescent="0.2">
      <c r="A233" t="s">
        <v>245</v>
      </c>
      <c r="B233" s="3">
        <v>45319</v>
      </c>
      <c r="C233" s="3">
        <v>45327</v>
      </c>
      <c r="D233">
        <f ca="1">IF(ISBLANK(Table14[[#This Row],[Discharge Date]]),TODAY()-Table14[[#This Row],[Admission Date]], Table14[[#This Row],[Discharge Date]]-Table14[[#This Row],[Admission Date]])</f>
        <v>8</v>
      </c>
      <c r="E233" s="6" t="str">
        <f>IF(Table14[[#This Row],[Discharge Date]]="","Still Admitted","Patient Discharged")</f>
        <v>Patient Discharged</v>
      </c>
      <c r="F233" s="6" t="str">
        <f>IF(WEEKDAY(Table14[[#This Row],[Admission Date]],2)&gt;5,"Weekend","Weekday")</f>
        <v>Weekend</v>
      </c>
      <c r="G233" t="s">
        <v>7</v>
      </c>
      <c r="H233">
        <v>20</v>
      </c>
      <c r="I233" t="str" cm="1">
        <f t="array" ref="I233">_xlfn.IFS(Table14[[#This Row],[Age]]&lt;18,"Children",Table14[[#This Row],[Age]]&lt;50,"Adult",Table14[[#This Row],[Age]]&gt;=50,"Elderly")</f>
        <v>Adult</v>
      </c>
      <c r="J233" t="s">
        <v>546</v>
      </c>
      <c r="K233" s="7">
        <v>232630</v>
      </c>
      <c r="L233" s="2" t="str" cm="1">
        <f t="array" ref="L233">_xlfn.IFS(Table14[[#This Row],[Treatment Cost]]&lt;50000,"Low Billing",Table14[[#This Row],[Treatment Cost]]&lt;200000,"Moderate Billing",Table14[[#This Row],[Treatment Cost]]&gt;=200000,"High Billing")</f>
        <v>High Billing</v>
      </c>
      <c r="M233" t="s">
        <v>8</v>
      </c>
      <c r="N233" t="str">
        <f>IF(AND(Table14[[#This Row],[Outcome]]="Follow-up",Table14[[#This Row],[Admission Status]]="Patient Discharged"),"High Risk Patient","Low Risk Patient")</f>
        <v>High Risk Patient</v>
      </c>
      <c r="O233" t="str">
        <f>IFERROR(VLOOKUP(Table14[[#This Row],[Department]],Doctor_Info!A:D,2,FALSE), "")</f>
        <v>Dr. Ada</v>
      </c>
      <c r="P233" t="str">
        <f>IF(COUNTIF(A:A,Table14[[#This Row],[Patient ID]]&gt;1),"Returning Patient","New Patient")</f>
        <v>New Patient</v>
      </c>
      <c r="Q233" t="str">
        <f>_xlfn.XLOOKUP(Table14[[#This Row],[Department]], Doctor_Info!A:A, Doctor_Info!C:C, "")&amp;""</f>
        <v>301</v>
      </c>
      <c r="R233" t="str">
        <f>TEXT(Table14[[#This Row],[Admission Date]],"ddd")</f>
        <v>Sun</v>
      </c>
      <c r="S233" t="str">
        <f>TEXT(Table14[[#This Row],[Admission Date]],"mmm")</f>
        <v>Jan</v>
      </c>
      <c r="T233" t="str">
        <f>TEXT(Table14[[#This Row],[Admission Date]],"yyyy")</f>
        <v>2024</v>
      </c>
      <c r="U233" t="str">
        <f>TEXT(Table14[[#This Row],[Admission Date]],"mmm-yyyy")</f>
        <v>Jan-2024</v>
      </c>
      <c r="V233">
        <f t="shared" ca="1" si="3"/>
        <v>8</v>
      </c>
    </row>
    <row r="234" spans="1:22" x14ac:dyDescent="0.2">
      <c r="A234" t="s">
        <v>246</v>
      </c>
      <c r="B234" s="3">
        <v>45323</v>
      </c>
      <c r="C234" s="3">
        <v>45324</v>
      </c>
      <c r="D234">
        <f ca="1">IF(ISBLANK(Table14[[#This Row],[Discharge Date]]),TODAY()-Table14[[#This Row],[Admission Date]], Table14[[#This Row],[Discharge Date]]-Table14[[#This Row],[Admission Date]])</f>
        <v>1</v>
      </c>
      <c r="E234" s="6" t="str">
        <f>IF(Table14[[#This Row],[Discharge Date]]="","Still Admitted","Patient Discharged")</f>
        <v>Patient Discharged</v>
      </c>
      <c r="F234" s="6" t="str">
        <f>IF(WEEKDAY(Table14[[#This Row],[Admission Date]],2)&gt;5,"Weekend","Weekday")</f>
        <v>Weekday</v>
      </c>
      <c r="G234" t="s">
        <v>528</v>
      </c>
      <c r="H234">
        <v>22</v>
      </c>
      <c r="I234" t="str" cm="1">
        <f t="array" ref="I234">_xlfn.IFS(Table14[[#This Row],[Age]]&lt;18,"Children",Table14[[#This Row],[Age]]&lt;50,"Adult",Table14[[#This Row],[Age]]&gt;=50,"Elderly")</f>
        <v>Adult</v>
      </c>
      <c r="J234" t="s">
        <v>547</v>
      </c>
      <c r="K234" s="7">
        <v>233600</v>
      </c>
      <c r="L234" s="2" t="str" cm="1">
        <f t="array" ref="L234">_xlfn.IFS(Table14[[#This Row],[Treatment Cost]]&lt;50000,"Low Billing",Table14[[#This Row],[Treatment Cost]]&lt;200000,"Moderate Billing",Table14[[#This Row],[Treatment Cost]]&gt;=200000,"High Billing")</f>
        <v>High Billing</v>
      </c>
      <c r="M234" t="s">
        <v>6</v>
      </c>
      <c r="N234" t="str">
        <f>IF(AND(Table14[[#This Row],[Outcome]]="Follow-up",Table14[[#This Row],[Admission Status]]="Patient Discharged"),"High Risk Patient","Low Risk Patient")</f>
        <v>Low Risk Patient</v>
      </c>
      <c r="O234" t="str">
        <f>IFERROR(VLOOKUP(Table14[[#This Row],[Department]],Doctor_Info!A:D,2,FALSE), "")</f>
        <v>Dr. Kofi</v>
      </c>
      <c r="P234" t="str">
        <f>IF(COUNTIF(A:A,Table14[[#This Row],[Patient ID]]&gt;1),"Returning Patient","New Patient")</f>
        <v>New Patient</v>
      </c>
      <c r="Q234" t="str">
        <f>_xlfn.XLOOKUP(Table14[[#This Row],[Department]], Doctor_Info!A:A, Doctor_Info!C:C, "")&amp;""</f>
        <v>102</v>
      </c>
      <c r="R234" t="str">
        <f>TEXT(Table14[[#This Row],[Admission Date]],"ddd")</f>
        <v>Thu</v>
      </c>
      <c r="S234" t="str">
        <f>TEXT(Table14[[#This Row],[Admission Date]],"mmm")</f>
        <v>Feb</v>
      </c>
      <c r="T234" t="str">
        <f>TEXT(Table14[[#This Row],[Admission Date]],"yyyy")</f>
        <v>2024</v>
      </c>
      <c r="U234" t="str">
        <f>TEXT(Table14[[#This Row],[Admission Date]],"mmm-yyyy")</f>
        <v>Feb-2024</v>
      </c>
      <c r="V234">
        <f t="shared" ca="1" si="3"/>
        <v>8</v>
      </c>
    </row>
    <row r="235" spans="1:22" x14ac:dyDescent="0.2">
      <c r="A235" t="s">
        <v>247</v>
      </c>
      <c r="B235" s="3">
        <v>45325</v>
      </c>
      <c r="C235" s="3">
        <v>45337</v>
      </c>
      <c r="D235">
        <f ca="1">IF(ISBLANK(Table14[[#This Row],[Discharge Date]]),TODAY()-Table14[[#This Row],[Admission Date]], Table14[[#This Row],[Discharge Date]]-Table14[[#This Row],[Admission Date]])</f>
        <v>12</v>
      </c>
      <c r="E235" s="6" t="str">
        <f>IF(Table14[[#This Row],[Discharge Date]]="","Still Admitted","Patient Discharged")</f>
        <v>Patient Discharged</v>
      </c>
      <c r="F235" s="6" t="str">
        <f>IF(WEEKDAY(Table14[[#This Row],[Admission Date]],2)&gt;5,"Weekend","Weekday")</f>
        <v>Weekend</v>
      </c>
      <c r="G235" t="s">
        <v>12</v>
      </c>
      <c r="H235">
        <v>24</v>
      </c>
      <c r="I235" t="str" cm="1">
        <f t="array" ref="I235">_xlfn.IFS(Table14[[#This Row],[Age]]&lt;18,"Children",Table14[[#This Row],[Age]]&lt;50,"Adult",Table14[[#This Row],[Age]]&gt;=50,"Elderly")</f>
        <v>Adult</v>
      </c>
      <c r="J235" t="s">
        <v>546</v>
      </c>
      <c r="K235" s="7">
        <v>234570</v>
      </c>
      <c r="L235" s="2" t="str" cm="1">
        <f t="array" ref="L235">_xlfn.IFS(Table14[[#This Row],[Treatment Cost]]&lt;50000,"Low Billing",Table14[[#This Row],[Treatment Cost]]&lt;200000,"Moderate Billing",Table14[[#This Row],[Treatment Cost]]&gt;=200000,"High Billing")</f>
        <v>High Billing</v>
      </c>
      <c r="M235" t="s">
        <v>8</v>
      </c>
      <c r="N235" t="str">
        <f>IF(AND(Table14[[#This Row],[Outcome]]="Follow-up",Table14[[#This Row],[Admission Status]]="Patient Discharged"),"High Risk Patient","Low Risk Patient")</f>
        <v>High Risk Patient</v>
      </c>
      <c r="O235" t="str">
        <f>IFERROR(VLOOKUP(Table14[[#This Row],[Department]],Doctor_Info!A:D,2,FALSE), "")</f>
        <v>Dr. Temi</v>
      </c>
      <c r="P235" t="str">
        <f>IF(COUNTIF(A:A,Table14[[#This Row],[Patient ID]]&gt;1),"Returning Patient","New Patient")</f>
        <v>New Patient</v>
      </c>
      <c r="Q235" t="str">
        <f>_xlfn.XLOOKUP(Table14[[#This Row],[Department]], Doctor_Info!A:A, Doctor_Info!C:C, "")&amp;""</f>
        <v>502</v>
      </c>
      <c r="R235" t="str">
        <f>TEXT(Table14[[#This Row],[Admission Date]],"ddd")</f>
        <v>Sat</v>
      </c>
      <c r="S235" t="str">
        <f>TEXT(Table14[[#This Row],[Admission Date]],"mmm")</f>
        <v>Feb</v>
      </c>
      <c r="T235" t="str">
        <f>TEXT(Table14[[#This Row],[Admission Date]],"yyyy")</f>
        <v>2024</v>
      </c>
      <c r="U235" t="str">
        <f>TEXT(Table14[[#This Row],[Admission Date]],"mmm-yyyy")</f>
        <v>Feb-2024</v>
      </c>
      <c r="V235">
        <f t="shared" ca="1" si="3"/>
        <v>8</v>
      </c>
    </row>
    <row r="236" spans="1:22" x14ac:dyDescent="0.2">
      <c r="A236" t="s">
        <v>248</v>
      </c>
      <c r="B236" s="3">
        <v>45327</v>
      </c>
      <c r="C236" s="3">
        <v>45328</v>
      </c>
      <c r="D236">
        <f ca="1">IF(ISBLANK(Table14[[#This Row],[Discharge Date]]),TODAY()-Table14[[#This Row],[Admission Date]], Table14[[#This Row],[Discharge Date]]-Table14[[#This Row],[Admission Date]])</f>
        <v>1</v>
      </c>
      <c r="E236" s="6" t="str">
        <f>IF(Table14[[#This Row],[Discharge Date]]="","Still Admitted","Patient Discharged")</f>
        <v>Patient Discharged</v>
      </c>
      <c r="F236" s="6" t="str">
        <f>IF(WEEKDAY(Table14[[#This Row],[Admission Date]],2)&gt;5,"Weekend","Weekday")</f>
        <v>Weekday</v>
      </c>
      <c r="G236" t="s">
        <v>528</v>
      </c>
      <c r="H236">
        <v>26</v>
      </c>
      <c r="I236" t="str" cm="1">
        <f t="array" ref="I236">_xlfn.IFS(Table14[[#This Row],[Age]]&lt;18,"Children",Table14[[#This Row],[Age]]&lt;50,"Adult",Table14[[#This Row],[Age]]&gt;=50,"Elderly")</f>
        <v>Adult</v>
      </c>
      <c r="J236" t="s">
        <v>547</v>
      </c>
      <c r="K236" s="7">
        <v>235540</v>
      </c>
      <c r="L236" s="2" t="str" cm="1">
        <f t="array" ref="L236">_xlfn.IFS(Table14[[#This Row],[Treatment Cost]]&lt;50000,"Low Billing",Table14[[#This Row],[Treatment Cost]]&lt;200000,"Moderate Billing",Table14[[#This Row],[Treatment Cost]]&gt;=200000,"High Billing")</f>
        <v>High Billing</v>
      </c>
      <c r="M236" t="s">
        <v>6</v>
      </c>
      <c r="N236" t="str">
        <f>IF(AND(Table14[[#This Row],[Outcome]]="Follow-up",Table14[[#This Row],[Admission Status]]="Patient Discharged"),"High Risk Patient","Low Risk Patient")</f>
        <v>Low Risk Patient</v>
      </c>
      <c r="O236" t="str">
        <f>IFERROR(VLOOKUP(Table14[[#This Row],[Department]],Doctor_Info!A:D,2,FALSE), "")</f>
        <v>Dr. Kofi</v>
      </c>
      <c r="P236" t="str">
        <f>IF(COUNTIF(A:A,Table14[[#This Row],[Patient ID]]&gt;1),"Returning Patient","New Patient")</f>
        <v>New Patient</v>
      </c>
      <c r="Q236" t="str">
        <f>_xlfn.XLOOKUP(Table14[[#This Row],[Department]], Doctor_Info!A:A, Doctor_Info!C:C, "")&amp;""</f>
        <v>102</v>
      </c>
      <c r="R236" t="str">
        <f>TEXT(Table14[[#This Row],[Admission Date]],"ddd")</f>
        <v>Mon</v>
      </c>
      <c r="S236" t="str">
        <f>TEXT(Table14[[#This Row],[Admission Date]],"mmm")</f>
        <v>Feb</v>
      </c>
      <c r="T236" t="str">
        <f>TEXT(Table14[[#This Row],[Admission Date]],"yyyy")</f>
        <v>2024</v>
      </c>
      <c r="U236" t="str">
        <f>TEXT(Table14[[#This Row],[Admission Date]],"mmm-yyyy")</f>
        <v>Feb-2024</v>
      </c>
      <c r="V236">
        <f t="shared" ca="1" si="3"/>
        <v>8</v>
      </c>
    </row>
    <row r="237" spans="1:22" x14ac:dyDescent="0.2">
      <c r="A237" t="s">
        <v>249</v>
      </c>
      <c r="B237" s="3">
        <v>45332</v>
      </c>
      <c r="D237">
        <f ca="1">IF(ISBLANK(Table14[[#This Row],[Discharge Date]]),TODAY()-Table14[[#This Row],[Admission Date]], Table14[[#This Row],[Discharge Date]]-Table14[[#This Row],[Admission Date]])</f>
        <v>806</v>
      </c>
      <c r="E237" s="6" t="str">
        <f>IF(Table14[[#This Row],[Discharge Date]]="","Still Admitted","Patient Discharged")</f>
        <v>Still Admitted</v>
      </c>
      <c r="F237" s="6" t="str">
        <f>IF(WEEKDAY(Table14[[#This Row],[Admission Date]],2)&gt;5,"Weekend","Weekday")</f>
        <v>Weekend</v>
      </c>
      <c r="G237" t="s">
        <v>10</v>
      </c>
      <c r="H237">
        <v>28</v>
      </c>
      <c r="I237" t="str" cm="1">
        <f t="array" ref="I237">_xlfn.IFS(Table14[[#This Row],[Age]]&lt;18,"Children",Table14[[#This Row],[Age]]&lt;50,"Adult",Table14[[#This Row],[Age]]&gt;=50,"Elderly")</f>
        <v>Adult</v>
      </c>
      <c r="J237" t="s">
        <v>547</v>
      </c>
      <c r="K237" s="7">
        <v>236510</v>
      </c>
      <c r="L237" s="2" t="str" cm="1">
        <f t="array" ref="L237">_xlfn.IFS(Table14[[#This Row],[Treatment Cost]]&lt;50000,"Low Billing",Table14[[#This Row],[Treatment Cost]]&lt;200000,"Moderate Billing",Table14[[#This Row],[Treatment Cost]]&gt;=200000,"High Billing")</f>
        <v>High Billing</v>
      </c>
      <c r="M237" t="s">
        <v>403</v>
      </c>
      <c r="N237" t="str">
        <f>IF(AND(Table14[[#This Row],[Outcome]]="Follow-up",Table14[[#This Row],[Admission Status]]="Patient Discharged"),"High Risk Patient","Low Risk Patient")</f>
        <v>Low Risk Patient</v>
      </c>
      <c r="O237" t="str">
        <f>IFERROR(VLOOKUP(Table14[[#This Row],[Department]],Doctor_Info!A:D,2,FALSE), "")</f>
        <v>Dr. George</v>
      </c>
      <c r="P237" t="str">
        <f>IF(COUNTIF(A:A,Table14[[#This Row],[Patient ID]]&gt;1),"Returning Patient","New Patient")</f>
        <v>New Patient</v>
      </c>
      <c r="Q237" t="str">
        <f>_xlfn.XLOOKUP(Table14[[#This Row],[Department]], Doctor_Info!A:A, Doctor_Info!C:C, "")&amp;""</f>
        <v>405</v>
      </c>
      <c r="R237" t="str">
        <f>TEXT(Table14[[#This Row],[Admission Date]],"ddd")</f>
        <v>Sat</v>
      </c>
      <c r="S237" t="str">
        <f>TEXT(Table14[[#This Row],[Admission Date]],"mmm")</f>
        <v>Feb</v>
      </c>
      <c r="T237" t="str">
        <f>TEXT(Table14[[#This Row],[Admission Date]],"yyyy")</f>
        <v>2024</v>
      </c>
      <c r="U237" t="str">
        <f>TEXT(Table14[[#This Row],[Admission Date]],"mmm-yyyy")</f>
        <v>Feb-2024</v>
      </c>
      <c r="V237">
        <f t="shared" ca="1" si="3"/>
        <v>8</v>
      </c>
    </row>
    <row r="238" spans="1:22" x14ac:dyDescent="0.2">
      <c r="A238" t="s">
        <v>250</v>
      </c>
      <c r="B238" s="3">
        <v>45319</v>
      </c>
      <c r="C238" s="3">
        <v>45327</v>
      </c>
      <c r="D238">
        <f ca="1">IF(ISBLANK(Table14[[#This Row],[Discharge Date]]),TODAY()-Table14[[#This Row],[Admission Date]], Table14[[#This Row],[Discharge Date]]-Table14[[#This Row],[Admission Date]])</f>
        <v>8</v>
      </c>
      <c r="E238" s="6" t="str">
        <f>IF(Table14[[#This Row],[Discharge Date]]="","Still Admitted","Patient Discharged")</f>
        <v>Patient Discharged</v>
      </c>
      <c r="F238" s="6" t="str">
        <f>IF(WEEKDAY(Table14[[#This Row],[Admission Date]],2)&gt;5,"Weekend","Weekday")</f>
        <v>Weekend</v>
      </c>
      <c r="G238" t="s">
        <v>7</v>
      </c>
      <c r="H238">
        <v>30</v>
      </c>
      <c r="I238" t="str" cm="1">
        <f t="array" ref="I238">_xlfn.IFS(Table14[[#This Row],[Age]]&lt;18,"Children",Table14[[#This Row],[Age]]&lt;50,"Adult",Table14[[#This Row],[Age]]&gt;=50,"Elderly")</f>
        <v>Adult</v>
      </c>
      <c r="J238" t="s">
        <v>546</v>
      </c>
      <c r="K238" s="7">
        <v>237480</v>
      </c>
      <c r="L238" s="2" t="str" cm="1">
        <f t="array" ref="L238">_xlfn.IFS(Table14[[#This Row],[Treatment Cost]]&lt;50000,"Low Billing",Table14[[#This Row],[Treatment Cost]]&lt;200000,"Moderate Billing",Table14[[#This Row],[Treatment Cost]]&gt;=200000,"High Billing")</f>
        <v>High Billing</v>
      </c>
      <c r="M238" t="s">
        <v>8</v>
      </c>
      <c r="N238" t="str">
        <f>IF(AND(Table14[[#This Row],[Outcome]]="Follow-up",Table14[[#This Row],[Admission Status]]="Patient Discharged"),"High Risk Patient","Low Risk Patient")</f>
        <v>High Risk Patient</v>
      </c>
      <c r="O238" t="str">
        <f>IFERROR(VLOOKUP(Table14[[#This Row],[Department]],Doctor_Info!A:D,2,FALSE), "")</f>
        <v>Dr. Ada</v>
      </c>
      <c r="P238" t="str">
        <f>IF(COUNTIF(A:A,Table14[[#This Row],[Patient ID]]&gt;1),"Returning Patient","New Patient")</f>
        <v>New Patient</v>
      </c>
      <c r="Q238" t="str">
        <f>_xlfn.XLOOKUP(Table14[[#This Row],[Department]], Doctor_Info!A:A, Doctor_Info!C:C, "")&amp;""</f>
        <v>301</v>
      </c>
      <c r="R238" t="str">
        <f>TEXT(Table14[[#This Row],[Admission Date]],"ddd")</f>
        <v>Sun</v>
      </c>
      <c r="S238" t="str">
        <f>TEXT(Table14[[#This Row],[Admission Date]],"mmm")</f>
        <v>Jan</v>
      </c>
      <c r="T238" t="str">
        <f>TEXT(Table14[[#This Row],[Admission Date]],"yyyy")</f>
        <v>2024</v>
      </c>
      <c r="U238" t="str">
        <f>TEXT(Table14[[#This Row],[Admission Date]],"mmm-yyyy")</f>
        <v>Jan-2024</v>
      </c>
      <c r="V238">
        <f t="shared" ca="1" si="3"/>
        <v>8</v>
      </c>
    </row>
    <row r="239" spans="1:22" x14ac:dyDescent="0.2">
      <c r="A239" t="s">
        <v>251</v>
      </c>
      <c r="B239" s="3">
        <v>45323</v>
      </c>
      <c r="C239" s="3">
        <v>45324</v>
      </c>
      <c r="D239">
        <f ca="1">IF(ISBLANK(Table14[[#This Row],[Discharge Date]]),TODAY()-Table14[[#This Row],[Admission Date]], Table14[[#This Row],[Discharge Date]]-Table14[[#This Row],[Admission Date]])</f>
        <v>1</v>
      </c>
      <c r="E239" s="6" t="str">
        <f>IF(Table14[[#This Row],[Discharge Date]]="","Still Admitted","Patient Discharged")</f>
        <v>Patient Discharged</v>
      </c>
      <c r="F239" s="6" t="str">
        <f>IF(WEEKDAY(Table14[[#This Row],[Admission Date]],2)&gt;5,"Weekend","Weekday")</f>
        <v>Weekday</v>
      </c>
      <c r="G239" t="s">
        <v>528</v>
      </c>
      <c r="H239">
        <v>32</v>
      </c>
      <c r="I239" t="str" cm="1">
        <f t="array" ref="I239">_xlfn.IFS(Table14[[#This Row],[Age]]&lt;18,"Children",Table14[[#This Row],[Age]]&lt;50,"Adult",Table14[[#This Row],[Age]]&gt;=50,"Elderly")</f>
        <v>Adult</v>
      </c>
      <c r="J239" t="s">
        <v>547</v>
      </c>
      <c r="K239" s="7">
        <v>238450</v>
      </c>
      <c r="L239" s="2" t="str" cm="1">
        <f t="array" ref="L239">_xlfn.IFS(Table14[[#This Row],[Treatment Cost]]&lt;50000,"Low Billing",Table14[[#This Row],[Treatment Cost]]&lt;200000,"Moderate Billing",Table14[[#This Row],[Treatment Cost]]&gt;=200000,"High Billing")</f>
        <v>High Billing</v>
      </c>
      <c r="M239" t="s">
        <v>6</v>
      </c>
      <c r="N239" t="str">
        <f>IF(AND(Table14[[#This Row],[Outcome]]="Follow-up",Table14[[#This Row],[Admission Status]]="Patient Discharged"),"High Risk Patient","Low Risk Patient")</f>
        <v>Low Risk Patient</v>
      </c>
      <c r="O239" t="str">
        <f>IFERROR(VLOOKUP(Table14[[#This Row],[Department]],Doctor_Info!A:D,2,FALSE), "")</f>
        <v>Dr. Kofi</v>
      </c>
      <c r="P239" t="str">
        <f>IF(COUNTIF(A:A,Table14[[#This Row],[Patient ID]]&gt;1),"Returning Patient","New Patient")</f>
        <v>New Patient</v>
      </c>
      <c r="Q239" t="str">
        <f>_xlfn.XLOOKUP(Table14[[#This Row],[Department]], Doctor_Info!A:A, Doctor_Info!C:C, "")&amp;""</f>
        <v>102</v>
      </c>
      <c r="R239" t="str">
        <f>TEXT(Table14[[#This Row],[Admission Date]],"ddd")</f>
        <v>Thu</v>
      </c>
      <c r="S239" t="str">
        <f>TEXT(Table14[[#This Row],[Admission Date]],"mmm")</f>
        <v>Feb</v>
      </c>
      <c r="T239" t="str">
        <f>TEXT(Table14[[#This Row],[Admission Date]],"yyyy")</f>
        <v>2024</v>
      </c>
      <c r="U239" t="str">
        <f>TEXT(Table14[[#This Row],[Admission Date]],"mmm-yyyy")</f>
        <v>Feb-2024</v>
      </c>
      <c r="V239">
        <f t="shared" ca="1" si="3"/>
        <v>8</v>
      </c>
    </row>
    <row r="240" spans="1:22" x14ac:dyDescent="0.2">
      <c r="A240" t="s">
        <v>252</v>
      </c>
      <c r="B240" s="3">
        <v>45325</v>
      </c>
      <c r="C240" s="3">
        <v>45337</v>
      </c>
      <c r="D240">
        <f ca="1">IF(ISBLANK(Table14[[#This Row],[Discharge Date]]),TODAY()-Table14[[#This Row],[Admission Date]], Table14[[#This Row],[Discharge Date]]-Table14[[#This Row],[Admission Date]])</f>
        <v>12</v>
      </c>
      <c r="E240" s="6" t="str">
        <f>IF(Table14[[#This Row],[Discharge Date]]="","Still Admitted","Patient Discharged")</f>
        <v>Patient Discharged</v>
      </c>
      <c r="F240" s="6" t="str">
        <f>IF(WEEKDAY(Table14[[#This Row],[Admission Date]],2)&gt;5,"Weekend","Weekday")</f>
        <v>Weekend</v>
      </c>
      <c r="G240" t="s">
        <v>12</v>
      </c>
      <c r="H240">
        <v>34</v>
      </c>
      <c r="I240" t="str" cm="1">
        <f t="array" ref="I240">_xlfn.IFS(Table14[[#This Row],[Age]]&lt;18,"Children",Table14[[#This Row],[Age]]&lt;50,"Adult",Table14[[#This Row],[Age]]&gt;=50,"Elderly")</f>
        <v>Adult</v>
      </c>
      <c r="J240" t="s">
        <v>546</v>
      </c>
      <c r="K240" s="7">
        <v>239420</v>
      </c>
      <c r="L240" s="2" t="str" cm="1">
        <f t="array" ref="L240">_xlfn.IFS(Table14[[#This Row],[Treatment Cost]]&lt;50000,"Low Billing",Table14[[#This Row],[Treatment Cost]]&lt;200000,"Moderate Billing",Table14[[#This Row],[Treatment Cost]]&gt;=200000,"High Billing")</f>
        <v>High Billing</v>
      </c>
      <c r="M240" t="s">
        <v>8</v>
      </c>
      <c r="N240" t="str">
        <f>IF(AND(Table14[[#This Row],[Outcome]]="Follow-up",Table14[[#This Row],[Admission Status]]="Patient Discharged"),"High Risk Patient","Low Risk Patient")</f>
        <v>High Risk Patient</v>
      </c>
      <c r="O240" t="str">
        <f>IFERROR(VLOOKUP(Table14[[#This Row],[Department]],Doctor_Info!A:D,2,FALSE), "")</f>
        <v>Dr. Temi</v>
      </c>
      <c r="P240" t="str">
        <f>IF(COUNTIF(A:A,Table14[[#This Row],[Patient ID]]&gt;1),"Returning Patient","New Patient")</f>
        <v>New Patient</v>
      </c>
      <c r="Q240" t="str">
        <f>_xlfn.XLOOKUP(Table14[[#This Row],[Department]], Doctor_Info!A:A, Doctor_Info!C:C, "")&amp;""</f>
        <v>502</v>
      </c>
      <c r="R240" t="str">
        <f>TEXT(Table14[[#This Row],[Admission Date]],"ddd")</f>
        <v>Sat</v>
      </c>
      <c r="S240" t="str">
        <f>TEXT(Table14[[#This Row],[Admission Date]],"mmm")</f>
        <v>Feb</v>
      </c>
      <c r="T240" t="str">
        <f>TEXT(Table14[[#This Row],[Admission Date]],"yyyy")</f>
        <v>2024</v>
      </c>
      <c r="U240" t="str">
        <f>TEXT(Table14[[#This Row],[Admission Date]],"mmm-yyyy")</f>
        <v>Feb-2024</v>
      </c>
      <c r="V240">
        <f t="shared" ca="1" si="3"/>
        <v>8</v>
      </c>
    </row>
    <row r="241" spans="1:22" x14ac:dyDescent="0.2">
      <c r="A241" t="s">
        <v>253</v>
      </c>
      <c r="B241" s="3">
        <v>45327</v>
      </c>
      <c r="C241" s="3">
        <v>45328</v>
      </c>
      <c r="D241">
        <f ca="1">IF(ISBLANK(Table14[[#This Row],[Discharge Date]]),TODAY()-Table14[[#This Row],[Admission Date]], Table14[[#This Row],[Discharge Date]]-Table14[[#This Row],[Admission Date]])</f>
        <v>1</v>
      </c>
      <c r="E241" s="6" t="str">
        <f>IF(Table14[[#This Row],[Discharge Date]]="","Still Admitted","Patient Discharged")</f>
        <v>Patient Discharged</v>
      </c>
      <c r="F241" s="6" t="str">
        <f>IF(WEEKDAY(Table14[[#This Row],[Admission Date]],2)&gt;5,"Weekend","Weekday")</f>
        <v>Weekday</v>
      </c>
      <c r="G241" t="s">
        <v>528</v>
      </c>
      <c r="H241">
        <v>36</v>
      </c>
      <c r="I241" t="str" cm="1">
        <f t="array" ref="I241">_xlfn.IFS(Table14[[#This Row],[Age]]&lt;18,"Children",Table14[[#This Row],[Age]]&lt;50,"Adult",Table14[[#This Row],[Age]]&gt;=50,"Elderly")</f>
        <v>Adult</v>
      </c>
      <c r="J241" t="s">
        <v>547</v>
      </c>
      <c r="K241" s="7">
        <v>240390</v>
      </c>
      <c r="L241" s="2" t="str" cm="1">
        <f t="array" ref="L241">_xlfn.IFS(Table14[[#This Row],[Treatment Cost]]&lt;50000,"Low Billing",Table14[[#This Row],[Treatment Cost]]&lt;200000,"Moderate Billing",Table14[[#This Row],[Treatment Cost]]&gt;=200000,"High Billing")</f>
        <v>High Billing</v>
      </c>
      <c r="M241" t="s">
        <v>6</v>
      </c>
      <c r="N241" t="str">
        <f>IF(AND(Table14[[#This Row],[Outcome]]="Follow-up",Table14[[#This Row],[Admission Status]]="Patient Discharged"),"High Risk Patient","Low Risk Patient")</f>
        <v>Low Risk Patient</v>
      </c>
      <c r="O241" t="str">
        <f>IFERROR(VLOOKUP(Table14[[#This Row],[Department]],Doctor_Info!A:D,2,FALSE), "")</f>
        <v>Dr. Kofi</v>
      </c>
      <c r="P241" t="str">
        <f>IF(COUNTIF(A:A,Table14[[#This Row],[Patient ID]]&gt;1),"Returning Patient","New Patient")</f>
        <v>New Patient</v>
      </c>
      <c r="Q241" t="str">
        <f>_xlfn.XLOOKUP(Table14[[#This Row],[Department]], Doctor_Info!A:A, Doctor_Info!C:C, "")&amp;""</f>
        <v>102</v>
      </c>
      <c r="R241" t="str">
        <f>TEXT(Table14[[#This Row],[Admission Date]],"ddd")</f>
        <v>Mon</v>
      </c>
      <c r="S241" t="str">
        <f>TEXT(Table14[[#This Row],[Admission Date]],"mmm")</f>
        <v>Feb</v>
      </c>
      <c r="T241" t="str">
        <f>TEXT(Table14[[#This Row],[Admission Date]],"yyyy")</f>
        <v>2024</v>
      </c>
      <c r="U241" t="str">
        <f>TEXT(Table14[[#This Row],[Admission Date]],"mmm-yyyy")</f>
        <v>Feb-2024</v>
      </c>
      <c r="V241">
        <f t="shared" ca="1" si="3"/>
        <v>8</v>
      </c>
    </row>
    <row r="242" spans="1:22" x14ac:dyDescent="0.2">
      <c r="A242" t="s">
        <v>254</v>
      </c>
      <c r="B242" s="3">
        <v>45332</v>
      </c>
      <c r="D242">
        <f ca="1">IF(ISBLANK(Table14[[#This Row],[Discharge Date]]),TODAY()-Table14[[#This Row],[Admission Date]], Table14[[#This Row],[Discharge Date]]-Table14[[#This Row],[Admission Date]])</f>
        <v>806</v>
      </c>
      <c r="E242" s="6" t="str">
        <f>IF(Table14[[#This Row],[Discharge Date]]="","Still Admitted","Patient Discharged")</f>
        <v>Still Admitted</v>
      </c>
      <c r="F242" s="6" t="str">
        <f>IF(WEEKDAY(Table14[[#This Row],[Admission Date]],2)&gt;5,"Weekend","Weekday")</f>
        <v>Weekend</v>
      </c>
      <c r="G242" t="s">
        <v>10</v>
      </c>
      <c r="H242">
        <v>38</v>
      </c>
      <c r="I242" t="str" cm="1">
        <f t="array" ref="I242">_xlfn.IFS(Table14[[#This Row],[Age]]&lt;18,"Children",Table14[[#This Row],[Age]]&lt;50,"Adult",Table14[[#This Row],[Age]]&gt;=50,"Elderly")</f>
        <v>Adult</v>
      </c>
      <c r="J242" t="s">
        <v>547</v>
      </c>
      <c r="K242" s="7">
        <v>241360</v>
      </c>
      <c r="L242" s="2" t="str" cm="1">
        <f t="array" ref="L242">_xlfn.IFS(Table14[[#This Row],[Treatment Cost]]&lt;50000,"Low Billing",Table14[[#This Row],[Treatment Cost]]&lt;200000,"Moderate Billing",Table14[[#This Row],[Treatment Cost]]&gt;=200000,"High Billing")</f>
        <v>High Billing</v>
      </c>
      <c r="M242" t="s">
        <v>403</v>
      </c>
      <c r="N242" t="str">
        <f>IF(AND(Table14[[#This Row],[Outcome]]="Follow-up",Table14[[#This Row],[Admission Status]]="Patient Discharged"),"High Risk Patient","Low Risk Patient")</f>
        <v>Low Risk Patient</v>
      </c>
      <c r="O242" t="str">
        <f>IFERROR(VLOOKUP(Table14[[#This Row],[Department]],Doctor_Info!A:D,2,FALSE), "")</f>
        <v>Dr. George</v>
      </c>
      <c r="P242" t="str">
        <f>IF(COUNTIF(A:A,Table14[[#This Row],[Patient ID]]&gt;1),"Returning Patient","New Patient")</f>
        <v>New Patient</v>
      </c>
      <c r="Q242" t="str">
        <f>_xlfn.XLOOKUP(Table14[[#This Row],[Department]], Doctor_Info!A:A, Doctor_Info!C:C, "")&amp;""</f>
        <v>405</v>
      </c>
      <c r="R242" t="str">
        <f>TEXT(Table14[[#This Row],[Admission Date]],"ddd")</f>
        <v>Sat</v>
      </c>
      <c r="S242" t="str">
        <f>TEXT(Table14[[#This Row],[Admission Date]],"mmm")</f>
        <v>Feb</v>
      </c>
      <c r="T242" t="str">
        <f>TEXT(Table14[[#This Row],[Admission Date]],"yyyy")</f>
        <v>2024</v>
      </c>
      <c r="U242" t="str">
        <f>TEXT(Table14[[#This Row],[Admission Date]],"mmm-yyyy")</f>
        <v>Feb-2024</v>
      </c>
      <c r="V242">
        <f t="shared" ca="1" si="3"/>
        <v>8</v>
      </c>
    </row>
    <row r="243" spans="1:22" x14ac:dyDescent="0.2">
      <c r="A243" t="s">
        <v>255</v>
      </c>
      <c r="B243" s="3">
        <v>45319</v>
      </c>
      <c r="C243" s="3">
        <v>45327</v>
      </c>
      <c r="D243">
        <f ca="1">IF(ISBLANK(Table14[[#This Row],[Discharge Date]]),TODAY()-Table14[[#This Row],[Admission Date]], Table14[[#This Row],[Discharge Date]]-Table14[[#This Row],[Admission Date]])</f>
        <v>8</v>
      </c>
      <c r="E243" s="6" t="str">
        <f>IF(Table14[[#This Row],[Discharge Date]]="","Still Admitted","Patient Discharged")</f>
        <v>Patient Discharged</v>
      </c>
      <c r="F243" s="6" t="str">
        <f>IF(WEEKDAY(Table14[[#This Row],[Admission Date]],2)&gt;5,"Weekend","Weekday")</f>
        <v>Weekend</v>
      </c>
      <c r="G243" t="s">
        <v>7</v>
      </c>
      <c r="H243">
        <v>40</v>
      </c>
      <c r="I243" t="str" cm="1">
        <f t="array" ref="I243">_xlfn.IFS(Table14[[#This Row],[Age]]&lt;18,"Children",Table14[[#This Row],[Age]]&lt;50,"Adult",Table14[[#This Row],[Age]]&gt;=50,"Elderly")</f>
        <v>Adult</v>
      </c>
      <c r="J243" t="s">
        <v>546</v>
      </c>
      <c r="K243" s="7">
        <v>242330</v>
      </c>
      <c r="L243" s="2" t="str" cm="1">
        <f t="array" ref="L243">_xlfn.IFS(Table14[[#This Row],[Treatment Cost]]&lt;50000,"Low Billing",Table14[[#This Row],[Treatment Cost]]&lt;200000,"Moderate Billing",Table14[[#This Row],[Treatment Cost]]&gt;=200000,"High Billing")</f>
        <v>High Billing</v>
      </c>
      <c r="M243" t="s">
        <v>8</v>
      </c>
      <c r="N243" t="str">
        <f>IF(AND(Table14[[#This Row],[Outcome]]="Follow-up",Table14[[#This Row],[Admission Status]]="Patient Discharged"),"High Risk Patient","Low Risk Patient")</f>
        <v>High Risk Patient</v>
      </c>
      <c r="O243" t="str">
        <f>IFERROR(VLOOKUP(Table14[[#This Row],[Department]],Doctor_Info!A:D,2,FALSE), "")</f>
        <v>Dr. Ada</v>
      </c>
      <c r="P243" t="str">
        <f>IF(COUNTIF(A:A,Table14[[#This Row],[Patient ID]]&gt;1),"Returning Patient","New Patient")</f>
        <v>New Patient</v>
      </c>
      <c r="Q243" t="str">
        <f>_xlfn.XLOOKUP(Table14[[#This Row],[Department]], Doctor_Info!A:A, Doctor_Info!C:C, "")&amp;""</f>
        <v>301</v>
      </c>
      <c r="R243" t="str">
        <f>TEXT(Table14[[#This Row],[Admission Date]],"ddd")</f>
        <v>Sun</v>
      </c>
      <c r="S243" t="str">
        <f>TEXT(Table14[[#This Row],[Admission Date]],"mmm")</f>
        <v>Jan</v>
      </c>
      <c r="T243" t="str">
        <f>TEXT(Table14[[#This Row],[Admission Date]],"yyyy")</f>
        <v>2024</v>
      </c>
      <c r="U243" t="str">
        <f>TEXT(Table14[[#This Row],[Admission Date]],"mmm-yyyy")</f>
        <v>Jan-2024</v>
      </c>
      <c r="V243">
        <f t="shared" ca="1" si="3"/>
        <v>8</v>
      </c>
    </row>
    <row r="244" spans="1:22" x14ac:dyDescent="0.2">
      <c r="A244" t="s">
        <v>256</v>
      </c>
      <c r="B244" s="3">
        <v>45323</v>
      </c>
      <c r="C244" s="3">
        <v>45324</v>
      </c>
      <c r="D244">
        <f ca="1">IF(ISBLANK(Table14[[#This Row],[Discharge Date]]),TODAY()-Table14[[#This Row],[Admission Date]], Table14[[#This Row],[Discharge Date]]-Table14[[#This Row],[Admission Date]])</f>
        <v>1</v>
      </c>
      <c r="E244" s="6" t="str">
        <f>IF(Table14[[#This Row],[Discharge Date]]="","Still Admitted","Patient Discharged")</f>
        <v>Patient Discharged</v>
      </c>
      <c r="F244" s="6" t="str">
        <f>IF(WEEKDAY(Table14[[#This Row],[Admission Date]],2)&gt;5,"Weekend","Weekday")</f>
        <v>Weekday</v>
      </c>
      <c r="G244" t="s">
        <v>528</v>
      </c>
      <c r="H244">
        <v>42</v>
      </c>
      <c r="I244" t="str" cm="1">
        <f t="array" ref="I244">_xlfn.IFS(Table14[[#This Row],[Age]]&lt;18,"Children",Table14[[#This Row],[Age]]&lt;50,"Adult",Table14[[#This Row],[Age]]&gt;=50,"Elderly")</f>
        <v>Adult</v>
      </c>
      <c r="J244" t="s">
        <v>547</v>
      </c>
      <c r="K244" s="7">
        <v>243300</v>
      </c>
      <c r="L244" s="2" t="str" cm="1">
        <f t="array" ref="L244">_xlfn.IFS(Table14[[#This Row],[Treatment Cost]]&lt;50000,"Low Billing",Table14[[#This Row],[Treatment Cost]]&lt;200000,"Moderate Billing",Table14[[#This Row],[Treatment Cost]]&gt;=200000,"High Billing")</f>
        <v>High Billing</v>
      </c>
      <c r="M244" t="s">
        <v>6</v>
      </c>
      <c r="N244" t="str">
        <f>IF(AND(Table14[[#This Row],[Outcome]]="Follow-up",Table14[[#This Row],[Admission Status]]="Patient Discharged"),"High Risk Patient","Low Risk Patient")</f>
        <v>Low Risk Patient</v>
      </c>
      <c r="O244" t="str">
        <f>IFERROR(VLOOKUP(Table14[[#This Row],[Department]],Doctor_Info!A:D,2,FALSE), "")</f>
        <v>Dr. Kofi</v>
      </c>
      <c r="P244" t="str">
        <f>IF(COUNTIF(A:A,Table14[[#This Row],[Patient ID]]&gt;1),"Returning Patient","New Patient")</f>
        <v>New Patient</v>
      </c>
      <c r="Q244" t="str">
        <f>_xlfn.XLOOKUP(Table14[[#This Row],[Department]], Doctor_Info!A:A, Doctor_Info!C:C, "")&amp;""</f>
        <v>102</v>
      </c>
      <c r="R244" t="str">
        <f>TEXT(Table14[[#This Row],[Admission Date]],"ddd")</f>
        <v>Thu</v>
      </c>
      <c r="S244" t="str">
        <f>TEXT(Table14[[#This Row],[Admission Date]],"mmm")</f>
        <v>Feb</v>
      </c>
      <c r="T244" t="str">
        <f>TEXT(Table14[[#This Row],[Admission Date]],"yyyy")</f>
        <v>2024</v>
      </c>
      <c r="U244" t="str">
        <f>TEXT(Table14[[#This Row],[Admission Date]],"mmm-yyyy")</f>
        <v>Feb-2024</v>
      </c>
      <c r="V244">
        <f t="shared" ca="1" si="3"/>
        <v>8</v>
      </c>
    </row>
    <row r="245" spans="1:22" x14ac:dyDescent="0.2">
      <c r="A245" t="s">
        <v>257</v>
      </c>
      <c r="B245" s="3">
        <v>45325</v>
      </c>
      <c r="C245" s="3">
        <v>45337</v>
      </c>
      <c r="D245">
        <f ca="1">IF(ISBLANK(Table14[[#This Row],[Discharge Date]]),TODAY()-Table14[[#This Row],[Admission Date]], Table14[[#This Row],[Discharge Date]]-Table14[[#This Row],[Admission Date]])</f>
        <v>12</v>
      </c>
      <c r="E245" s="6" t="str">
        <f>IF(Table14[[#This Row],[Discharge Date]]="","Still Admitted","Patient Discharged")</f>
        <v>Patient Discharged</v>
      </c>
      <c r="F245" s="6" t="str">
        <f>IF(WEEKDAY(Table14[[#This Row],[Admission Date]],2)&gt;5,"Weekend","Weekday")</f>
        <v>Weekend</v>
      </c>
      <c r="G245" t="s">
        <v>12</v>
      </c>
      <c r="H245">
        <v>44</v>
      </c>
      <c r="I245" t="str" cm="1">
        <f t="array" ref="I245">_xlfn.IFS(Table14[[#This Row],[Age]]&lt;18,"Children",Table14[[#This Row],[Age]]&lt;50,"Adult",Table14[[#This Row],[Age]]&gt;=50,"Elderly")</f>
        <v>Adult</v>
      </c>
      <c r="J245" t="s">
        <v>546</v>
      </c>
      <c r="K245" s="7">
        <v>244270</v>
      </c>
      <c r="L245" s="2" t="str" cm="1">
        <f t="array" ref="L245">_xlfn.IFS(Table14[[#This Row],[Treatment Cost]]&lt;50000,"Low Billing",Table14[[#This Row],[Treatment Cost]]&lt;200000,"Moderate Billing",Table14[[#This Row],[Treatment Cost]]&gt;=200000,"High Billing")</f>
        <v>High Billing</v>
      </c>
      <c r="M245" t="s">
        <v>8</v>
      </c>
      <c r="N245" t="str">
        <f>IF(AND(Table14[[#This Row],[Outcome]]="Follow-up",Table14[[#This Row],[Admission Status]]="Patient Discharged"),"High Risk Patient","Low Risk Patient")</f>
        <v>High Risk Patient</v>
      </c>
      <c r="O245" t="str">
        <f>IFERROR(VLOOKUP(Table14[[#This Row],[Department]],Doctor_Info!A:D,2,FALSE), "")</f>
        <v>Dr. Temi</v>
      </c>
      <c r="P245" t="str">
        <f>IF(COUNTIF(A:A,Table14[[#This Row],[Patient ID]]&gt;1),"Returning Patient","New Patient")</f>
        <v>New Patient</v>
      </c>
      <c r="Q245" t="str">
        <f>_xlfn.XLOOKUP(Table14[[#This Row],[Department]], Doctor_Info!A:A, Doctor_Info!C:C, "")&amp;""</f>
        <v>502</v>
      </c>
      <c r="R245" t="str">
        <f>TEXT(Table14[[#This Row],[Admission Date]],"ddd")</f>
        <v>Sat</v>
      </c>
      <c r="S245" t="str">
        <f>TEXT(Table14[[#This Row],[Admission Date]],"mmm")</f>
        <v>Feb</v>
      </c>
      <c r="T245" t="str">
        <f>TEXT(Table14[[#This Row],[Admission Date]],"yyyy")</f>
        <v>2024</v>
      </c>
      <c r="U245" t="str">
        <f>TEXT(Table14[[#This Row],[Admission Date]],"mmm-yyyy")</f>
        <v>Feb-2024</v>
      </c>
      <c r="V245">
        <f t="shared" ca="1" si="3"/>
        <v>8</v>
      </c>
    </row>
    <row r="246" spans="1:22" x14ac:dyDescent="0.2">
      <c r="A246" t="s">
        <v>258</v>
      </c>
      <c r="B246" s="3">
        <v>45327</v>
      </c>
      <c r="C246" s="3">
        <v>45328</v>
      </c>
      <c r="D246">
        <f ca="1">IF(ISBLANK(Table14[[#This Row],[Discharge Date]]),TODAY()-Table14[[#This Row],[Admission Date]], Table14[[#This Row],[Discharge Date]]-Table14[[#This Row],[Admission Date]])</f>
        <v>1</v>
      </c>
      <c r="E246" s="6" t="str">
        <f>IF(Table14[[#This Row],[Discharge Date]]="","Still Admitted","Patient Discharged")</f>
        <v>Patient Discharged</v>
      </c>
      <c r="F246" s="6" t="str">
        <f>IF(WEEKDAY(Table14[[#This Row],[Admission Date]],2)&gt;5,"Weekend","Weekday")</f>
        <v>Weekday</v>
      </c>
      <c r="G246" t="s">
        <v>528</v>
      </c>
      <c r="H246">
        <v>46</v>
      </c>
      <c r="I246" t="str" cm="1">
        <f t="array" ref="I246">_xlfn.IFS(Table14[[#This Row],[Age]]&lt;18,"Children",Table14[[#This Row],[Age]]&lt;50,"Adult",Table14[[#This Row],[Age]]&gt;=50,"Elderly")</f>
        <v>Adult</v>
      </c>
      <c r="J246" t="s">
        <v>547</v>
      </c>
      <c r="K246" s="7">
        <v>245240</v>
      </c>
      <c r="L246" s="2" t="str" cm="1">
        <f t="array" ref="L246">_xlfn.IFS(Table14[[#This Row],[Treatment Cost]]&lt;50000,"Low Billing",Table14[[#This Row],[Treatment Cost]]&lt;200000,"Moderate Billing",Table14[[#This Row],[Treatment Cost]]&gt;=200000,"High Billing")</f>
        <v>High Billing</v>
      </c>
      <c r="M246" t="s">
        <v>6</v>
      </c>
      <c r="N246" t="str">
        <f>IF(AND(Table14[[#This Row],[Outcome]]="Follow-up",Table14[[#This Row],[Admission Status]]="Patient Discharged"),"High Risk Patient","Low Risk Patient")</f>
        <v>Low Risk Patient</v>
      </c>
      <c r="O246" t="str">
        <f>IFERROR(VLOOKUP(Table14[[#This Row],[Department]],Doctor_Info!A:D,2,FALSE), "")</f>
        <v>Dr. Kofi</v>
      </c>
      <c r="P246" t="str">
        <f>IF(COUNTIF(A:A,Table14[[#This Row],[Patient ID]]&gt;1),"Returning Patient","New Patient")</f>
        <v>New Patient</v>
      </c>
      <c r="Q246" t="str">
        <f>_xlfn.XLOOKUP(Table14[[#This Row],[Department]], Doctor_Info!A:A, Doctor_Info!C:C, "")&amp;""</f>
        <v>102</v>
      </c>
      <c r="R246" t="str">
        <f>TEXT(Table14[[#This Row],[Admission Date]],"ddd")</f>
        <v>Mon</v>
      </c>
      <c r="S246" t="str">
        <f>TEXT(Table14[[#This Row],[Admission Date]],"mmm")</f>
        <v>Feb</v>
      </c>
      <c r="T246" t="str">
        <f>TEXT(Table14[[#This Row],[Admission Date]],"yyyy")</f>
        <v>2024</v>
      </c>
      <c r="U246" t="str">
        <f>TEXT(Table14[[#This Row],[Admission Date]],"mmm-yyyy")</f>
        <v>Feb-2024</v>
      </c>
      <c r="V246">
        <f t="shared" ca="1" si="3"/>
        <v>8</v>
      </c>
    </row>
    <row r="247" spans="1:22" x14ac:dyDescent="0.2">
      <c r="A247" t="s">
        <v>259</v>
      </c>
      <c r="B247" s="3">
        <v>45332</v>
      </c>
      <c r="D247">
        <f ca="1">IF(ISBLANK(Table14[[#This Row],[Discharge Date]]),TODAY()-Table14[[#This Row],[Admission Date]], Table14[[#This Row],[Discharge Date]]-Table14[[#This Row],[Admission Date]])</f>
        <v>806</v>
      </c>
      <c r="E247" s="6" t="str">
        <f>IF(Table14[[#This Row],[Discharge Date]]="","Still Admitted","Patient Discharged")</f>
        <v>Still Admitted</v>
      </c>
      <c r="F247" s="6" t="str">
        <f>IF(WEEKDAY(Table14[[#This Row],[Admission Date]],2)&gt;5,"Weekend","Weekday")</f>
        <v>Weekend</v>
      </c>
      <c r="G247" t="s">
        <v>10</v>
      </c>
      <c r="H247">
        <v>48</v>
      </c>
      <c r="I247" t="str" cm="1">
        <f t="array" ref="I247">_xlfn.IFS(Table14[[#This Row],[Age]]&lt;18,"Children",Table14[[#This Row],[Age]]&lt;50,"Adult",Table14[[#This Row],[Age]]&gt;=50,"Elderly")</f>
        <v>Adult</v>
      </c>
      <c r="J247" t="s">
        <v>547</v>
      </c>
      <c r="K247" s="7">
        <v>246210</v>
      </c>
      <c r="L247" s="2" t="str" cm="1">
        <f t="array" ref="L247">_xlfn.IFS(Table14[[#This Row],[Treatment Cost]]&lt;50000,"Low Billing",Table14[[#This Row],[Treatment Cost]]&lt;200000,"Moderate Billing",Table14[[#This Row],[Treatment Cost]]&gt;=200000,"High Billing")</f>
        <v>High Billing</v>
      </c>
      <c r="M247" t="s">
        <v>403</v>
      </c>
      <c r="N247" t="str">
        <f>IF(AND(Table14[[#This Row],[Outcome]]="Follow-up",Table14[[#This Row],[Admission Status]]="Patient Discharged"),"High Risk Patient","Low Risk Patient")</f>
        <v>Low Risk Patient</v>
      </c>
      <c r="O247" t="str">
        <f>IFERROR(VLOOKUP(Table14[[#This Row],[Department]],Doctor_Info!A:D,2,FALSE), "")</f>
        <v>Dr. George</v>
      </c>
      <c r="P247" t="str">
        <f>IF(COUNTIF(A:A,Table14[[#This Row],[Patient ID]]&gt;1),"Returning Patient","New Patient")</f>
        <v>New Patient</v>
      </c>
      <c r="Q247" t="str">
        <f>_xlfn.XLOOKUP(Table14[[#This Row],[Department]], Doctor_Info!A:A, Doctor_Info!C:C, "")&amp;""</f>
        <v>405</v>
      </c>
      <c r="R247" t="str">
        <f>TEXT(Table14[[#This Row],[Admission Date]],"ddd")</f>
        <v>Sat</v>
      </c>
      <c r="S247" t="str">
        <f>TEXT(Table14[[#This Row],[Admission Date]],"mmm")</f>
        <v>Feb</v>
      </c>
      <c r="T247" t="str">
        <f>TEXT(Table14[[#This Row],[Admission Date]],"yyyy")</f>
        <v>2024</v>
      </c>
      <c r="U247" t="str">
        <f>TEXT(Table14[[#This Row],[Admission Date]],"mmm-yyyy")</f>
        <v>Feb-2024</v>
      </c>
      <c r="V247">
        <f t="shared" ca="1" si="3"/>
        <v>8</v>
      </c>
    </row>
    <row r="248" spans="1:22" x14ac:dyDescent="0.2">
      <c r="A248" t="s">
        <v>260</v>
      </c>
      <c r="B248" s="3">
        <v>45319</v>
      </c>
      <c r="C248" s="3">
        <v>45327</v>
      </c>
      <c r="D248">
        <f ca="1">IF(ISBLANK(Table14[[#This Row],[Discharge Date]]),TODAY()-Table14[[#This Row],[Admission Date]], Table14[[#This Row],[Discharge Date]]-Table14[[#This Row],[Admission Date]])</f>
        <v>8</v>
      </c>
      <c r="E248" s="6" t="str">
        <f>IF(Table14[[#This Row],[Discharge Date]]="","Still Admitted","Patient Discharged")</f>
        <v>Patient Discharged</v>
      </c>
      <c r="F248" s="6" t="str">
        <f>IF(WEEKDAY(Table14[[#This Row],[Admission Date]],2)&gt;5,"Weekend","Weekday")</f>
        <v>Weekend</v>
      </c>
      <c r="G248" t="s">
        <v>7</v>
      </c>
      <c r="H248">
        <v>50</v>
      </c>
      <c r="I248" t="str" cm="1">
        <f t="array" ref="I248">_xlfn.IFS(Table14[[#This Row],[Age]]&lt;18,"Children",Table14[[#This Row],[Age]]&lt;50,"Adult",Table14[[#This Row],[Age]]&gt;=50,"Elderly")</f>
        <v>Elderly</v>
      </c>
      <c r="J248" t="s">
        <v>546</v>
      </c>
      <c r="K248" s="7">
        <v>247180</v>
      </c>
      <c r="L248" s="2" t="str" cm="1">
        <f t="array" ref="L248">_xlfn.IFS(Table14[[#This Row],[Treatment Cost]]&lt;50000,"Low Billing",Table14[[#This Row],[Treatment Cost]]&lt;200000,"Moderate Billing",Table14[[#This Row],[Treatment Cost]]&gt;=200000,"High Billing")</f>
        <v>High Billing</v>
      </c>
      <c r="M248" t="s">
        <v>8</v>
      </c>
      <c r="N248" t="str">
        <f>IF(AND(Table14[[#This Row],[Outcome]]="Follow-up",Table14[[#This Row],[Admission Status]]="Patient Discharged"),"High Risk Patient","Low Risk Patient")</f>
        <v>High Risk Patient</v>
      </c>
      <c r="O248" t="str">
        <f>IFERROR(VLOOKUP(Table14[[#This Row],[Department]],Doctor_Info!A:D,2,FALSE), "")</f>
        <v>Dr. Ada</v>
      </c>
      <c r="P248" t="str">
        <f>IF(COUNTIF(A:A,Table14[[#This Row],[Patient ID]]&gt;1),"Returning Patient","New Patient")</f>
        <v>New Patient</v>
      </c>
      <c r="Q248" t="str">
        <f>_xlfn.XLOOKUP(Table14[[#This Row],[Department]], Doctor_Info!A:A, Doctor_Info!C:C, "")&amp;""</f>
        <v>301</v>
      </c>
      <c r="R248" t="str">
        <f>TEXT(Table14[[#This Row],[Admission Date]],"ddd")</f>
        <v>Sun</v>
      </c>
      <c r="S248" t="str">
        <f>TEXT(Table14[[#This Row],[Admission Date]],"mmm")</f>
        <v>Jan</v>
      </c>
      <c r="T248" t="str">
        <f>TEXT(Table14[[#This Row],[Admission Date]],"yyyy")</f>
        <v>2024</v>
      </c>
      <c r="U248" t="str">
        <f>TEXT(Table14[[#This Row],[Admission Date]],"mmm-yyyy")</f>
        <v>Jan-2024</v>
      </c>
      <c r="V248">
        <f t="shared" ca="1" si="3"/>
        <v>8</v>
      </c>
    </row>
    <row r="249" spans="1:22" x14ac:dyDescent="0.2">
      <c r="A249" t="s">
        <v>261</v>
      </c>
      <c r="B249" s="3">
        <v>45323</v>
      </c>
      <c r="C249" s="3">
        <v>45324</v>
      </c>
      <c r="D249">
        <f ca="1">IF(ISBLANK(Table14[[#This Row],[Discharge Date]]),TODAY()-Table14[[#This Row],[Admission Date]], Table14[[#This Row],[Discharge Date]]-Table14[[#This Row],[Admission Date]])</f>
        <v>1</v>
      </c>
      <c r="E249" s="6" t="str">
        <f>IF(Table14[[#This Row],[Discharge Date]]="","Still Admitted","Patient Discharged")</f>
        <v>Patient Discharged</v>
      </c>
      <c r="F249" s="6" t="str">
        <f>IF(WEEKDAY(Table14[[#This Row],[Admission Date]],2)&gt;5,"Weekend","Weekday")</f>
        <v>Weekday</v>
      </c>
      <c r="G249" t="s">
        <v>528</v>
      </c>
      <c r="H249">
        <v>52</v>
      </c>
      <c r="I249" t="str" cm="1">
        <f t="array" ref="I249">_xlfn.IFS(Table14[[#This Row],[Age]]&lt;18,"Children",Table14[[#This Row],[Age]]&lt;50,"Adult",Table14[[#This Row],[Age]]&gt;=50,"Elderly")</f>
        <v>Elderly</v>
      </c>
      <c r="J249" t="s">
        <v>547</v>
      </c>
      <c r="K249" s="7">
        <v>248150</v>
      </c>
      <c r="L249" s="2" t="str" cm="1">
        <f t="array" ref="L249">_xlfn.IFS(Table14[[#This Row],[Treatment Cost]]&lt;50000,"Low Billing",Table14[[#This Row],[Treatment Cost]]&lt;200000,"Moderate Billing",Table14[[#This Row],[Treatment Cost]]&gt;=200000,"High Billing")</f>
        <v>High Billing</v>
      </c>
      <c r="M249" t="s">
        <v>6</v>
      </c>
      <c r="N249" t="str">
        <f>IF(AND(Table14[[#This Row],[Outcome]]="Follow-up",Table14[[#This Row],[Admission Status]]="Patient Discharged"),"High Risk Patient","Low Risk Patient")</f>
        <v>Low Risk Patient</v>
      </c>
      <c r="O249" t="str">
        <f>IFERROR(VLOOKUP(Table14[[#This Row],[Department]],Doctor_Info!A:D,2,FALSE), "")</f>
        <v>Dr. Kofi</v>
      </c>
      <c r="P249" t="str">
        <f>IF(COUNTIF(A:A,Table14[[#This Row],[Patient ID]]&gt;1),"Returning Patient","New Patient")</f>
        <v>New Patient</v>
      </c>
      <c r="Q249" t="str">
        <f>_xlfn.XLOOKUP(Table14[[#This Row],[Department]], Doctor_Info!A:A, Doctor_Info!C:C, "")&amp;""</f>
        <v>102</v>
      </c>
      <c r="R249" t="str">
        <f>TEXT(Table14[[#This Row],[Admission Date]],"ddd")</f>
        <v>Thu</v>
      </c>
      <c r="S249" t="str">
        <f>TEXT(Table14[[#This Row],[Admission Date]],"mmm")</f>
        <v>Feb</v>
      </c>
      <c r="T249" t="str">
        <f>TEXT(Table14[[#This Row],[Admission Date]],"yyyy")</f>
        <v>2024</v>
      </c>
      <c r="U249" t="str">
        <f>TEXT(Table14[[#This Row],[Admission Date]],"mmm-yyyy")</f>
        <v>Feb-2024</v>
      </c>
      <c r="V249">
        <f t="shared" ca="1" si="3"/>
        <v>8</v>
      </c>
    </row>
    <row r="250" spans="1:22" x14ac:dyDescent="0.2">
      <c r="A250" t="s">
        <v>262</v>
      </c>
      <c r="B250" s="3">
        <v>45325</v>
      </c>
      <c r="C250" s="3">
        <v>45337</v>
      </c>
      <c r="D250">
        <f ca="1">IF(ISBLANK(Table14[[#This Row],[Discharge Date]]),TODAY()-Table14[[#This Row],[Admission Date]], Table14[[#This Row],[Discharge Date]]-Table14[[#This Row],[Admission Date]])</f>
        <v>12</v>
      </c>
      <c r="E250" s="6" t="str">
        <f>IF(Table14[[#This Row],[Discharge Date]]="","Still Admitted","Patient Discharged")</f>
        <v>Patient Discharged</v>
      </c>
      <c r="F250" s="6" t="str">
        <f>IF(WEEKDAY(Table14[[#This Row],[Admission Date]],2)&gt;5,"Weekend","Weekday")</f>
        <v>Weekend</v>
      </c>
      <c r="G250" t="s">
        <v>12</v>
      </c>
      <c r="H250">
        <v>54</v>
      </c>
      <c r="I250" t="str" cm="1">
        <f t="array" ref="I250">_xlfn.IFS(Table14[[#This Row],[Age]]&lt;18,"Children",Table14[[#This Row],[Age]]&lt;50,"Adult",Table14[[#This Row],[Age]]&gt;=50,"Elderly")</f>
        <v>Elderly</v>
      </c>
      <c r="J250" t="s">
        <v>546</v>
      </c>
      <c r="K250" s="7">
        <v>249120</v>
      </c>
      <c r="L250" s="2" t="str" cm="1">
        <f t="array" ref="L250">_xlfn.IFS(Table14[[#This Row],[Treatment Cost]]&lt;50000,"Low Billing",Table14[[#This Row],[Treatment Cost]]&lt;200000,"Moderate Billing",Table14[[#This Row],[Treatment Cost]]&gt;=200000,"High Billing")</f>
        <v>High Billing</v>
      </c>
      <c r="M250" t="s">
        <v>8</v>
      </c>
      <c r="N250" t="str">
        <f>IF(AND(Table14[[#This Row],[Outcome]]="Follow-up",Table14[[#This Row],[Admission Status]]="Patient Discharged"),"High Risk Patient","Low Risk Patient")</f>
        <v>High Risk Patient</v>
      </c>
      <c r="O250" t="str">
        <f>IFERROR(VLOOKUP(Table14[[#This Row],[Department]],Doctor_Info!A:D,2,FALSE), "")</f>
        <v>Dr. Temi</v>
      </c>
      <c r="P250" t="str">
        <f>IF(COUNTIF(A:A,Table14[[#This Row],[Patient ID]]&gt;1),"Returning Patient","New Patient")</f>
        <v>New Patient</v>
      </c>
      <c r="Q250" t="str">
        <f>_xlfn.XLOOKUP(Table14[[#This Row],[Department]], Doctor_Info!A:A, Doctor_Info!C:C, "")&amp;""</f>
        <v>502</v>
      </c>
      <c r="R250" t="str">
        <f>TEXT(Table14[[#This Row],[Admission Date]],"ddd")</f>
        <v>Sat</v>
      </c>
      <c r="S250" t="str">
        <f>TEXT(Table14[[#This Row],[Admission Date]],"mmm")</f>
        <v>Feb</v>
      </c>
      <c r="T250" t="str">
        <f>TEXT(Table14[[#This Row],[Admission Date]],"yyyy")</f>
        <v>2024</v>
      </c>
      <c r="U250" t="str">
        <f>TEXT(Table14[[#This Row],[Admission Date]],"mmm-yyyy")</f>
        <v>Feb-2024</v>
      </c>
      <c r="V250">
        <f t="shared" ca="1" si="3"/>
        <v>8</v>
      </c>
    </row>
    <row r="251" spans="1:22" x14ac:dyDescent="0.2">
      <c r="A251" t="s">
        <v>263</v>
      </c>
      <c r="B251" s="3">
        <v>45327</v>
      </c>
      <c r="C251" s="3">
        <v>45328</v>
      </c>
      <c r="D251">
        <f ca="1">IF(ISBLANK(Table14[[#This Row],[Discharge Date]]),TODAY()-Table14[[#This Row],[Admission Date]], Table14[[#This Row],[Discharge Date]]-Table14[[#This Row],[Admission Date]])</f>
        <v>1</v>
      </c>
      <c r="E251" s="6" t="str">
        <f>IF(Table14[[#This Row],[Discharge Date]]="","Still Admitted","Patient Discharged")</f>
        <v>Patient Discharged</v>
      </c>
      <c r="F251" s="6" t="str">
        <f>IF(WEEKDAY(Table14[[#This Row],[Admission Date]],2)&gt;5,"Weekend","Weekday")</f>
        <v>Weekday</v>
      </c>
      <c r="G251" t="s">
        <v>528</v>
      </c>
      <c r="H251">
        <v>56</v>
      </c>
      <c r="I251" t="str" cm="1">
        <f t="array" ref="I251">_xlfn.IFS(Table14[[#This Row],[Age]]&lt;18,"Children",Table14[[#This Row],[Age]]&lt;50,"Adult",Table14[[#This Row],[Age]]&gt;=50,"Elderly")</f>
        <v>Elderly</v>
      </c>
      <c r="J251" t="s">
        <v>547</v>
      </c>
      <c r="K251" s="7">
        <v>250090</v>
      </c>
      <c r="L251" s="2" t="str" cm="1">
        <f t="array" ref="L251">_xlfn.IFS(Table14[[#This Row],[Treatment Cost]]&lt;50000,"Low Billing",Table14[[#This Row],[Treatment Cost]]&lt;200000,"Moderate Billing",Table14[[#This Row],[Treatment Cost]]&gt;=200000,"High Billing")</f>
        <v>High Billing</v>
      </c>
      <c r="M251" t="s">
        <v>6</v>
      </c>
      <c r="N251" t="str">
        <f>IF(AND(Table14[[#This Row],[Outcome]]="Follow-up",Table14[[#This Row],[Admission Status]]="Patient Discharged"),"High Risk Patient","Low Risk Patient")</f>
        <v>Low Risk Patient</v>
      </c>
      <c r="O251" t="str">
        <f>IFERROR(VLOOKUP(Table14[[#This Row],[Department]],Doctor_Info!A:D,2,FALSE), "")</f>
        <v>Dr. Kofi</v>
      </c>
      <c r="P251" t="str">
        <f>IF(COUNTIF(A:A,Table14[[#This Row],[Patient ID]]&gt;1),"Returning Patient","New Patient")</f>
        <v>New Patient</v>
      </c>
      <c r="Q251" t="str">
        <f>_xlfn.XLOOKUP(Table14[[#This Row],[Department]], Doctor_Info!A:A, Doctor_Info!C:C, "")&amp;""</f>
        <v>102</v>
      </c>
      <c r="R251" t="str">
        <f>TEXT(Table14[[#This Row],[Admission Date]],"ddd")</f>
        <v>Mon</v>
      </c>
      <c r="S251" t="str">
        <f>TEXT(Table14[[#This Row],[Admission Date]],"mmm")</f>
        <v>Feb</v>
      </c>
      <c r="T251" t="str">
        <f>TEXT(Table14[[#This Row],[Admission Date]],"yyyy")</f>
        <v>2024</v>
      </c>
      <c r="U251" t="str">
        <f>TEXT(Table14[[#This Row],[Admission Date]],"mmm-yyyy")</f>
        <v>Feb-2024</v>
      </c>
      <c r="V251">
        <f t="shared" ca="1" si="3"/>
        <v>8</v>
      </c>
    </row>
    <row r="252" spans="1:22" x14ac:dyDescent="0.2">
      <c r="A252" t="s">
        <v>264</v>
      </c>
      <c r="B252" s="3">
        <v>45332</v>
      </c>
      <c r="D252">
        <f ca="1">IF(ISBLANK(Table14[[#This Row],[Discharge Date]]),TODAY()-Table14[[#This Row],[Admission Date]], Table14[[#This Row],[Discharge Date]]-Table14[[#This Row],[Admission Date]])</f>
        <v>806</v>
      </c>
      <c r="E252" s="6" t="str">
        <f>IF(Table14[[#This Row],[Discharge Date]]="","Still Admitted","Patient Discharged")</f>
        <v>Still Admitted</v>
      </c>
      <c r="F252" s="6" t="str">
        <f>IF(WEEKDAY(Table14[[#This Row],[Admission Date]],2)&gt;5,"Weekend","Weekday")</f>
        <v>Weekend</v>
      </c>
      <c r="G252" t="s">
        <v>10</v>
      </c>
      <c r="H252">
        <v>58</v>
      </c>
      <c r="I252" t="str" cm="1">
        <f t="array" ref="I252">_xlfn.IFS(Table14[[#This Row],[Age]]&lt;18,"Children",Table14[[#This Row],[Age]]&lt;50,"Adult",Table14[[#This Row],[Age]]&gt;=50,"Elderly")</f>
        <v>Elderly</v>
      </c>
      <c r="J252" t="s">
        <v>547</v>
      </c>
      <c r="K252" s="7">
        <v>251060</v>
      </c>
      <c r="L252" s="2" t="str" cm="1">
        <f t="array" ref="L252">_xlfn.IFS(Table14[[#This Row],[Treatment Cost]]&lt;50000,"Low Billing",Table14[[#This Row],[Treatment Cost]]&lt;200000,"Moderate Billing",Table14[[#This Row],[Treatment Cost]]&gt;=200000,"High Billing")</f>
        <v>High Billing</v>
      </c>
      <c r="M252" t="s">
        <v>403</v>
      </c>
      <c r="N252" t="str">
        <f>IF(AND(Table14[[#This Row],[Outcome]]="Follow-up",Table14[[#This Row],[Admission Status]]="Patient Discharged"),"High Risk Patient","Low Risk Patient")</f>
        <v>Low Risk Patient</v>
      </c>
      <c r="O252" t="str">
        <f>IFERROR(VLOOKUP(Table14[[#This Row],[Department]],Doctor_Info!A:D,2,FALSE), "")</f>
        <v>Dr. George</v>
      </c>
      <c r="P252" t="str">
        <f>IF(COUNTIF(A:A,Table14[[#This Row],[Patient ID]]&gt;1),"Returning Patient","New Patient")</f>
        <v>New Patient</v>
      </c>
      <c r="Q252" t="str">
        <f>_xlfn.XLOOKUP(Table14[[#This Row],[Department]], Doctor_Info!A:A, Doctor_Info!C:C, "")&amp;""</f>
        <v>405</v>
      </c>
      <c r="R252" t="str">
        <f>TEXT(Table14[[#This Row],[Admission Date]],"ddd")</f>
        <v>Sat</v>
      </c>
      <c r="S252" t="str">
        <f>TEXT(Table14[[#This Row],[Admission Date]],"mmm")</f>
        <v>Feb</v>
      </c>
      <c r="T252" t="str">
        <f>TEXT(Table14[[#This Row],[Admission Date]],"yyyy")</f>
        <v>2024</v>
      </c>
      <c r="U252" t="str">
        <f>TEXT(Table14[[#This Row],[Admission Date]],"mmm-yyyy")</f>
        <v>Feb-2024</v>
      </c>
      <c r="V252">
        <f t="shared" ca="1" si="3"/>
        <v>8</v>
      </c>
    </row>
    <row r="253" spans="1:22" x14ac:dyDescent="0.2">
      <c r="A253" t="s">
        <v>265</v>
      </c>
      <c r="B253" s="3">
        <v>45319</v>
      </c>
      <c r="C253" s="3">
        <v>45327</v>
      </c>
      <c r="D253">
        <f ca="1">IF(ISBLANK(Table14[[#This Row],[Discharge Date]]),TODAY()-Table14[[#This Row],[Admission Date]], Table14[[#This Row],[Discharge Date]]-Table14[[#This Row],[Admission Date]])</f>
        <v>8</v>
      </c>
      <c r="E253" s="6" t="str">
        <f>IF(Table14[[#This Row],[Discharge Date]]="","Still Admitted","Patient Discharged")</f>
        <v>Patient Discharged</v>
      </c>
      <c r="F253" s="6" t="str">
        <f>IF(WEEKDAY(Table14[[#This Row],[Admission Date]],2)&gt;5,"Weekend","Weekday")</f>
        <v>Weekend</v>
      </c>
      <c r="G253" t="s">
        <v>7</v>
      </c>
      <c r="H253">
        <v>60</v>
      </c>
      <c r="I253" t="str" cm="1">
        <f t="array" ref="I253">_xlfn.IFS(Table14[[#This Row],[Age]]&lt;18,"Children",Table14[[#This Row],[Age]]&lt;50,"Adult",Table14[[#This Row],[Age]]&gt;=50,"Elderly")</f>
        <v>Elderly</v>
      </c>
      <c r="J253" t="s">
        <v>546</v>
      </c>
      <c r="K253" s="7">
        <v>252030</v>
      </c>
      <c r="L253" s="2" t="str" cm="1">
        <f t="array" ref="L253">_xlfn.IFS(Table14[[#This Row],[Treatment Cost]]&lt;50000,"Low Billing",Table14[[#This Row],[Treatment Cost]]&lt;200000,"Moderate Billing",Table14[[#This Row],[Treatment Cost]]&gt;=200000,"High Billing")</f>
        <v>High Billing</v>
      </c>
      <c r="M253" t="s">
        <v>8</v>
      </c>
      <c r="N253" t="str">
        <f>IF(AND(Table14[[#This Row],[Outcome]]="Follow-up",Table14[[#This Row],[Admission Status]]="Patient Discharged"),"High Risk Patient","Low Risk Patient")</f>
        <v>High Risk Patient</v>
      </c>
      <c r="O253" t="str">
        <f>IFERROR(VLOOKUP(Table14[[#This Row],[Department]],Doctor_Info!A:D,2,FALSE), "")</f>
        <v>Dr. Ada</v>
      </c>
      <c r="P253" t="str">
        <f>IF(COUNTIF(A:A,Table14[[#This Row],[Patient ID]]&gt;1),"Returning Patient","New Patient")</f>
        <v>New Patient</v>
      </c>
      <c r="Q253" t="str">
        <f>_xlfn.XLOOKUP(Table14[[#This Row],[Department]], Doctor_Info!A:A, Doctor_Info!C:C, "")&amp;""</f>
        <v>301</v>
      </c>
      <c r="R253" t="str">
        <f>TEXT(Table14[[#This Row],[Admission Date]],"ddd")</f>
        <v>Sun</v>
      </c>
      <c r="S253" t="str">
        <f>TEXT(Table14[[#This Row],[Admission Date]],"mmm")</f>
        <v>Jan</v>
      </c>
      <c r="T253" t="str">
        <f>TEXT(Table14[[#This Row],[Admission Date]],"yyyy")</f>
        <v>2024</v>
      </c>
      <c r="U253" t="str">
        <f>TEXT(Table14[[#This Row],[Admission Date]],"mmm-yyyy")</f>
        <v>Jan-2024</v>
      </c>
      <c r="V253">
        <f t="shared" ca="1" si="3"/>
        <v>8</v>
      </c>
    </row>
    <row r="254" spans="1:22" x14ac:dyDescent="0.2">
      <c r="A254" t="s">
        <v>266</v>
      </c>
      <c r="B254" s="3">
        <v>45323</v>
      </c>
      <c r="C254" s="3">
        <v>45324</v>
      </c>
      <c r="D254">
        <f ca="1">IF(ISBLANK(Table14[[#This Row],[Discharge Date]]),TODAY()-Table14[[#This Row],[Admission Date]], Table14[[#This Row],[Discharge Date]]-Table14[[#This Row],[Admission Date]])</f>
        <v>1</v>
      </c>
      <c r="E254" s="6" t="str">
        <f>IF(Table14[[#This Row],[Discharge Date]]="","Still Admitted","Patient Discharged")</f>
        <v>Patient Discharged</v>
      </c>
      <c r="F254" s="6" t="str">
        <f>IF(WEEKDAY(Table14[[#This Row],[Admission Date]],2)&gt;5,"Weekend","Weekday")</f>
        <v>Weekday</v>
      </c>
      <c r="G254" t="s">
        <v>528</v>
      </c>
      <c r="H254">
        <v>62</v>
      </c>
      <c r="I254" t="str" cm="1">
        <f t="array" ref="I254">_xlfn.IFS(Table14[[#This Row],[Age]]&lt;18,"Children",Table14[[#This Row],[Age]]&lt;50,"Adult",Table14[[#This Row],[Age]]&gt;=50,"Elderly")</f>
        <v>Elderly</v>
      </c>
      <c r="J254" t="s">
        <v>547</v>
      </c>
      <c r="K254" s="7">
        <v>253000</v>
      </c>
      <c r="L254" s="2" t="str" cm="1">
        <f t="array" ref="L254">_xlfn.IFS(Table14[[#This Row],[Treatment Cost]]&lt;50000,"Low Billing",Table14[[#This Row],[Treatment Cost]]&lt;200000,"Moderate Billing",Table14[[#This Row],[Treatment Cost]]&gt;=200000,"High Billing")</f>
        <v>High Billing</v>
      </c>
      <c r="M254" t="s">
        <v>6</v>
      </c>
      <c r="N254" t="str">
        <f>IF(AND(Table14[[#This Row],[Outcome]]="Follow-up",Table14[[#This Row],[Admission Status]]="Patient Discharged"),"High Risk Patient","Low Risk Patient")</f>
        <v>Low Risk Patient</v>
      </c>
      <c r="O254" t="str">
        <f>IFERROR(VLOOKUP(Table14[[#This Row],[Department]],Doctor_Info!A:D,2,FALSE), "")</f>
        <v>Dr. Kofi</v>
      </c>
      <c r="P254" t="str">
        <f>IF(COUNTIF(A:A,Table14[[#This Row],[Patient ID]]&gt;1),"Returning Patient","New Patient")</f>
        <v>New Patient</v>
      </c>
      <c r="Q254" t="str">
        <f>_xlfn.XLOOKUP(Table14[[#This Row],[Department]], Doctor_Info!A:A, Doctor_Info!C:C, "")&amp;""</f>
        <v>102</v>
      </c>
      <c r="R254" t="str">
        <f>TEXT(Table14[[#This Row],[Admission Date]],"ddd")</f>
        <v>Thu</v>
      </c>
      <c r="S254" t="str">
        <f>TEXT(Table14[[#This Row],[Admission Date]],"mmm")</f>
        <v>Feb</v>
      </c>
      <c r="T254" t="str">
        <f>TEXT(Table14[[#This Row],[Admission Date]],"yyyy")</f>
        <v>2024</v>
      </c>
      <c r="U254" t="str">
        <f>TEXT(Table14[[#This Row],[Admission Date]],"mmm-yyyy")</f>
        <v>Feb-2024</v>
      </c>
      <c r="V254">
        <f t="shared" ca="1" si="3"/>
        <v>8</v>
      </c>
    </row>
    <row r="255" spans="1:22" x14ac:dyDescent="0.2">
      <c r="A255" t="s">
        <v>267</v>
      </c>
      <c r="B255" s="3">
        <v>45325</v>
      </c>
      <c r="C255" s="3">
        <v>45337</v>
      </c>
      <c r="D255">
        <f ca="1">IF(ISBLANK(Table14[[#This Row],[Discharge Date]]),TODAY()-Table14[[#This Row],[Admission Date]], Table14[[#This Row],[Discharge Date]]-Table14[[#This Row],[Admission Date]])</f>
        <v>12</v>
      </c>
      <c r="E255" s="6" t="str">
        <f>IF(Table14[[#This Row],[Discharge Date]]="","Still Admitted","Patient Discharged")</f>
        <v>Patient Discharged</v>
      </c>
      <c r="F255" s="6" t="str">
        <f>IF(WEEKDAY(Table14[[#This Row],[Admission Date]],2)&gt;5,"Weekend","Weekday")</f>
        <v>Weekend</v>
      </c>
      <c r="G255" t="s">
        <v>12</v>
      </c>
      <c r="H255">
        <v>64</v>
      </c>
      <c r="I255" t="str" cm="1">
        <f t="array" ref="I255">_xlfn.IFS(Table14[[#This Row],[Age]]&lt;18,"Children",Table14[[#This Row],[Age]]&lt;50,"Adult",Table14[[#This Row],[Age]]&gt;=50,"Elderly")</f>
        <v>Elderly</v>
      </c>
      <c r="J255" t="s">
        <v>546</v>
      </c>
      <c r="K255" s="7">
        <v>253970</v>
      </c>
      <c r="L255" s="2" t="str" cm="1">
        <f t="array" ref="L255">_xlfn.IFS(Table14[[#This Row],[Treatment Cost]]&lt;50000,"Low Billing",Table14[[#This Row],[Treatment Cost]]&lt;200000,"Moderate Billing",Table14[[#This Row],[Treatment Cost]]&gt;=200000,"High Billing")</f>
        <v>High Billing</v>
      </c>
      <c r="M255" t="s">
        <v>8</v>
      </c>
      <c r="N255" t="str">
        <f>IF(AND(Table14[[#This Row],[Outcome]]="Follow-up",Table14[[#This Row],[Admission Status]]="Patient Discharged"),"High Risk Patient","Low Risk Patient")</f>
        <v>High Risk Patient</v>
      </c>
      <c r="O255" t="str">
        <f>IFERROR(VLOOKUP(Table14[[#This Row],[Department]],Doctor_Info!A:D,2,FALSE), "")</f>
        <v>Dr. Temi</v>
      </c>
      <c r="P255" t="str">
        <f>IF(COUNTIF(A:A,Table14[[#This Row],[Patient ID]]&gt;1),"Returning Patient","New Patient")</f>
        <v>New Patient</v>
      </c>
      <c r="Q255" t="str">
        <f>_xlfn.XLOOKUP(Table14[[#This Row],[Department]], Doctor_Info!A:A, Doctor_Info!C:C, "")&amp;""</f>
        <v>502</v>
      </c>
      <c r="R255" t="str">
        <f>TEXT(Table14[[#This Row],[Admission Date]],"ddd")</f>
        <v>Sat</v>
      </c>
      <c r="S255" t="str">
        <f>TEXT(Table14[[#This Row],[Admission Date]],"mmm")</f>
        <v>Feb</v>
      </c>
      <c r="T255" t="str">
        <f>TEXT(Table14[[#This Row],[Admission Date]],"yyyy")</f>
        <v>2024</v>
      </c>
      <c r="U255" t="str">
        <f>TEXT(Table14[[#This Row],[Admission Date]],"mmm-yyyy")</f>
        <v>Feb-2024</v>
      </c>
      <c r="V255">
        <f t="shared" ca="1" si="3"/>
        <v>8</v>
      </c>
    </row>
    <row r="256" spans="1:22" x14ac:dyDescent="0.2">
      <c r="A256" t="s">
        <v>268</v>
      </c>
      <c r="B256" s="3">
        <v>45327</v>
      </c>
      <c r="C256" s="3">
        <v>45328</v>
      </c>
      <c r="D256">
        <f ca="1">IF(ISBLANK(Table14[[#This Row],[Discharge Date]]),TODAY()-Table14[[#This Row],[Admission Date]], Table14[[#This Row],[Discharge Date]]-Table14[[#This Row],[Admission Date]])</f>
        <v>1</v>
      </c>
      <c r="E256" s="6" t="str">
        <f>IF(Table14[[#This Row],[Discharge Date]]="","Still Admitted","Patient Discharged")</f>
        <v>Patient Discharged</v>
      </c>
      <c r="F256" s="6" t="str">
        <f>IF(WEEKDAY(Table14[[#This Row],[Admission Date]],2)&gt;5,"Weekend","Weekday")</f>
        <v>Weekday</v>
      </c>
      <c r="G256" t="s">
        <v>528</v>
      </c>
      <c r="H256">
        <v>66</v>
      </c>
      <c r="I256" t="str" cm="1">
        <f t="array" ref="I256">_xlfn.IFS(Table14[[#This Row],[Age]]&lt;18,"Children",Table14[[#This Row],[Age]]&lt;50,"Adult",Table14[[#This Row],[Age]]&gt;=50,"Elderly")</f>
        <v>Elderly</v>
      </c>
      <c r="J256" t="s">
        <v>547</v>
      </c>
      <c r="K256" s="7">
        <v>254940</v>
      </c>
      <c r="L256" s="2" t="str" cm="1">
        <f t="array" ref="L256">_xlfn.IFS(Table14[[#This Row],[Treatment Cost]]&lt;50000,"Low Billing",Table14[[#This Row],[Treatment Cost]]&lt;200000,"Moderate Billing",Table14[[#This Row],[Treatment Cost]]&gt;=200000,"High Billing")</f>
        <v>High Billing</v>
      </c>
      <c r="M256" t="s">
        <v>6</v>
      </c>
      <c r="N256" t="str">
        <f>IF(AND(Table14[[#This Row],[Outcome]]="Follow-up",Table14[[#This Row],[Admission Status]]="Patient Discharged"),"High Risk Patient","Low Risk Patient")</f>
        <v>Low Risk Patient</v>
      </c>
      <c r="O256" t="str">
        <f>IFERROR(VLOOKUP(Table14[[#This Row],[Department]],Doctor_Info!A:D,2,FALSE), "")</f>
        <v>Dr. Kofi</v>
      </c>
      <c r="P256" t="str">
        <f>IF(COUNTIF(A:A,Table14[[#This Row],[Patient ID]]&gt;1),"Returning Patient","New Patient")</f>
        <v>New Patient</v>
      </c>
      <c r="Q256" t="str">
        <f>_xlfn.XLOOKUP(Table14[[#This Row],[Department]], Doctor_Info!A:A, Doctor_Info!C:C, "")&amp;""</f>
        <v>102</v>
      </c>
      <c r="R256" t="str">
        <f>TEXT(Table14[[#This Row],[Admission Date]],"ddd")</f>
        <v>Mon</v>
      </c>
      <c r="S256" t="str">
        <f>TEXT(Table14[[#This Row],[Admission Date]],"mmm")</f>
        <v>Feb</v>
      </c>
      <c r="T256" t="str">
        <f>TEXT(Table14[[#This Row],[Admission Date]],"yyyy")</f>
        <v>2024</v>
      </c>
      <c r="U256" t="str">
        <f>TEXT(Table14[[#This Row],[Admission Date]],"mmm-yyyy")</f>
        <v>Feb-2024</v>
      </c>
      <c r="V256">
        <f t="shared" ca="1" si="3"/>
        <v>8</v>
      </c>
    </row>
    <row r="257" spans="1:22" x14ac:dyDescent="0.2">
      <c r="A257" t="s">
        <v>269</v>
      </c>
      <c r="B257" s="3">
        <v>45332</v>
      </c>
      <c r="D257">
        <f ca="1">IF(ISBLANK(Table14[[#This Row],[Discharge Date]]),TODAY()-Table14[[#This Row],[Admission Date]], Table14[[#This Row],[Discharge Date]]-Table14[[#This Row],[Admission Date]])</f>
        <v>806</v>
      </c>
      <c r="E257" s="6" t="str">
        <f>IF(Table14[[#This Row],[Discharge Date]]="","Still Admitted","Patient Discharged")</f>
        <v>Still Admitted</v>
      </c>
      <c r="F257" s="6" t="str">
        <f>IF(WEEKDAY(Table14[[#This Row],[Admission Date]],2)&gt;5,"Weekend","Weekday")</f>
        <v>Weekend</v>
      </c>
      <c r="G257" t="s">
        <v>10</v>
      </c>
      <c r="H257">
        <v>68</v>
      </c>
      <c r="I257" t="str" cm="1">
        <f t="array" ref="I257">_xlfn.IFS(Table14[[#This Row],[Age]]&lt;18,"Children",Table14[[#This Row],[Age]]&lt;50,"Adult",Table14[[#This Row],[Age]]&gt;=50,"Elderly")</f>
        <v>Elderly</v>
      </c>
      <c r="J257" t="s">
        <v>547</v>
      </c>
      <c r="K257" s="7">
        <v>255910</v>
      </c>
      <c r="L257" s="2" t="str" cm="1">
        <f t="array" ref="L257">_xlfn.IFS(Table14[[#This Row],[Treatment Cost]]&lt;50000,"Low Billing",Table14[[#This Row],[Treatment Cost]]&lt;200000,"Moderate Billing",Table14[[#This Row],[Treatment Cost]]&gt;=200000,"High Billing")</f>
        <v>High Billing</v>
      </c>
      <c r="M257" t="s">
        <v>403</v>
      </c>
      <c r="N257" t="str">
        <f>IF(AND(Table14[[#This Row],[Outcome]]="Follow-up",Table14[[#This Row],[Admission Status]]="Patient Discharged"),"High Risk Patient","Low Risk Patient")</f>
        <v>Low Risk Patient</v>
      </c>
      <c r="O257" t="str">
        <f>IFERROR(VLOOKUP(Table14[[#This Row],[Department]],Doctor_Info!A:D,2,FALSE), "")</f>
        <v>Dr. George</v>
      </c>
      <c r="P257" t="str">
        <f>IF(COUNTIF(A:A,Table14[[#This Row],[Patient ID]]&gt;1),"Returning Patient","New Patient")</f>
        <v>New Patient</v>
      </c>
      <c r="Q257" t="str">
        <f>_xlfn.XLOOKUP(Table14[[#This Row],[Department]], Doctor_Info!A:A, Doctor_Info!C:C, "")&amp;""</f>
        <v>405</v>
      </c>
      <c r="R257" t="str">
        <f>TEXT(Table14[[#This Row],[Admission Date]],"ddd")</f>
        <v>Sat</v>
      </c>
      <c r="S257" t="str">
        <f>TEXT(Table14[[#This Row],[Admission Date]],"mmm")</f>
        <v>Feb</v>
      </c>
      <c r="T257" t="str">
        <f>TEXT(Table14[[#This Row],[Admission Date]],"yyyy")</f>
        <v>2024</v>
      </c>
      <c r="U257" t="str">
        <f>TEXT(Table14[[#This Row],[Admission Date]],"mmm-yyyy")</f>
        <v>Feb-2024</v>
      </c>
      <c r="V257">
        <f t="shared" ca="1" si="3"/>
        <v>8</v>
      </c>
    </row>
    <row r="258" spans="1:22" x14ac:dyDescent="0.2">
      <c r="A258" t="s">
        <v>270</v>
      </c>
      <c r="B258" s="3">
        <v>45319</v>
      </c>
      <c r="C258" s="3">
        <v>45327</v>
      </c>
      <c r="D258">
        <f ca="1">IF(ISBLANK(Table14[[#This Row],[Discharge Date]]),TODAY()-Table14[[#This Row],[Admission Date]], Table14[[#This Row],[Discharge Date]]-Table14[[#This Row],[Admission Date]])</f>
        <v>8</v>
      </c>
      <c r="E258" s="6" t="str">
        <f>IF(Table14[[#This Row],[Discharge Date]]="","Still Admitted","Patient Discharged")</f>
        <v>Patient Discharged</v>
      </c>
      <c r="F258" s="6" t="str">
        <f>IF(WEEKDAY(Table14[[#This Row],[Admission Date]],2)&gt;5,"Weekend","Weekday")</f>
        <v>Weekend</v>
      </c>
      <c r="G258" t="s">
        <v>7</v>
      </c>
      <c r="H258">
        <v>70</v>
      </c>
      <c r="I258" t="str" cm="1">
        <f t="array" ref="I258">_xlfn.IFS(Table14[[#This Row],[Age]]&lt;18,"Children",Table14[[#This Row],[Age]]&lt;50,"Adult",Table14[[#This Row],[Age]]&gt;=50,"Elderly")</f>
        <v>Elderly</v>
      </c>
      <c r="J258" t="s">
        <v>546</v>
      </c>
      <c r="K258" s="7">
        <v>256880</v>
      </c>
      <c r="L258" s="2" t="str" cm="1">
        <f t="array" ref="L258">_xlfn.IFS(Table14[[#This Row],[Treatment Cost]]&lt;50000,"Low Billing",Table14[[#This Row],[Treatment Cost]]&lt;200000,"Moderate Billing",Table14[[#This Row],[Treatment Cost]]&gt;=200000,"High Billing")</f>
        <v>High Billing</v>
      </c>
      <c r="M258" t="s">
        <v>8</v>
      </c>
      <c r="N258" t="str">
        <f>IF(AND(Table14[[#This Row],[Outcome]]="Follow-up",Table14[[#This Row],[Admission Status]]="Patient Discharged"),"High Risk Patient","Low Risk Patient")</f>
        <v>High Risk Patient</v>
      </c>
      <c r="O258" t="str">
        <f>IFERROR(VLOOKUP(Table14[[#This Row],[Department]],Doctor_Info!A:D,2,FALSE), "")</f>
        <v>Dr. Ada</v>
      </c>
      <c r="P258" t="str">
        <f>IF(COUNTIF(A:A,Table14[[#This Row],[Patient ID]]&gt;1),"Returning Patient","New Patient")</f>
        <v>New Patient</v>
      </c>
      <c r="Q258" t="str">
        <f>_xlfn.XLOOKUP(Table14[[#This Row],[Department]], Doctor_Info!A:A, Doctor_Info!C:C, "")&amp;""</f>
        <v>301</v>
      </c>
      <c r="R258" t="str">
        <f>TEXT(Table14[[#This Row],[Admission Date]],"ddd")</f>
        <v>Sun</v>
      </c>
      <c r="S258" t="str">
        <f>TEXT(Table14[[#This Row],[Admission Date]],"mmm")</f>
        <v>Jan</v>
      </c>
      <c r="T258" t="str">
        <f>TEXT(Table14[[#This Row],[Admission Date]],"yyyy")</f>
        <v>2024</v>
      </c>
      <c r="U258" t="str">
        <f>TEXT(Table14[[#This Row],[Admission Date]],"mmm-yyyy")</f>
        <v>Jan-2024</v>
      </c>
      <c r="V258">
        <f t="shared" ref="V258:V321" ca="1" si="4">MEDIAN($D$2:$D$484)</f>
        <v>8</v>
      </c>
    </row>
    <row r="259" spans="1:22" x14ac:dyDescent="0.2">
      <c r="A259" t="s">
        <v>271</v>
      </c>
      <c r="B259" s="3">
        <v>45323</v>
      </c>
      <c r="C259" s="3">
        <v>45324</v>
      </c>
      <c r="D259">
        <f ca="1">IF(ISBLANK(Table14[[#This Row],[Discharge Date]]),TODAY()-Table14[[#This Row],[Admission Date]], Table14[[#This Row],[Discharge Date]]-Table14[[#This Row],[Admission Date]])</f>
        <v>1</v>
      </c>
      <c r="E259" s="6" t="str">
        <f>IF(Table14[[#This Row],[Discharge Date]]="","Still Admitted","Patient Discharged")</f>
        <v>Patient Discharged</v>
      </c>
      <c r="F259" s="6" t="str">
        <f>IF(WEEKDAY(Table14[[#This Row],[Admission Date]],2)&gt;5,"Weekend","Weekday")</f>
        <v>Weekday</v>
      </c>
      <c r="G259" t="s">
        <v>528</v>
      </c>
      <c r="H259">
        <v>72</v>
      </c>
      <c r="I259" t="str" cm="1">
        <f t="array" ref="I259">_xlfn.IFS(Table14[[#This Row],[Age]]&lt;18,"Children",Table14[[#This Row],[Age]]&lt;50,"Adult",Table14[[#This Row],[Age]]&gt;=50,"Elderly")</f>
        <v>Elderly</v>
      </c>
      <c r="J259" t="s">
        <v>547</v>
      </c>
      <c r="K259" s="7">
        <v>257850</v>
      </c>
      <c r="L259" s="2" t="str" cm="1">
        <f t="array" ref="L259">_xlfn.IFS(Table14[[#This Row],[Treatment Cost]]&lt;50000,"Low Billing",Table14[[#This Row],[Treatment Cost]]&lt;200000,"Moderate Billing",Table14[[#This Row],[Treatment Cost]]&gt;=200000,"High Billing")</f>
        <v>High Billing</v>
      </c>
      <c r="M259" t="s">
        <v>6</v>
      </c>
      <c r="N259" t="str">
        <f>IF(AND(Table14[[#This Row],[Outcome]]="Follow-up",Table14[[#This Row],[Admission Status]]="Patient Discharged"),"High Risk Patient","Low Risk Patient")</f>
        <v>Low Risk Patient</v>
      </c>
      <c r="O259" t="str">
        <f>IFERROR(VLOOKUP(Table14[[#This Row],[Department]],Doctor_Info!A:D,2,FALSE), "")</f>
        <v>Dr. Kofi</v>
      </c>
      <c r="P259" t="str">
        <f>IF(COUNTIF(A:A,Table14[[#This Row],[Patient ID]]&gt;1),"Returning Patient","New Patient")</f>
        <v>New Patient</v>
      </c>
      <c r="Q259" t="str">
        <f>_xlfn.XLOOKUP(Table14[[#This Row],[Department]], Doctor_Info!A:A, Doctor_Info!C:C, "")&amp;""</f>
        <v>102</v>
      </c>
      <c r="R259" t="str">
        <f>TEXT(Table14[[#This Row],[Admission Date]],"ddd")</f>
        <v>Thu</v>
      </c>
      <c r="S259" t="str">
        <f>TEXT(Table14[[#This Row],[Admission Date]],"mmm")</f>
        <v>Feb</v>
      </c>
      <c r="T259" t="str">
        <f>TEXT(Table14[[#This Row],[Admission Date]],"yyyy")</f>
        <v>2024</v>
      </c>
      <c r="U259" t="str">
        <f>TEXT(Table14[[#This Row],[Admission Date]],"mmm-yyyy")</f>
        <v>Feb-2024</v>
      </c>
      <c r="V259">
        <f t="shared" ca="1" si="4"/>
        <v>8</v>
      </c>
    </row>
    <row r="260" spans="1:22" x14ac:dyDescent="0.2">
      <c r="A260" t="s">
        <v>272</v>
      </c>
      <c r="B260" s="3">
        <v>45325</v>
      </c>
      <c r="C260" s="3">
        <v>45337</v>
      </c>
      <c r="D260">
        <f ca="1">IF(ISBLANK(Table14[[#This Row],[Discharge Date]]),TODAY()-Table14[[#This Row],[Admission Date]], Table14[[#This Row],[Discharge Date]]-Table14[[#This Row],[Admission Date]])</f>
        <v>12</v>
      </c>
      <c r="E260" s="6" t="str">
        <f>IF(Table14[[#This Row],[Discharge Date]]="","Still Admitted","Patient Discharged")</f>
        <v>Patient Discharged</v>
      </c>
      <c r="F260" s="6" t="str">
        <f>IF(WEEKDAY(Table14[[#This Row],[Admission Date]],2)&gt;5,"Weekend","Weekday")</f>
        <v>Weekend</v>
      </c>
      <c r="G260" t="s">
        <v>12</v>
      </c>
      <c r="H260">
        <v>74</v>
      </c>
      <c r="I260" t="str" cm="1">
        <f t="array" ref="I260">_xlfn.IFS(Table14[[#This Row],[Age]]&lt;18,"Children",Table14[[#This Row],[Age]]&lt;50,"Adult",Table14[[#This Row],[Age]]&gt;=50,"Elderly")</f>
        <v>Elderly</v>
      </c>
      <c r="J260" t="s">
        <v>546</v>
      </c>
      <c r="K260" s="7">
        <v>258820</v>
      </c>
      <c r="L260" s="2" t="str" cm="1">
        <f t="array" ref="L260">_xlfn.IFS(Table14[[#This Row],[Treatment Cost]]&lt;50000,"Low Billing",Table14[[#This Row],[Treatment Cost]]&lt;200000,"Moderate Billing",Table14[[#This Row],[Treatment Cost]]&gt;=200000,"High Billing")</f>
        <v>High Billing</v>
      </c>
      <c r="M260" t="s">
        <v>8</v>
      </c>
      <c r="N260" t="str">
        <f>IF(AND(Table14[[#This Row],[Outcome]]="Follow-up",Table14[[#This Row],[Admission Status]]="Patient Discharged"),"High Risk Patient","Low Risk Patient")</f>
        <v>High Risk Patient</v>
      </c>
      <c r="O260" t="str">
        <f>IFERROR(VLOOKUP(Table14[[#This Row],[Department]],Doctor_Info!A:D,2,FALSE), "")</f>
        <v>Dr. Temi</v>
      </c>
      <c r="P260" t="str">
        <f>IF(COUNTIF(A:A,Table14[[#This Row],[Patient ID]]&gt;1),"Returning Patient","New Patient")</f>
        <v>New Patient</v>
      </c>
      <c r="Q260" t="str">
        <f>_xlfn.XLOOKUP(Table14[[#This Row],[Department]], Doctor_Info!A:A, Doctor_Info!C:C, "")&amp;""</f>
        <v>502</v>
      </c>
      <c r="R260" t="str">
        <f>TEXT(Table14[[#This Row],[Admission Date]],"ddd")</f>
        <v>Sat</v>
      </c>
      <c r="S260" t="str">
        <f>TEXT(Table14[[#This Row],[Admission Date]],"mmm")</f>
        <v>Feb</v>
      </c>
      <c r="T260" t="str">
        <f>TEXT(Table14[[#This Row],[Admission Date]],"yyyy")</f>
        <v>2024</v>
      </c>
      <c r="U260" t="str">
        <f>TEXT(Table14[[#This Row],[Admission Date]],"mmm-yyyy")</f>
        <v>Feb-2024</v>
      </c>
      <c r="V260">
        <f t="shared" ca="1" si="4"/>
        <v>8</v>
      </c>
    </row>
    <row r="261" spans="1:22" x14ac:dyDescent="0.2">
      <c r="A261" t="s">
        <v>273</v>
      </c>
      <c r="B261" s="3">
        <v>45327</v>
      </c>
      <c r="C261" s="3">
        <v>45328</v>
      </c>
      <c r="D261">
        <f ca="1">IF(ISBLANK(Table14[[#This Row],[Discharge Date]]),TODAY()-Table14[[#This Row],[Admission Date]], Table14[[#This Row],[Discharge Date]]-Table14[[#This Row],[Admission Date]])</f>
        <v>1</v>
      </c>
      <c r="E261" s="6" t="str">
        <f>IF(Table14[[#This Row],[Discharge Date]]="","Still Admitted","Patient Discharged")</f>
        <v>Patient Discharged</v>
      </c>
      <c r="F261" s="6" t="str">
        <f>IF(WEEKDAY(Table14[[#This Row],[Admission Date]],2)&gt;5,"Weekend","Weekday")</f>
        <v>Weekday</v>
      </c>
      <c r="G261" t="s">
        <v>528</v>
      </c>
      <c r="H261">
        <v>76</v>
      </c>
      <c r="I261" t="str" cm="1">
        <f t="array" ref="I261">_xlfn.IFS(Table14[[#This Row],[Age]]&lt;18,"Children",Table14[[#This Row],[Age]]&lt;50,"Adult",Table14[[#This Row],[Age]]&gt;=50,"Elderly")</f>
        <v>Elderly</v>
      </c>
      <c r="J261" t="s">
        <v>547</v>
      </c>
      <c r="K261" s="7">
        <v>259790</v>
      </c>
      <c r="L261" s="2" t="str" cm="1">
        <f t="array" ref="L261">_xlfn.IFS(Table14[[#This Row],[Treatment Cost]]&lt;50000,"Low Billing",Table14[[#This Row],[Treatment Cost]]&lt;200000,"Moderate Billing",Table14[[#This Row],[Treatment Cost]]&gt;=200000,"High Billing")</f>
        <v>High Billing</v>
      </c>
      <c r="M261" t="s">
        <v>6</v>
      </c>
      <c r="N261" t="str">
        <f>IF(AND(Table14[[#This Row],[Outcome]]="Follow-up",Table14[[#This Row],[Admission Status]]="Patient Discharged"),"High Risk Patient","Low Risk Patient")</f>
        <v>Low Risk Patient</v>
      </c>
      <c r="O261" t="str">
        <f>IFERROR(VLOOKUP(Table14[[#This Row],[Department]],Doctor_Info!A:D,2,FALSE), "")</f>
        <v>Dr. Kofi</v>
      </c>
      <c r="P261" t="str">
        <f>IF(COUNTIF(A:A,Table14[[#This Row],[Patient ID]]&gt;1),"Returning Patient","New Patient")</f>
        <v>New Patient</v>
      </c>
      <c r="Q261" t="str">
        <f>_xlfn.XLOOKUP(Table14[[#This Row],[Department]], Doctor_Info!A:A, Doctor_Info!C:C, "")&amp;""</f>
        <v>102</v>
      </c>
      <c r="R261" t="str">
        <f>TEXT(Table14[[#This Row],[Admission Date]],"ddd")</f>
        <v>Mon</v>
      </c>
      <c r="S261" t="str">
        <f>TEXT(Table14[[#This Row],[Admission Date]],"mmm")</f>
        <v>Feb</v>
      </c>
      <c r="T261" t="str">
        <f>TEXT(Table14[[#This Row],[Admission Date]],"yyyy")</f>
        <v>2024</v>
      </c>
      <c r="U261" t="str">
        <f>TEXT(Table14[[#This Row],[Admission Date]],"mmm-yyyy")</f>
        <v>Feb-2024</v>
      </c>
      <c r="V261">
        <f t="shared" ca="1" si="4"/>
        <v>8</v>
      </c>
    </row>
    <row r="262" spans="1:22" x14ac:dyDescent="0.2">
      <c r="A262" t="s">
        <v>274</v>
      </c>
      <c r="B262" s="3">
        <v>45319</v>
      </c>
      <c r="C262" s="3">
        <v>45327</v>
      </c>
      <c r="D262">
        <f ca="1">IF(ISBLANK(Table14[[#This Row],[Discharge Date]]),TODAY()-Table14[[#This Row],[Admission Date]], Table14[[#This Row],[Discharge Date]]-Table14[[#This Row],[Admission Date]])</f>
        <v>8</v>
      </c>
      <c r="E262" s="6" t="str">
        <f>IF(Table14[[#This Row],[Discharge Date]]="","Still Admitted","Patient Discharged")</f>
        <v>Patient Discharged</v>
      </c>
      <c r="F262" s="6" t="str">
        <f>IF(WEEKDAY(Table14[[#This Row],[Admission Date]],2)&gt;5,"Weekend","Weekday")</f>
        <v>Weekend</v>
      </c>
      <c r="G262" t="s">
        <v>7</v>
      </c>
      <c r="H262">
        <v>80</v>
      </c>
      <c r="I262" t="str" cm="1">
        <f t="array" ref="I262">_xlfn.IFS(Table14[[#This Row],[Age]]&lt;18,"Children",Table14[[#This Row],[Age]]&lt;50,"Adult",Table14[[#This Row],[Age]]&gt;=50,"Elderly")</f>
        <v>Elderly</v>
      </c>
      <c r="J262" t="s">
        <v>546</v>
      </c>
      <c r="K262" s="7">
        <v>261730</v>
      </c>
      <c r="L262" s="2" t="str" cm="1">
        <f t="array" ref="L262">_xlfn.IFS(Table14[[#This Row],[Treatment Cost]]&lt;50000,"Low Billing",Table14[[#This Row],[Treatment Cost]]&lt;200000,"Moderate Billing",Table14[[#This Row],[Treatment Cost]]&gt;=200000,"High Billing")</f>
        <v>High Billing</v>
      </c>
      <c r="M262" t="s">
        <v>8</v>
      </c>
      <c r="N262" t="str">
        <f>IF(AND(Table14[[#This Row],[Outcome]]="Follow-up",Table14[[#This Row],[Admission Status]]="Patient Discharged"),"High Risk Patient","Low Risk Patient")</f>
        <v>High Risk Patient</v>
      </c>
      <c r="O262" t="str">
        <f>IFERROR(VLOOKUP(Table14[[#This Row],[Department]],Doctor_Info!A:D,2,FALSE), "")</f>
        <v>Dr. Ada</v>
      </c>
      <c r="P262" t="str">
        <f>IF(COUNTIF(A:A,Table14[[#This Row],[Patient ID]]&gt;1),"Returning Patient","New Patient")</f>
        <v>New Patient</v>
      </c>
      <c r="Q262" t="str">
        <f>_xlfn.XLOOKUP(Table14[[#This Row],[Department]], Doctor_Info!A:A, Doctor_Info!C:C, "")&amp;""</f>
        <v>301</v>
      </c>
      <c r="R262" t="str">
        <f>TEXT(Table14[[#This Row],[Admission Date]],"ddd")</f>
        <v>Sun</v>
      </c>
      <c r="S262" t="str">
        <f>TEXT(Table14[[#This Row],[Admission Date]],"mmm")</f>
        <v>Jan</v>
      </c>
      <c r="T262" t="str">
        <f>TEXT(Table14[[#This Row],[Admission Date]],"yyyy")</f>
        <v>2024</v>
      </c>
      <c r="U262" t="str">
        <f>TEXT(Table14[[#This Row],[Admission Date]],"mmm-yyyy")</f>
        <v>Jan-2024</v>
      </c>
      <c r="V262">
        <f t="shared" ca="1" si="4"/>
        <v>8</v>
      </c>
    </row>
    <row r="263" spans="1:22" x14ac:dyDescent="0.2">
      <c r="A263" t="s">
        <v>275</v>
      </c>
      <c r="B263" s="3">
        <v>45323</v>
      </c>
      <c r="C263" s="3">
        <v>45324</v>
      </c>
      <c r="D263">
        <f ca="1">IF(ISBLANK(Table14[[#This Row],[Discharge Date]]),TODAY()-Table14[[#This Row],[Admission Date]], Table14[[#This Row],[Discharge Date]]-Table14[[#This Row],[Admission Date]])</f>
        <v>1</v>
      </c>
      <c r="E263" s="6" t="str">
        <f>IF(Table14[[#This Row],[Discharge Date]]="","Still Admitted","Patient Discharged")</f>
        <v>Patient Discharged</v>
      </c>
      <c r="F263" s="6" t="str">
        <f>IF(WEEKDAY(Table14[[#This Row],[Admission Date]],2)&gt;5,"Weekend","Weekday")</f>
        <v>Weekday</v>
      </c>
      <c r="G263" t="s">
        <v>528</v>
      </c>
      <c r="H263">
        <v>82</v>
      </c>
      <c r="I263" t="str" cm="1">
        <f t="array" ref="I263">_xlfn.IFS(Table14[[#This Row],[Age]]&lt;18,"Children",Table14[[#This Row],[Age]]&lt;50,"Adult",Table14[[#This Row],[Age]]&gt;=50,"Elderly")</f>
        <v>Elderly</v>
      </c>
      <c r="J263" t="s">
        <v>547</v>
      </c>
      <c r="K263" s="7">
        <v>262700</v>
      </c>
      <c r="L263" s="2" t="str" cm="1">
        <f t="array" ref="L263">_xlfn.IFS(Table14[[#This Row],[Treatment Cost]]&lt;50000,"Low Billing",Table14[[#This Row],[Treatment Cost]]&lt;200000,"Moderate Billing",Table14[[#This Row],[Treatment Cost]]&gt;=200000,"High Billing")</f>
        <v>High Billing</v>
      </c>
      <c r="M263" t="s">
        <v>6</v>
      </c>
      <c r="N263" t="str">
        <f>IF(AND(Table14[[#This Row],[Outcome]]="Follow-up",Table14[[#This Row],[Admission Status]]="Patient Discharged"),"High Risk Patient","Low Risk Patient")</f>
        <v>Low Risk Patient</v>
      </c>
      <c r="O263" t="str">
        <f>IFERROR(VLOOKUP(Table14[[#This Row],[Department]],Doctor_Info!A:D,2,FALSE), "")</f>
        <v>Dr. Kofi</v>
      </c>
      <c r="P263" t="str">
        <f>IF(COUNTIF(A:A,Table14[[#This Row],[Patient ID]]&gt;1),"Returning Patient","New Patient")</f>
        <v>New Patient</v>
      </c>
      <c r="Q263" t="str">
        <f>_xlfn.XLOOKUP(Table14[[#This Row],[Department]], Doctor_Info!A:A, Doctor_Info!C:C, "")&amp;""</f>
        <v>102</v>
      </c>
      <c r="R263" t="str">
        <f>TEXT(Table14[[#This Row],[Admission Date]],"ddd")</f>
        <v>Thu</v>
      </c>
      <c r="S263" t="str">
        <f>TEXT(Table14[[#This Row],[Admission Date]],"mmm")</f>
        <v>Feb</v>
      </c>
      <c r="T263" t="str">
        <f>TEXT(Table14[[#This Row],[Admission Date]],"yyyy")</f>
        <v>2024</v>
      </c>
      <c r="U263" t="str">
        <f>TEXT(Table14[[#This Row],[Admission Date]],"mmm-yyyy")</f>
        <v>Feb-2024</v>
      </c>
      <c r="V263">
        <f t="shared" ca="1" si="4"/>
        <v>8</v>
      </c>
    </row>
    <row r="264" spans="1:22" x14ac:dyDescent="0.2">
      <c r="A264" t="s">
        <v>276</v>
      </c>
      <c r="B264" s="3">
        <v>45325</v>
      </c>
      <c r="C264" s="3">
        <v>45337</v>
      </c>
      <c r="D264">
        <f ca="1">IF(ISBLANK(Table14[[#This Row],[Discharge Date]]),TODAY()-Table14[[#This Row],[Admission Date]], Table14[[#This Row],[Discharge Date]]-Table14[[#This Row],[Admission Date]])</f>
        <v>12</v>
      </c>
      <c r="E264" s="6" t="str">
        <f>IF(Table14[[#This Row],[Discharge Date]]="","Still Admitted","Patient Discharged")</f>
        <v>Patient Discharged</v>
      </c>
      <c r="F264" s="6" t="str">
        <f>IF(WEEKDAY(Table14[[#This Row],[Admission Date]],2)&gt;5,"Weekend","Weekday")</f>
        <v>Weekend</v>
      </c>
      <c r="G264" t="s">
        <v>12</v>
      </c>
      <c r="H264">
        <v>84</v>
      </c>
      <c r="I264" t="str" cm="1">
        <f t="array" ref="I264">_xlfn.IFS(Table14[[#This Row],[Age]]&lt;18,"Children",Table14[[#This Row],[Age]]&lt;50,"Adult",Table14[[#This Row],[Age]]&gt;=50,"Elderly")</f>
        <v>Elderly</v>
      </c>
      <c r="J264" t="s">
        <v>546</v>
      </c>
      <c r="K264" s="7">
        <v>263670</v>
      </c>
      <c r="L264" s="2" t="str" cm="1">
        <f t="array" ref="L264">_xlfn.IFS(Table14[[#This Row],[Treatment Cost]]&lt;50000,"Low Billing",Table14[[#This Row],[Treatment Cost]]&lt;200000,"Moderate Billing",Table14[[#This Row],[Treatment Cost]]&gt;=200000,"High Billing")</f>
        <v>High Billing</v>
      </c>
      <c r="M264" t="s">
        <v>8</v>
      </c>
      <c r="N264" t="str">
        <f>IF(AND(Table14[[#This Row],[Outcome]]="Follow-up",Table14[[#This Row],[Admission Status]]="Patient Discharged"),"High Risk Patient","Low Risk Patient")</f>
        <v>High Risk Patient</v>
      </c>
      <c r="O264" t="str">
        <f>IFERROR(VLOOKUP(Table14[[#This Row],[Department]],Doctor_Info!A:D,2,FALSE), "")</f>
        <v>Dr. Temi</v>
      </c>
      <c r="P264" t="str">
        <f>IF(COUNTIF(A:A,Table14[[#This Row],[Patient ID]]&gt;1),"Returning Patient","New Patient")</f>
        <v>New Patient</v>
      </c>
      <c r="Q264" t="str">
        <f>_xlfn.XLOOKUP(Table14[[#This Row],[Department]], Doctor_Info!A:A, Doctor_Info!C:C, "")&amp;""</f>
        <v>502</v>
      </c>
      <c r="R264" t="str">
        <f>TEXT(Table14[[#This Row],[Admission Date]],"ddd")</f>
        <v>Sat</v>
      </c>
      <c r="S264" t="str">
        <f>TEXT(Table14[[#This Row],[Admission Date]],"mmm")</f>
        <v>Feb</v>
      </c>
      <c r="T264" t="str">
        <f>TEXT(Table14[[#This Row],[Admission Date]],"yyyy")</f>
        <v>2024</v>
      </c>
      <c r="U264" t="str">
        <f>TEXT(Table14[[#This Row],[Admission Date]],"mmm-yyyy")</f>
        <v>Feb-2024</v>
      </c>
      <c r="V264">
        <f t="shared" ca="1" si="4"/>
        <v>8</v>
      </c>
    </row>
    <row r="265" spans="1:22" x14ac:dyDescent="0.2">
      <c r="A265" t="s">
        <v>277</v>
      </c>
      <c r="B265" s="3">
        <v>45327</v>
      </c>
      <c r="C265" s="3">
        <v>45328</v>
      </c>
      <c r="D265">
        <f ca="1">IF(ISBLANK(Table14[[#This Row],[Discharge Date]]),TODAY()-Table14[[#This Row],[Admission Date]], Table14[[#This Row],[Discharge Date]]-Table14[[#This Row],[Admission Date]])</f>
        <v>1</v>
      </c>
      <c r="E265" s="6" t="str">
        <f>IF(Table14[[#This Row],[Discharge Date]]="","Still Admitted","Patient Discharged")</f>
        <v>Patient Discharged</v>
      </c>
      <c r="F265" s="6" t="str">
        <f>IF(WEEKDAY(Table14[[#This Row],[Admission Date]],2)&gt;5,"Weekend","Weekday")</f>
        <v>Weekday</v>
      </c>
      <c r="G265" t="s">
        <v>528</v>
      </c>
      <c r="H265">
        <v>86</v>
      </c>
      <c r="I265" t="str" cm="1">
        <f t="array" ref="I265">_xlfn.IFS(Table14[[#This Row],[Age]]&lt;18,"Children",Table14[[#This Row],[Age]]&lt;50,"Adult",Table14[[#This Row],[Age]]&gt;=50,"Elderly")</f>
        <v>Elderly</v>
      </c>
      <c r="J265" t="s">
        <v>547</v>
      </c>
      <c r="K265" s="7">
        <v>264640</v>
      </c>
      <c r="L265" s="2" t="str" cm="1">
        <f t="array" ref="L265">_xlfn.IFS(Table14[[#This Row],[Treatment Cost]]&lt;50000,"Low Billing",Table14[[#This Row],[Treatment Cost]]&lt;200000,"Moderate Billing",Table14[[#This Row],[Treatment Cost]]&gt;=200000,"High Billing")</f>
        <v>High Billing</v>
      </c>
      <c r="M265" t="s">
        <v>6</v>
      </c>
      <c r="N265" t="str">
        <f>IF(AND(Table14[[#This Row],[Outcome]]="Follow-up",Table14[[#This Row],[Admission Status]]="Patient Discharged"),"High Risk Patient","Low Risk Patient")</f>
        <v>Low Risk Patient</v>
      </c>
      <c r="O265" t="str">
        <f>IFERROR(VLOOKUP(Table14[[#This Row],[Department]],Doctor_Info!A:D,2,FALSE), "")</f>
        <v>Dr. Kofi</v>
      </c>
      <c r="P265" t="str">
        <f>IF(COUNTIF(A:A,Table14[[#This Row],[Patient ID]]&gt;1),"Returning Patient","New Patient")</f>
        <v>New Patient</v>
      </c>
      <c r="Q265" t="str">
        <f>_xlfn.XLOOKUP(Table14[[#This Row],[Department]], Doctor_Info!A:A, Doctor_Info!C:C, "")&amp;""</f>
        <v>102</v>
      </c>
      <c r="R265" t="str">
        <f>TEXT(Table14[[#This Row],[Admission Date]],"ddd")</f>
        <v>Mon</v>
      </c>
      <c r="S265" t="str">
        <f>TEXT(Table14[[#This Row],[Admission Date]],"mmm")</f>
        <v>Feb</v>
      </c>
      <c r="T265" t="str">
        <f>TEXT(Table14[[#This Row],[Admission Date]],"yyyy")</f>
        <v>2024</v>
      </c>
      <c r="U265" t="str">
        <f>TEXT(Table14[[#This Row],[Admission Date]],"mmm-yyyy")</f>
        <v>Feb-2024</v>
      </c>
      <c r="V265">
        <f t="shared" ca="1" si="4"/>
        <v>8</v>
      </c>
    </row>
    <row r="266" spans="1:22" x14ac:dyDescent="0.2">
      <c r="A266" t="s">
        <v>278</v>
      </c>
      <c r="B266" s="3">
        <v>45332</v>
      </c>
      <c r="D266">
        <f ca="1">IF(ISBLANK(Table14[[#This Row],[Discharge Date]]),TODAY()-Table14[[#This Row],[Admission Date]], Table14[[#This Row],[Discharge Date]]-Table14[[#This Row],[Admission Date]])</f>
        <v>806</v>
      </c>
      <c r="E266" s="6" t="str">
        <f>IF(Table14[[#This Row],[Discharge Date]]="","Still Admitted","Patient Discharged")</f>
        <v>Still Admitted</v>
      </c>
      <c r="F266" s="6" t="str">
        <f>IF(WEEKDAY(Table14[[#This Row],[Admission Date]],2)&gt;5,"Weekend","Weekday")</f>
        <v>Weekend</v>
      </c>
      <c r="G266" t="s">
        <v>10</v>
      </c>
      <c r="H266">
        <v>88</v>
      </c>
      <c r="I266" t="str" cm="1">
        <f t="array" ref="I266">_xlfn.IFS(Table14[[#This Row],[Age]]&lt;18,"Children",Table14[[#This Row],[Age]]&lt;50,"Adult",Table14[[#This Row],[Age]]&gt;=50,"Elderly")</f>
        <v>Elderly</v>
      </c>
      <c r="J266" t="s">
        <v>547</v>
      </c>
      <c r="K266" s="7">
        <v>265610</v>
      </c>
      <c r="L266" s="2" t="str" cm="1">
        <f t="array" ref="L266">_xlfn.IFS(Table14[[#This Row],[Treatment Cost]]&lt;50000,"Low Billing",Table14[[#This Row],[Treatment Cost]]&lt;200000,"Moderate Billing",Table14[[#This Row],[Treatment Cost]]&gt;=200000,"High Billing")</f>
        <v>High Billing</v>
      </c>
      <c r="M266" t="s">
        <v>403</v>
      </c>
      <c r="N266" t="str">
        <f>IF(AND(Table14[[#This Row],[Outcome]]="Follow-up",Table14[[#This Row],[Admission Status]]="Patient Discharged"),"High Risk Patient","Low Risk Patient")</f>
        <v>Low Risk Patient</v>
      </c>
      <c r="O266" t="str">
        <f>IFERROR(VLOOKUP(Table14[[#This Row],[Department]],Doctor_Info!A:D,2,FALSE), "")</f>
        <v>Dr. George</v>
      </c>
      <c r="P266" t="str">
        <f>IF(COUNTIF(A:A,Table14[[#This Row],[Patient ID]]&gt;1),"Returning Patient","New Patient")</f>
        <v>New Patient</v>
      </c>
      <c r="Q266" t="str">
        <f>_xlfn.XLOOKUP(Table14[[#This Row],[Department]], Doctor_Info!A:A, Doctor_Info!C:C, "")&amp;""</f>
        <v>405</v>
      </c>
      <c r="R266" t="str">
        <f>TEXT(Table14[[#This Row],[Admission Date]],"ddd")</f>
        <v>Sat</v>
      </c>
      <c r="S266" t="str">
        <f>TEXT(Table14[[#This Row],[Admission Date]],"mmm")</f>
        <v>Feb</v>
      </c>
      <c r="T266" t="str">
        <f>TEXT(Table14[[#This Row],[Admission Date]],"yyyy")</f>
        <v>2024</v>
      </c>
      <c r="U266" t="str">
        <f>TEXT(Table14[[#This Row],[Admission Date]],"mmm-yyyy")</f>
        <v>Feb-2024</v>
      </c>
      <c r="V266">
        <f t="shared" ca="1" si="4"/>
        <v>8</v>
      </c>
    </row>
    <row r="267" spans="1:22" x14ac:dyDescent="0.2">
      <c r="A267" t="s">
        <v>279</v>
      </c>
      <c r="B267" s="3">
        <v>45319</v>
      </c>
      <c r="C267" s="3">
        <v>45327</v>
      </c>
      <c r="D267">
        <f ca="1">IF(ISBLANK(Table14[[#This Row],[Discharge Date]]),TODAY()-Table14[[#This Row],[Admission Date]], Table14[[#This Row],[Discharge Date]]-Table14[[#This Row],[Admission Date]])</f>
        <v>8</v>
      </c>
      <c r="E267" s="6" t="str">
        <f>IF(Table14[[#This Row],[Discharge Date]]="","Still Admitted","Patient Discharged")</f>
        <v>Patient Discharged</v>
      </c>
      <c r="F267" s="6" t="str">
        <f>IF(WEEKDAY(Table14[[#This Row],[Admission Date]],2)&gt;5,"Weekend","Weekday")</f>
        <v>Weekend</v>
      </c>
      <c r="G267" t="s">
        <v>7</v>
      </c>
      <c r="H267">
        <v>90</v>
      </c>
      <c r="I267" t="str" cm="1">
        <f t="array" ref="I267">_xlfn.IFS(Table14[[#This Row],[Age]]&lt;18,"Children",Table14[[#This Row],[Age]]&lt;50,"Adult",Table14[[#This Row],[Age]]&gt;=50,"Elderly")</f>
        <v>Elderly</v>
      </c>
      <c r="J267" t="s">
        <v>546</v>
      </c>
      <c r="K267" s="7">
        <v>266580</v>
      </c>
      <c r="L267" s="2" t="str" cm="1">
        <f t="array" ref="L267">_xlfn.IFS(Table14[[#This Row],[Treatment Cost]]&lt;50000,"Low Billing",Table14[[#This Row],[Treatment Cost]]&lt;200000,"Moderate Billing",Table14[[#This Row],[Treatment Cost]]&gt;=200000,"High Billing")</f>
        <v>High Billing</v>
      </c>
      <c r="M267" t="s">
        <v>8</v>
      </c>
      <c r="N267" t="str">
        <f>IF(AND(Table14[[#This Row],[Outcome]]="Follow-up",Table14[[#This Row],[Admission Status]]="Patient Discharged"),"High Risk Patient","Low Risk Patient")</f>
        <v>High Risk Patient</v>
      </c>
      <c r="O267" t="str">
        <f>IFERROR(VLOOKUP(Table14[[#This Row],[Department]],Doctor_Info!A:D,2,FALSE), "")</f>
        <v>Dr. Ada</v>
      </c>
      <c r="P267" t="str">
        <f>IF(COUNTIF(A:A,Table14[[#This Row],[Patient ID]]&gt;1),"Returning Patient","New Patient")</f>
        <v>New Patient</v>
      </c>
      <c r="Q267" t="str">
        <f>_xlfn.XLOOKUP(Table14[[#This Row],[Department]], Doctor_Info!A:A, Doctor_Info!C:C, "")&amp;""</f>
        <v>301</v>
      </c>
      <c r="R267" t="str">
        <f>TEXT(Table14[[#This Row],[Admission Date]],"ddd")</f>
        <v>Sun</v>
      </c>
      <c r="S267" t="str">
        <f>TEXT(Table14[[#This Row],[Admission Date]],"mmm")</f>
        <v>Jan</v>
      </c>
      <c r="T267" t="str">
        <f>TEXT(Table14[[#This Row],[Admission Date]],"yyyy")</f>
        <v>2024</v>
      </c>
      <c r="U267" t="str">
        <f>TEXT(Table14[[#This Row],[Admission Date]],"mmm-yyyy")</f>
        <v>Jan-2024</v>
      </c>
      <c r="V267">
        <f t="shared" ca="1" si="4"/>
        <v>8</v>
      </c>
    </row>
    <row r="268" spans="1:22" x14ac:dyDescent="0.2">
      <c r="A268" t="s">
        <v>280</v>
      </c>
      <c r="B268" s="3">
        <v>45323</v>
      </c>
      <c r="C268" s="3">
        <v>45324</v>
      </c>
      <c r="D268">
        <f ca="1">IF(ISBLANK(Table14[[#This Row],[Discharge Date]]),TODAY()-Table14[[#This Row],[Admission Date]], Table14[[#This Row],[Discharge Date]]-Table14[[#This Row],[Admission Date]])</f>
        <v>1</v>
      </c>
      <c r="E268" s="6" t="str">
        <f>IF(Table14[[#This Row],[Discharge Date]]="","Still Admitted","Patient Discharged")</f>
        <v>Patient Discharged</v>
      </c>
      <c r="F268" s="6" t="str">
        <f>IF(WEEKDAY(Table14[[#This Row],[Admission Date]],2)&gt;5,"Weekend","Weekday")</f>
        <v>Weekday</v>
      </c>
      <c r="G268" t="s">
        <v>528</v>
      </c>
      <c r="H268">
        <v>92</v>
      </c>
      <c r="I268" t="str" cm="1">
        <f t="array" ref="I268">_xlfn.IFS(Table14[[#This Row],[Age]]&lt;18,"Children",Table14[[#This Row],[Age]]&lt;50,"Adult",Table14[[#This Row],[Age]]&gt;=50,"Elderly")</f>
        <v>Elderly</v>
      </c>
      <c r="J268" t="s">
        <v>547</v>
      </c>
      <c r="K268" s="7">
        <v>267550</v>
      </c>
      <c r="L268" s="2" t="str" cm="1">
        <f t="array" ref="L268">_xlfn.IFS(Table14[[#This Row],[Treatment Cost]]&lt;50000,"Low Billing",Table14[[#This Row],[Treatment Cost]]&lt;200000,"Moderate Billing",Table14[[#This Row],[Treatment Cost]]&gt;=200000,"High Billing")</f>
        <v>High Billing</v>
      </c>
      <c r="M268" t="s">
        <v>6</v>
      </c>
      <c r="N268" t="str">
        <f>IF(AND(Table14[[#This Row],[Outcome]]="Follow-up",Table14[[#This Row],[Admission Status]]="Patient Discharged"),"High Risk Patient","Low Risk Patient")</f>
        <v>Low Risk Patient</v>
      </c>
      <c r="O268" t="str">
        <f>IFERROR(VLOOKUP(Table14[[#This Row],[Department]],Doctor_Info!A:D,2,FALSE), "")</f>
        <v>Dr. Kofi</v>
      </c>
      <c r="P268" t="str">
        <f>IF(COUNTIF(A:A,Table14[[#This Row],[Patient ID]]&gt;1),"Returning Patient","New Patient")</f>
        <v>New Patient</v>
      </c>
      <c r="Q268" t="str">
        <f>_xlfn.XLOOKUP(Table14[[#This Row],[Department]], Doctor_Info!A:A, Doctor_Info!C:C, "")&amp;""</f>
        <v>102</v>
      </c>
      <c r="R268" t="str">
        <f>TEXT(Table14[[#This Row],[Admission Date]],"ddd")</f>
        <v>Thu</v>
      </c>
      <c r="S268" t="str">
        <f>TEXT(Table14[[#This Row],[Admission Date]],"mmm")</f>
        <v>Feb</v>
      </c>
      <c r="T268" t="str">
        <f>TEXT(Table14[[#This Row],[Admission Date]],"yyyy")</f>
        <v>2024</v>
      </c>
      <c r="U268" t="str">
        <f>TEXT(Table14[[#This Row],[Admission Date]],"mmm-yyyy")</f>
        <v>Feb-2024</v>
      </c>
      <c r="V268">
        <f t="shared" ca="1" si="4"/>
        <v>8</v>
      </c>
    </row>
    <row r="269" spans="1:22" x14ac:dyDescent="0.2">
      <c r="A269" t="s">
        <v>281</v>
      </c>
      <c r="B269" s="3">
        <v>45325</v>
      </c>
      <c r="C269" s="3">
        <v>45337</v>
      </c>
      <c r="D269">
        <f ca="1">IF(ISBLANK(Table14[[#This Row],[Discharge Date]]),TODAY()-Table14[[#This Row],[Admission Date]], Table14[[#This Row],[Discharge Date]]-Table14[[#This Row],[Admission Date]])</f>
        <v>12</v>
      </c>
      <c r="E269" s="6" t="str">
        <f>IF(Table14[[#This Row],[Discharge Date]]="","Still Admitted","Patient Discharged")</f>
        <v>Patient Discharged</v>
      </c>
      <c r="F269" s="6" t="str">
        <f>IF(WEEKDAY(Table14[[#This Row],[Admission Date]],2)&gt;5,"Weekend","Weekday")</f>
        <v>Weekend</v>
      </c>
      <c r="G269" t="s">
        <v>12</v>
      </c>
      <c r="H269">
        <v>94</v>
      </c>
      <c r="I269" t="str" cm="1">
        <f t="array" ref="I269">_xlfn.IFS(Table14[[#This Row],[Age]]&lt;18,"Children",Table14[[#This Row],[Age]]&lt;50,"Adult",Table14[[#This Row],[Age]]&gt;=50,"Elderly")</f>
        <v>Elderly</v>
      </c>
      <c r="J269" t="s">
        <v>546</v>
      </c>
      <c r="K269" s="7">
        <v>268520</v>
      </c>
      <c r="L269" s="2" t="str" cm="1">
        <f t="array" ref="L269">_xlfn.IFS(Table14[[#This Row],[Treatment Cost]]&lt;50000,"Low Billing",Table14[[#This Row],[Treatment Cost]]&lt;200000,"Moderate Billing",Table14[[#This Row],[Treatment Cost]]&gt;=200000,"High Billing")</f>
        <v>High Billing</v>
      </c>
      <c r="M269" t="s">
        <v>8</v>
      </c>
      <c r="N269" t="str">
        <f>IF(AND(Table14[[#This Row],[Outcome]]="Follow-up",Table14[[#This Row],[Admission Status]]="Patient Discharged"),"High Risk Patient","Low Risk Patient")</f>
        <v>High Risk Patient</v>
      </c>
      <c r="O269" t="str">
        <f>IFERROR(VLOOKUP(Table14[[#This Row],[Department]],Doctor_Info!A:D,2,FALSE), "")</f>
        <v>Dr. Temi</v>
      </c>
      <c r="P269" t="str">
        <f>IF(COUNTIF(A:A,Table14[[#This Row],[Patient ID]]&gt;1),"Returning Patient","New Patient")</f>
        <v>New Patient</v>
      </c>
      <c r="Q269" t="str">
        <f>_xlfn.XLOOKUP(Table14[[#This Row],[Department]], Doctor_Info!A:A, Doctor_Info!C:C, "")&amp;""</f>
        <v>502</v>
      </c>
      <c r="R269" t="str">
        <f>TEXT(Table14[[#This Row],[Admission Date]],"ddd")</f>
        <v>Sat</v>
      </c>
      <c r="S269" t="str">
        <f>TEXT(Table14[[#This Row],[Admission Date]],"mmm")</f>
        <v>Feb</v>
      </c>
      <c r="T269" t="str">
        <f>TEXT(Table14[[#This Row],[Admission Date]],"yyyy")</f>
        <v>2024</v>
      </c>
      <c r="U269" t="str">
        <f>TEXT(Table14[[#This Row],[Admission Date]],"mmm-yyyy")</f>
        <v>Feb-2024</v>
      </c>
      <c r="V269">
        <f t="shared" ca="1" si="4"/>
        <v>8</v>
      </c>
    </row>
    <row r="270" spans="1:22" x14ac:dyDescent="0.2">
      <c r="A270" t="s">
        <v>282</v>
      </c>
      <c r="B270" s="3">
        <v>45327</v>
      </c>
      <c r="C270" s="3">
        <v>45328</v>
      </c>
      <c r="D270">
        <f ca="1">IF(ISBLANK(Table14[[#This Row],[Discharge Date]]),TODAY()-Table14[[#This Row],[Admission Date]], Table14[[#This Row],[Discharge Date]]-Table14[[#This Row],[Admission Date]])</f>
        <v>1</v>
      </c>
      <c r="E270" s="6" t="str">
        <f>IF(Table14[[#This Row],[Discharge Date]]="","Still Admitted","Patient Discharged")</f>
        <v>Patient Discharged</v>
      </c>
      <c r="F270" s="6" t="str">
        <f>IF(WEEKDAY(Table14[[#This Row],[Admission Date]],2)&gt;5,"Weekend","Weekday")</f>
        <v>Weekday</v>
      </c>
      <c r="G270" t="s">
        <v>528</v>
      </c>
      <c r="H270">
        <v>96</v>
      </c>
      <c r="I270" t="str" cm="1">
        <f t="array" ref="I270">_xlfn.IFS(Table14[[#This Row],[Age]]&lt;18,"Children",Table14[[#This Row],[Age]]&lt;50,"Adult",Table14[[#This Row],[Age]]&gt;=50,"Elderly")</f>
        <v>Elderly</v>
      </c>
      <c r="J270" t="s">
        <v>547</v>
      </c>
      <c r="K270" s="7">
        <v>269490</v>
      </c>
      <c r="L270" s="2" t="str" cm="1">
        <f t="array" ref="L270">_xlfn.IFS(Table14[[#This Row],[Treatment Cost]]&lt;50000,"Low Billing",Table14[[#This Row],[Treatment Cost]]&lt;200000,"Moderate Billing",Table14[[#This Row],[Treatment Cost]]&gt;=200000,"High Billing")</f>
        <v>High Billing</v>
      </c>
      <c r="M270" t="s">
        <v>6</v>
      </c>
      <c r="N270" t="str">
        <f>IF(AND(Table14[[#This Row],[Outcome]]="Follow-up",Table14[[#This Row],[Admission Status]]="Patient Discharged"),"High Risk Patient","Low Risk Patient")</f>
        <v>Low Risk Patient</v>
      </c>
      <c r="O270" t="str">
        <f>IFERROR(VLOOKUP(Table14[[#This Row],[Department]],Doctor_Info!A:D,2,FALSE), "")</f>
        <v>Dr. Kofi</v>
      </c>
      <c r="P270" t="str">
        <f>IF(COUNTIF(A:A,Table14[[#This Row],[Patient ID]]&gt;1),"Returning Patient","New Patient")</f>
        <v>New Patient</v>
      </c>
      <c r="Q270" t="str">
        <f>_xlfn.XLOOKUP(Table14[[#This Row],[Department]], Doctor_Info!A:A, Doctor_Info!C:C, "")&amp;""</f>
        <v>102</v>
      </c>
      <c r="R270" t="str">
        <f>TEXT(Table14[[#This Row],[Admission Date]],"ddd")</f>
        <v>Mon</v>
      </c>
      <c r="S270" t="str">
        <f>TEXT(Table14[[#This Row],[Admission Date]],"mmm")</f>
        <v>Feb</v>
      </c>
      <c r="T270" t="str">
        <f>TEXT(Table14[[#This Row],[Admission Date]],"yyyy")</f>
        <v>2024</v>
      </c>
      <c r="U270" t="str">
        <f>TEXT(Table14[[#This Row],[Admission Date]],"mmm-yyyy")</f>
        <v>Feb-2024</v>
      </c>
      <c r="V270">
        <f t="shared" ca="1" si="4"/>
        <v>8</v>
      </c>
    </row>
    <row r="271" spans="1:22" x14ac:dyDescent="0.2">
      <c r="A271" t="s">
        <v>283</v>
      </c>
      <c r="B271" s="3">
        <v>45332</v>
      </c>
      <c r="D271">
        <f ca="1">IF(ISBLANK(Table14[[#This Row],[Discharge Date]]),TODAY()-Table14[[#This Row],[Admission Date]], Table14[[#This Row],[Discharge Date]]-Table14[[#This Row],[Admission Date]])</f>
        <v>806</v>
      </c>
      <c r="E271" s="6" t="str">
        <f>IF(Table14[[#This Row],[Discharge Date]]="","Still Admitted","Patient Discharged")</f>
        <v>Still Admitted</v>
      </c>
      <c r="F271" s="6" t="str">
        <f>IF(WEEKDAY(Table14[[#This Row],[Admission Date]],2)&gt;5,"Weekend","Weekday")</f>
        <v>Weekend</v>
      </c>
      <c r="G271" t="s">
        <v>10</v>
      </c>
      <c r="H271">
        <v>98</v>
      </c>
      <c r="I271" t="str" cm="1">
        <f t="array" ref="I271">_xlfn.IFS(Table14[[#This Row],[Age]]&lt;18,"Children",Table14[[#This Row],[Age]]&lt;50,"Adult",Table14[[#This Row],[Age]]&gt;=50,"Elderly")</f>
        <v>Elderly</v>
      </c>
      <c r="J271" t="s">
        <v>547</v>
      </c>
      <c r="K271" s="7">
        <v>270460</v>
      </c>
      <c r="L271" s="2" t="str" cm="1">
        <f t="array" ref="L271">_xlfn.IFS(Table14[[#This Row],[Treatment Cost]]&lt;50000,"Low Billing",Table14[[#This Row],[Treatment Cost]]&lt;200000,"Moderate Billing",Table14[[#This Row],[Treatment Cost]]&gt;=200000,"High Billing")</f>
        <v>High Billing</v>
      </c>
      <c r="M271" t="s">
        <v>403</v>
      </c>
      <c r="N271" t="str">
        <f>IF(AND(Table14[[#This Row],[Outcome]]="Follow-up",Table14[[#This Row],[Admission Status]]="Patient Discharged"),"High Risk Patient","Low Risk Patient")</f>
        <v>Low Risk Patient</v>
      </c>
      <c r="O271" t="str">
        <f>IFERROR(VLOOKUP(Table14[[#This Row],[Department]],Doctor_Info!A:D,2,FALSE), "")</f>
        <v>Dr. George</v>
      </c>
      <c r="P271" t="str">
        <f>IF(COUNTIF(A:A,Table14[[#This Row],[Patient ID]]&gt;1),"Returning Patient","New Patient")</f>
        <v>New Patient</v>
      </c>
      <c r="Q271" t="str">
        <f>_xlfn.XLOOKUP(Table14[[#This Row],[Department]], Doctor_Info!A:A, Doctor_Info!C:C, "")&amp;""</f>
        <v>405</v>
      </c>
      <c r="R271" t="str">
        <f>TEXT(Table14[[#This Row],[Admission Date]],"ddd")</f>
        <v>Sat</v>
      </c>
      <c r="S271" t="str">
        <f>TEXT(Table14[[#This Row],[Admission Date]],"mmm")</f>
        <v>Feb</v>
      </c>
      <c r="T271" t="str">
        <f>TEXT(Table14[[#This Row],[Admission Date]],"yyyy")</f>
        <v>2024</v>
      </c>
      <c r="U271" t="str">
        <f>TEXT(Table14[[#This Row],[Admission Date]],"mmm-yyyy")</f>
        <v>Feb-2024</v>
      </c>
      <c r="V271">
        <f t="shared" ca="1" si="4"/>
        <v>8</v>
      </c>
    </row>
    <row r="272" spans="1:22" x14ac:dyDescent="0.2">
      <c r="A272" t="s">
        <v>284</v>
      </c>
      <c r="B272" s="3">
        <v>45319</v>
      </c>
      <c r="C272" s="3">
        <v>45327</v>
      </c>
      <c r="D272">
        <f ca="1">IF(ISBLANK(Table14[[#This Row],[Discharge Date]]),TODAY()-Table14[[#This Row],[Admission Date]], Table14[[#This Row],[Discharge Date]]-Table14[[#This Row],[Admission Date]])</f>
        <v>8</v>
      </c>
      <c r="E272" s="6" t="str">
        <f>IF(Table14[[#This Row],[Discharge Date]]="","Still Admitted","Patient Discharged")</f>
        <v>Patient Discharged</v>
      </c>
      <c r="F272" s="6" t="str">
        <f>IF(WEEKDAY(Table14[[#This Row],[Admission Date]],2)&gt;5,"Weekend","Weekday")</f>
        <v>Weekend</v>
      </c>
      <c r="G272" t="s">
        <v>7</v>
      </c>
      <c r="H272">
        <v>100</v>
      </c>
      <c r="I272" t="str" cm="1">
        <f t="array" ref="I272">_xlfn.IFS(Table14[[#This Row],[Age]]&lt;18,"Children",Table14[[#This Row],[Age]]&lt;50,"Adult",Table14[[#This Row],[Age]]&gt;=50,"Elderly")</f>
        <v>Elderly</v>
      </c>
      <c r="J272" t="s">
        <v>546</v>
      </c>
      <c r="K272" s="7">
        <v>271430</v>
      </c>
      <c r="L272" s="2" t="str" cm="1">
        <f t="array" ref="L272">_xlfn.IFS(Table14[[#This Row],[Treatment Cost]]&lt;50000,"Low Billing",Table14[[#This Row],[Treatment Cost]]&lt;200000,"Moderate Billing",Table14[[#This Row],[Treatment Cost]]&gt;=200000,"High Billing")</f>
        <v>High Billing</v>
      </c>
      <c r="M272" t="s">
        <v>8</v>
      </c>
      <c r="N272" t="str">
        <f>IF(AND(Table14[[#This Row],[Outcome]]="Follow-up",Table14[[#This Row],[Admission Status]]="Patient Discharged"),"High Risk Patient","Low Risk Patient")</f>
        <v>High Risk Patient</v>
      </c>
      <c r="O272" t="str">
        <f>IFERROR(VLOOKUP(Table14[[#This Row],[Department]],Doctor_Info!A:D,2,FALSE), "")</f>
        <v>Dr. Ada</v>
      </c>
      <c r="P272" t="str">
        <f>IF(COUNTIF(A:A,Table14[[#This Row],[Patient ID]]&gt;1),"Returning Patient","New Patient")</f>
        <v>New Patient</v>
      </c>
      <c r="Q272" t="str">
        <f>_xlfn.XLOOKUP(Table14[[#This Row],[Department]], Doctor_Info!A:A, Doctor_Info!C:C, "")&amp;""</f>
        <v>301</v>
      </c>
      <c r="R272" t="str">
        <f>TEXT(Table14[[#This Row],[Admission Date]],"ddd")</f>
        <v>Sun</v>
      </c>
      <c r="S272" t="str">
        <f>TEXT(Table14[[#This Row],[Admission Date]],"mmm")</f>
        <v>Jan</v>
      </c>
      <c r="T272" t="str">
        <f>TEXT(Table14[[#This Row],[Admission Date]],"yyyy")</f>
        <v>2024</v>
      </c>
      <c r="U272" t="str">
        <f>TEXT(Table14[[#This Row],[Admission Date]],"mmm-yyyy")</f>
        <v>Jan-2024</v>
      </c>
      <c r="V272">
        <f t="shared" ca="1" si="4"/>
        <v>8</v>
      </c>
    </row>
    <row r="273" spans="1:22" x14ac:dyDescent="0.2">
      <c r="A273" t="s">
        <v>285</v>
      </c>
      <c r="B273" s="3">
        <v>45323</v>
      </c>
      <c r="C273" s="3">
        <v>45324</v>
      </c>
      <c r="D273">
        <f ca="1">IF(ISBLANK(Table14[[#This Row],[Discharge Date]]),TODAY()-Table14[[#This Row],[Admission Date]], Table14[[#This Row],[Discharge Date]]-Table14[[#This Row],[Admission Date]])</f>
        <v>1</v>
      </c>
      <c r="E273" s="6" t="str">
        <f>IF(Table14[[#This Row],[Discharge Date]]="","Still Admitted","Patient Discharged")</f>
        <v>Patient Discharged</v>
      </c>
      <c r="F273" s="6" t="str">
        <f>IF(WEEKDAY(Table14[[#This Row],[Admission Date]],2)&gt;5,"Weekend","Weekday")</f>
        <v>Weekday</v>
      </c>
      <c r="G273" t="s">
        <v>528</v>
      </c>
      <c r="H273">
        <v>2</v>
      </c>
      <c r="I273" t="str" cm="1">
        <f t="array" ref="I273">_xlfn.IFS(Table14[[#This Row],[Age]]&lt;18,"Children",Table14[[#This Row],[Age]]&lt;50,"Adult",Table14[[#This Row],[Age]]&gt;=50,"Elderly")</f>
        <v>Children</v>
      </c>
      <c r="J273" t="s">
        <v>547</v>
      </c>
      <c r="K273" s="7">
        <v>272400</v>
      </c>
      <c r="L273" s="2" t="str" cm="1">
        <f t="array" ref="L273">_xlfn.IFS(Table14[[#This Row],[Treatment Cost]]&lt;50000,"Low Billing",Table14[[#This Row],[Treatment Cost]]&lt;200000,"Moderate Billing",Table14[[#This Row],[Treatment Cost]]&gt;=200000,"High Billing")</f>
        <v>High Billing</v>
      </c>
      <c r="M273" t="s">
        <v>6</v>
      </c>
      <c r="N273" t="str">
        <f>IF(AND(Table14[[#This Row],[Outcome]]="Follow-up",Table14[[#This Row],[Admission Status]]="Patient Discharged"),"High Risk Patient","Low Risk Patient")</f>
        <v>Low Risk Patient</v>
      </c>
      <c r="O273" t="str">
        <f>IFERROR(VLOOKUP(Table14[[#This Row],[Department]],Doctor_Info!A:D,2,FALSE), "")</f>
        <v>Dr. Kofi</v>
      </c>
      <c r="P273" t="str">
        <f>IF(COUNTIF(A:A,Table14[[#This Row],[Patient ID]]&gt;1),"Returning Patient","New Patient")</f>
        <v>New Patient</v>
      </c>
      <c r="Q273" t="str">
        <f>_xlfn.XLOOKUP(Table14[[#This Row],[Department]], Doctor_Info!A:A, Doctor_Info!C:C, "")&amp;""</f>
        <v>102</v>
      </c>
      <c r="R273" t="str">
        <f>TEXT(Table14[[#This Row],[Admission Date]],"ddd")</f>
        <v>Thu</v>
      </c>
      <c r="S273" t="str">
        <f>TEXT(Table14[[#This Row],[Admission Date]],"mmm")</f>
        <v>Feb</v>
      </c>
      <c r="T273" t="str">
        <f>TEXT(Table14[[#This Row],[Admission Date]],"yyyy")</f>
        <v>2024</v>
      </c>
      <c r="U273" t="str">
        <f>TEXT(Table14[[#This Row],[Admission Date]],"mmm-yyyy")</f>
        <v>Feb-2024</v>
      </c>
      <c r="V273">
        <f t="shared" ca="1" si="4"/>
        <v>8</v>
      </c>
    </row>
    <row r="274" spans="1:22" x14ac:dyDescent="0.2">
      <c r="A274" t="s">
        <v>286</v>
      </c>
      <c r="B274" s="3">
        <v>45325</v>
      </c>
      <c r="C274" s="3">
        <v>45337</v>
      </c>
      <c r="D274">
        <f ca="1">IF(ISBLANK(Table14[[#This Row],[Discharge Date]]),TODAY()-Table14[[#This Row],[Admission Date]], Table14[[#This Row],[Discharge Date]]-Table14[[#This Row],[Admission Date]])</f>
        <v>12</v>
      </c>
      <c r="E274" s="6" t="str">
        <f>IF(Table14[[#This Row],[Discharge Date]]="","Still Admitted","Patient Discharged")</f>
        <v>Patient Discharged</v>
      </c>
      <c r="F274" s="6" t="str">
        <f>IF(WEEKDAY(Table14[[#This Row],[Admission Date]],2)&gt;5,"Weekend","Weekday")</f>
        <v>Weekend</v>
      </c>
      <c r="G274" t="s">
        <v>12</v>
      </c>
      <c r="H274">
        <v>4</v>
      </c>
      <c r="I274" t="str" cm="1">
        <f t="array" ref="I274">_xlfn.IFS(Table14[[#This Row],[Age]]&lt;18,"Children",Table14[[#This Row],[Age]]&lt;50,"Adult",Table14[[#This Row],[Age]]&gt;=50,"Elderly")</f>
        <v>Children</v>
      </c>
      <c r="J274" t="s">
        <v>546</v>
      </c>
      <c r="K274" s="7">
        <v>273370</v>
      </c>
      <c r="L274" s="2" t="str" cm="1">
        <f t="array" ref="L274">_xlfn.IFS(Table14[[#This Row],[Treatment Cost]]&lt;50000,"Low Billing",Table14[[#This Row],[Treatment Cost]]&lt;200000,"Moderate Billing",Table14[[#This Row],[Treatment Cost]]&gt;=200000,"High Billing")</f>
        <v>High Billing</v>
      </c>
      <c r="M274" t="s">
        <v>8</v>
      </c>
      <c r="N274" t="str">
        <f>IF(AND(Table14[[#This Row],[Outcome]]="Follow-up",Table14[[#This Row],[Admission Status]]="Patient Discharged"),"High Risk Patient","Low Risk Patient")</f>
        <v>High Risk Patient</v>
      </c>
      <c r="O274" t="str">
        <f>IFERROR(VLOOKUP(Table14[[#This Row],[Department]],Doctor_Info!A:D,2,FALSE), "")</f>
        <v>Dr. Temi</v>
      </c>
      <c r="P274" t="str">
        <f>IF(COUNTIF(A:A,Table14[[#This Row],[Patient ID]]&gt;1),"Returning Patient","New Patient")</f>
        <v>New Patient</v>
      </c>
      <c r="Q274" t="str">
        <f>_xlfn.XLOOKUP(Table14[[#This Row],[Department]], Doctor_Info!A:A, Doctor_Info!C:C, "")&amp;""</f>
        <v>502</v>
      </c>
      <c r="R274" t="str">
        <f>TEXT(Table14[[#This Row],[Admission Date]],"ddd")</f>
        <v>Sat</v>
      </c>
      <c r="S274" t="str">
        <f>TEXT(Table14[[#This Row],[Admission Date]],"mmm")</f>
        <v>Feb</v>
      </c>
      <c r="T274" t="str">
        <f>TEXT(Table14[[#This Row],[Admission Date]],"yyyy")</f>
        <v>2024</v>
      </c>
      <c r="U274" t="str">
        <f>TEXT(Table14[[#This Row],[Admission Date]],"mmm-yyyy")</f>
        <v>Feb-2024</v>
      </c>
      <c r="V274">
        <f t="shared" ca="1" si="4"/>
        <v>8</v>
      </c>
    </row>
    <row r="275" spans="1:22" x14ac:dyDescent="0.2">
      <c r="A275" t="s">
        <v>287</v>
      </c>
      <c r="B275" s="3">
        <v>45327</v>
      </c>
      <c r="C275" s="3">
        <v>45328</v>
      </c>
      <c r="D275">
        <f ca="1">IF(ISBLANK(Table14[[#This Row],[Discharge Date]]),TODAY()-Table14[[#This Row],[Admission Date]], Table14[[#This Row],[Discharge Date]]-Table14[[#This Row],[Admission Date]])</f>
        <v>1</v>
      </c>
      <c r="E275" s="6" t="str">
        <f>IF(Table14[[#This Row],[Discharge Date]]="","Still Admitted","Patient Discharged")</f>
        <v>Patient Discharged</v>
      </c>
      <c r="F275" s="6" t="str">
        <f>IF(WEEKDAY(Table14[[#This Row],[Admission Date]],2)&gt;5,"Weekend","Weekday")</f>
        <v>Weekday</v>
      </c>
      <c r="G275" t="s">
        <v>528</v>
      </c>
      <c r="H275">
        <v>6</v>
      </c>
      <c r="I275" t="str" cm="1">
        <f t="array" ref="I275">_xlfn.IFS(Table14[[#This Row],[Age]]&lt;18,"Children",Table14[[#This Row],[Age]]&lt;50,"Adult",Table14[[#This Row],[Age]]&gt;=50,"Elderly")</f>
        <v>Children</v>
      </c>
      <c r="J275" t="s">
        <v>547</v>
      </c>
      <c r="K275" s="7">
        <v>274340</v>
      </c>
      <c r="L275" s="2" t="str" cm="1">
        <f t="array" ref="L275">_xlfn.IFS(Table14[[#This Row],[Treatment Cost]]&lt;50000,"Low Billing",Table14[[#This Row],[Treatment Cost]]&lt;200000,"Moderate Billing",Table14[[#This Row],[Treatment Cost]]&gt;=200000,"High Billing")</f>
        <v>High Billing</v>
      </c>
      <c r="M275" t="s">
        <v>6</v>
      </c>
      <c r="N275" t="str">
        <f>IF(AND(Table14[[#This Row],[Outcome]]="Follow-up",Table14[[#This Row],[Admission Status]]="Patient Discharged"),"High Risk Patient","Low Risk Patient")</f>
        <v>Low Risk Patient</v>
      </c>
      <c r="O275" t="str">
        <f>IFERROR(VLOOKUP(Table14[[#This Row],[Department]],Doctor_Info!A:D,2,FALSE), "")</f>
        <v>Dr. Kofi</v>
      </c>
      <c r="P275" t="str">
        <f>IF(COUNTIF(A:A,Table14[[#This Row],[Patient ID]]&gt;1),"Returning Patient","New Patient")</f>
        <v>New Patient</v>
      </c>
      <c r="Q275" t="str">
        <f>_xlfn.XLOOKUP(Table14[[#This Row],[Department]], Doctor_Info!A:A, Doctor_Info!C:C, "")&amp;""</f>
        <v>102</v>
      </c>
      <c r="R275" t="str">
        <f>TEXT(Table14[[#This Row],[Admission Date]],"ddd")</f>
        <v>Mon</v>
      </c>
      <c r="S275" t="str">
        <f>TEXT(Table14[[#This Row],[Admission Date]],"mmm")</f>
        <v>Feb</v>
      </c>
      <c r="T275" t="str">
        <f>TEXT(Table14[[#This Row],[Admission Date]],"yyyy")</f>
        <v>2024</v>
      </c>
      <c r="U275" t="str">
        <f>TEXT(Table14[[#This Row],[Admission Date]],"mmm-yyyy")</f>
        <v>Feb-2024</v>
      </c>
      <c r="V275">
        <f t="shared" ca="1" si="4"/>
        <v>8</v>
      </c>
    </row>
    <row r="276" spans="1:22" x14ac:dyDescent="0.2">
      <c r="A276" t="s">
        <v>288</v>
      </c>
      <c r="B276" s="3">
        <v>45332</v>
      </c>
      <c r="D276">
        <f ca="1">IF(ISBLANK(Table14[[#This Row],[Discharge Date]]),TODAY()-Table14[[#This Row],[Admission Date]], Table14[[#This Row],[Discharge Date]]-Table14[[#This Row],[Admission Date]])</f>
        <v>806</v>
      </c>
      <c r="E276" s="6" t="str">
        <f>IF(Table14[[#This Row],[Discharge Date]]="","Still Admitted","Patient Discharged")</f>
        <v>Still Admitted</v>
      </c>
      <c r="F276" s="6" t="str">
        <f>IF(WEEKDAY(Table14[[#This Row],[Admission Date]],2)&gt;5,"Weekend","Weekday")</f>
        <v>Weekend</v>
      </c>
      <c r="G276" t="s">
        <v>10</v>
      </c>
      <c r="H276">
        <v>8</v>
      </c>
      <c r="I276" t="str" cm="1">
        <f t="array" ref="I276">_xlfn.IFS(Table14[[#This Row],[Age]]&lt;18,"Children",Table14[[#This Row],[Age]]&lt;50,"Adult",Table14[[#This Row],[Age]]&gt;=50,"Elderly")</f>
        <v>Children</v>
      </c>
      <c r="J276" t="s">
        <v>547</v>
      </c>
      <c r="K276" s="7">
        <v>275310</v>
      </c>
      <c r="L276" s="2" t="str" cm="1">
        <f t="array" ref="L276">_xlfn.IFS(Table14[[#This Row],[Treatment Cost]]&lt;50000,"Low Billing",Table14[[#This Row],[Treatment Cost]]&lt;200000,"Moderate Billing",Table14[[#This Row],[Treatment Cost]]&gt;=200000,"High Billing")</f>
        <v>High Billing</v>
      </c>
      <c r="M276" t="s">
        <v>403</v>
      </c>
      <c r="N276" t="str">
        <f>IF(AND(Table14[[#This Row],[Outcome]]="Follow-up",Table14[[#This Row],[Admission Status]]="Patient Discharged"),"High Risk Patient","Low Risk Patient")</f>
        <v>Low Risk Patient</v>
      </c>
      <c r="O276" t="str">
        <f>IFERROR(VLOOKUP(Table14[[#This Row],[Department]],Doctor_Info!A:D,2,FALSE), "")</f>
        <v>Dr. George</v>
      </c>
      <c r="P276" t="str">
        <f>IF(COUNTIF(A:A,Table14[[#This Row],[Patient ID]]&gt;1),"Returning Patient","New Patient")</f>
        <v>New Patient</v>
      </c>
      <c r="Q276" t="str">
        <f>_xlfn.XLOOKUP(Table14[[#This Row],[Department]], Doctor_Info!A:A, Doctor_Info!C:C, "")&amp;""</f>
        <v>405</v>
      </c>
      <c r="R276" t="str">
        <f>TEXT(Table14[[#This Row],[Admission Date]],"ddd")</f>
        <v>Sat</v>
      </c>
      <c r="S276" t="str">
        <f>TEXT(Table14[[#This Row],[Admission Date]],"mmm")</f>
        <v>Feb</v>
      </c>
      <c r="T276" t="str">
        <f>TEXT(Table14[[#This Row],[Admission Date]],"yyyy")</f>
        <v>2024</v>
      </c>
      <c r="U276" t="str">
        <f>TEXT(Table14[[#This Row],[Admission Date]],"mmm-yyyy")</f>
        <v>Feb-2024</v>
      </c>
      <c r="V276">
        <f t="shared" ca="1" si="4"/>
        <v>8</v>
      </c>
    </row>
    <row r="277" spans="1:22" x14ac:dyDescent="0.2">
      <c r="A277" t="s">
        <v>289</v>
      </c>
      <c r="B277" s="3">
        <v>45319</v>
      </c>
      <c r="C277" s="3">
        <v>45327</v>
      </c>
      <c r="D277">
        <f ca="1">IF(ISBLANK(Table14[[#This Row],[Discharge Date]]),TODAY()-Table14[[#This Row],[Admission Date]], Table14[[#This Row],[Discharge Date]]-Table14[[#This Row],[Admission Date]])</f>
        <v>8</v>
      </c>
      <c r="E277" s="6" t="str">
        <f>IF(Table14[[#This Row],[Discharge Date]]="","Still Admitted","Patient Discharged")</f>
        <v>Patient Discharged</v>
      </c>
      <c r="F277" s="6" t="str">
        <f>IF(WEEKDAY(Table14[[#This Row],[Admission Date]],2)&gt;5,"Weekend","Weekday")</f>
        <v>Weekend</v>
      </c>
      <c r="G277" t="s">
        <v>7</v>
      </c>
      <c r="H277">
        <v>10</v>
      </c>
      <c r="I277" t="str" cm="1">
        <f t="array" ref="I277">_xlfn.IFS(Table14[[#This Row],[Age]]&lt;18,"Children",Table14[[#This Row],[Age]]&lt;50,"Adult",Table14[[#This Row],[Age]]&gt;=50,"Elderly")</f>
        <v>Children</v>
      </c>
      <c r="J277" t="s">
        <v>546</v>
      </c>
      <c r="K277" s="7">
        <v>276280</v>
      </c>
      <c r="L277" s="2" t="str" cm="1">
        <f t="array" ref="L277">_xlfn.IFS(Table14[[#This Row],[Treatment Cost]]&lt;50000,"Low Billing",Table14[[#This Row],[Treatment Cost]]&lt;200000,"Moderate Billing",Table14[[#This Row],[Treatment Cost]]&gt;=200000,"High Billing")</f>
        <v>High Billing</v>
      </c>
      <c r="M277" t="s">
        <v>8</v>
      </c>
      <c r="N277" t="str">
        <f>IF(AND(Table14[[#This Row],[Outcome]]="Follow-up",Table14[[#This Row],[Admission Status]]="Patient Discharged"),"High Risk Patient","Low Risk Patient")</f>
        <v>High Risk Patient</v>
      </c>
      <c r="O277" t="str">
        <f>IFERROR(VLOOKUP(Table14[[#This Row],[Department]],Doctor_Info!A:D,2,FALSE), "")</f>
        <v>Dr. Ada</v>
      </c>
      <c r="P277" t="str">
        <f>IF(COUNTIF(A:A,Table14[[#This Row],[Patient ID]]&gt;1),"Returning Patient","New Patient")</f>
        <v>New Patient</v>
      </c>
      <c r="Q277" t="str">
        <f>_xlfn.XLOOKUP(Table14[[#This Row],[Department]], Doctor_Info!A:A, Doctor_Info!C:C, "")&amp;""</f>
        <v>301</v>
      </c>
      <c r="R277" t="str">
        <f>TEXT(Table14[[#This Row],[Admission Date]],"ddd")</f>
        <v>Sun</v>
      </c>
      <c r="S277" t="str">
        <f>TEXT(Table14[[#This Row],[Admission Date]],"mmm")</f>
        <v>Jan</v>
      </c>
      <c r="T277" t="str">
        <f>TEXT(Table14[[#This Row],[Admission Date]],"yyyy")</f>
        <v>2024</v>
      </c>
      <c r="U277" t="str">
        <f>TEXT(Table14[[#This Row],[Admission Date]],"mmm-yyyy")</f>
        <v>Jan-2024</v>
      </c>
      <c r="V277">
        <f t="shared" ca="1" si="4"/>
        <v>8</v>
      </c>
    </row>
    <row r="278" spans="1:22" x14ac:dyDescent="0.2">
      <c r="A278" t="s">
        <v>290</v>
      </c>
      <c r="B278" s="3">
        <v>45323</v>
      </c>
      <c r="C278" s="3">
        <v>45324</v>
      </c>
      <c r="D278">
        <f ca="1">IF(ISBLANK(Table14[[#This Row],[Discharge Date]]),TODAY()-Table14[[#This Row],[Admission Date]], Table14[[#This Row],[Discharge Date]]-Table14[[#This Row],[Admission Date]])</f>
        <v>1</v>
      </c>
      <c r="E278" s="6" t="str">
        <f>IF(Table14[[#This Row],[Discharge Date]]="","Still Admitted","Patient Discharged")</f>
        <v>Patient Discharged</v>
      </c>
      <c r="F278" s="6" t="str">
        <f>IF(WEEKDAY(Table14[[#This Row],[Admission Date]],2)&gt;5,"Weekend","Weekday")</f>
        <v>Weekday</v>
      </c>
      <c r="G278" t="s">
        <v>528</v>
      </c>
      <c r="H278">
        <v>12</v>
      </c>
      <c r="I278" t="str" cm="1">
        <f t="array" ref="I278">_xlfn.IFS(Table14[[#This Row],[Age]]&lt;18,"Children",Table14[[#This Row],[Age]]&lt;50,"Adult",Table14[[#This Row],[Age]]&gt;=50,"Elderly")</f>
        <v>Children</v>
      </c>
      <c r="J278" t="s">
        <v>547</v>
      </c>
      <c r="K278" s="7">
        <v>277250</v>
      </c>
      <c r="L278" s="2" t="str" cm="1">
        <f t="array" ref="L278">_xlfn.IFS(Table14[[#This Row],[Treatment Cost]]&lt;50000,"Low Billing",Table14[[#This Row],[Treatment Cost]]&lt;200000,"Moderate Billing",Table14[[#This Row],[Treatment Cost]]&gt;=200000,"High Billing")</f>
        <v>High Billing</v>
      </c>
      <c r="M278" t="s">
        <v>6</v>
      </c>
      <c r="N278" t="str">
        <f>IF(AND(Table14[[#This Row],[Outcome]]="Follow-up",Table14[[#This Row],[Admission Status]]="Patient Discharged"),"High Risk Patient","Low Risk Patient")</f>
        <v>Low Risk Patient</v>
      </c>
      <c r="O278" t="str">
        <f>IFERROR(VLOOKUP(Table14[[#This Row],[Department]],Doctor_Info!A:D,2,FALSE), "")</f>
        <v>Dr. Kofi</v>
      </c>
      <c r="P278" t="str">
        <f>IF(COUNTIF(A:A,Table14[[#This Row],[Patient ID]]&gt;1),"Returning Patient","New Patient")</f>
        <v>New Patient</v>
      </c>
      <c r="Q278" t="str">
        <f>_xlfn.XLOOKUP(Table14[[#This Row],[Department]], Doctor_Info!A:A, Doctor_Info!C:C, "")&amp;""</f>
        <v>102</v>
      </c>
      <c r="R278" t="str">
        <f>TEXT(Table14[[#This Row],[Admission Date]],"ddd")</f>
        <v>Thu</v>
      </c>
      <c r="S278" t="str">
        <f>TEXT(Table14[[#This Row],[Admission Date]],"mmm")</f>
        <v>Feb</v>
      </c>
      <c r="T278" t="str">
        <f>TEXT(Table14[[#This Row],[Admission Date]],"yyyy")</f>
        <v>2024</v>
      </c>
      <c r="U278" t="str">
        <f>TEXT(Table14[[#This Row],[Admission Date]],"mmm-yyyy")</f>
        <v>Feb-2024</v>
      </c>
      <c r="V278">
        <f t="shared" ca="1" si="4"/>
        <v>8</v>
      </c>
    </row>
    <row r="279" spans="1:22" x14ac:dyDescent="0.2">
      <c r="A279" t="s">
        <v>291</v>
      </c>
      <c r="B279" s="3">
        <v>45325</v>
      </c>
      <c r="C279" s="3">
        <v>45337</v>
      </c>
      <c r="D279">
        <f ca="1">IF(ISBLANK(Table14[[#This Row],[Discharge Date]]),TODAY()-Table14[[#This Row],[Admission Date]], Table14[[#This Row],[Discharge Date]]-Table14[[#This Row],[Admission Date]])</f>
        <v>12</v>
      </c>
      <c r="E279" s="6" t="str">
        <f>IF(Table14[[#This Row],[Discharge Date]]="","Still Admitted","Patient Discharged")</f>
        <v>Patient Discharged</v>
      </c>
      <c r="F279" s="6" t="str">
        <f>IF(WEEKDAY(Table14[[#This Row],[Admission Date]],2)&gt;5,"Weekend","Weekday")</f>
        <v>Weekend</v>
      </c>
      <c r="G279" t="s">
        <v>12</v>
      </c>
      <c r="H279">
        <v>14</v>
      </c>
      <c r="I279" t="str" cm="1">
        <f t="array" ref="I279">_xlfn.IFS(Table14[[#This Row],[Age]]&lt;18,"Children",Table14[[#This Row],[Age]]&lt;50,"Adult",Table14[[#This Row],[Age]]&gt;=50,"Elderly")</f>
        <v>Children</v>
      </c>
      <c r="J279" t="s">
        <v>546</v>
      </c>
      <c r="K279" s="7">
        <v>278220</v>
      </c>
      <c r="L279" s="2" t="str" cm="1">
        <f t="array" ref="L279">_xlfn.IFS(Table14[[#This Row],[Treatment Cost]]&lt;50000,"Low Billing",Table14[[#This Row],[Treatment Cost]]&lt;200000,"Moderate Billing",Table14[[#This Row],[Treatment Cost]]&gt;=200000,"High Billing")</f>
        <v>High Billing</v>
      </c>
      <c r="M279" t="s">
        <v>8</v>
      </c>
      <c r="N279" t="str">
        <f>IF(AND(Table14[[#This Row],[Outcome]]="Follow-up",Table14[[#This Row],[Admission Status]]="Patient Discharged"),"High Risk Patient","Low Risk Patient")</f>
        <v>High Risk Patient</v>
      </c>
      <c r="O279" t="str">
        <f>IFERROR(VLOOKUP(Table14[[#This Row],[Department]],Doctor_Info!A:D,2,FALSE), "")</f>
        <v>Dr. Temi</v>
      </c>
      <c r="P279" t="str">
        <f>IF(COUNTIF(A:A,Table14[[#This Row],[Patient ID]]&gt;1),"Returning Patient","New Patient")</f>
        <v>New Patient</v>
      </c>
      <c r="Q279" t="str">
        <f>_xlfn.XLOOKUP(Table14[[#This Row],[Department]], Doctor_Info!A:A, Doctor_Info!C:C, "")&amp;""</f>
        <v>502</v>
      </c>
      <c r="R279" t="str">
        <f>TEXT(Table14[[#This Row],[Admission Date]],"ddd")</f>
        <v>Sat</v>
      </c>
      <c r="S279" t="str">
        <f>TEXT(Table14[[#This Row],[Admission Date]],"mmm")</f>
        <v>Feb</v>
      </c>
      <c r="T279" t="str">
        <f>TEXT(Table14[[#This Row],[Admission Date]],"yyyy")</f>
        <v>2024</v>
      </c>
      <c r="U279" t="str">
        <f>TEXT(Table14[[#This Row],[Admission Date]],"mmm-yyyy")</f>
        <v>Feb-2024</v>
      </c>
      <c r="V279">
        <f t="shared" ca="1" si="4"/>
        <v>8</v>
      </c>
    </row>
    <row r="280" spans="1:22" x14ac:dyDescent="0.2">
      <c r="A280" t="s">
        <v>292</v>
      </c>
      <c r="B280" s="3">
        <v>45327</v>
      </c>
      <c r="C280" s="3">
        <v>45328</v>
      </c>
      <c r="D280">
        <f ca="1">IF(ISBLANK(Table14[[#This Row],[Discharge Date]]),TODAY()-Table14[[#This Row],[Admission Date]], Table14[[#This Row],[Discharge Date]]-Table14[[#This Row],[Admission Date]])</f>
        <v>1</v>
      </c>
      <c r="E280" s="6" t="str">
        <f>IF(Table14[[#This Row],[Discharge Date]]="","Still Admitted","Patient Discharged")</f>
        <v>Patient Discharged</v>
      </c>
      <c r="F280" s="6" t="str">
        <f>IF(WEEKDAY(Table14[[#This Row],[Admission Date]],2)&gt;5,"Weekend","Weekday")</f>
        <v>Weekday</v>
      </c>
      <c r="G280" t="s">
        <v>528</v>
      </c>
      <c r="H280">
        <v>16</v>
      </c>
      <c r="I280" t="str" cm="1">
        <f t="array" ref="I280">_xlfn.IFS(Table14[[#This Row],[Age]]&lt;18,"Children",Table14[[#This Row],[Age]]&lt;50,"Adult",Table14[[#This Row],[Age]]&gt;=50,"Elderly")</f>
        <v>Children</v>
      </c>
      <c r="J280" t="s">
        <v>547</v>
      </c>
      <c r="K280" s="7">
        <v>279190</v>
      </c>
      <c r="L280" s="2" t="str" cm="1">
        <f t="array" ref="L280">_xlfn.IFS(Table14[[#This Row],[Treatment Cost]]&lt;50000,"Low Billing",Table14[[#This Row],[Treatment Cost]]&lt;200000,"Moderate Billing",Table14[[#This Row],[Treatment Cost]]&gt;=200000,"High Billing")</f>
        <v>High Billing</v>
      </c>
      <c r="M280" t="s">
        <v>6</v>
      </c>
      <c r="N280" t="str">
        <f>IF(AND(Table14[[#This Row],[Outcome]]="Follow-up",Table14[[#This Row],[Admission Status]]="Patient Discharged"),"High Risk Patient","Low Risk Patient")</f>
        <v>Low Risk Patient</v>
      </c>
      <c r="O280" t="str">
        <f>IFERROR(VLOOKUP(Table14[[#This Row],[Department]],Doctor_Info!A:D,2,FALSE), "")</f>
        <v>Dr. Kofi</v>
      </c>
      <c r="P280" t="str">
        <f>IF(COUNTIF(A:A,Table14[[#This Row],[Patient ID]]&gt;1),"Returning Patient","New Patient")</f>
        <v>New Patient</v>
      </c>
      <c r="Q280" t="str">
        <f>_xlfn.XLOOKUP(Table14[[#This Row],[Department]], Doctor_Info!A:A, Doctor_Info!C:C, "")&amp;""</f>
        <v>102</v>
      </c>
      <c r="R280" t="str">
        <f>TEXT(Table14[[#This Row],[Admission Date]],"ddd")</f>
        <v>Mon</v>
      </c>
      <c r="S280" t="str">
        <f>TEXT(Table14[[#This Row],[Admission Date]],"mmm")</f>
        <v>Feb</v>
      </c>
      <c r="T280" t="str">
        <f>TEXT(Table14[[#This Row],[Admission Date]],"yyyy")</f>
        <v>2024</v>
      </c>
      <c r="U280" t="str">
        <f>TEXT(Table14[[#This Row],[Admission Date]],"mmm-yyyy")</f>
        <v>Feb-2024</v>
      </c>
      <c r="V280">
        <f t="shared" ca="1" si="4"/>
        <v>8</v>
      </c>
    </row>
    <row r="281" spans="1:22" x14ac:dyDescent="0.2">
      <c r="A281" t="s">
        <v>293</v>
      </c>
      <c r="B281" s="3">
        <v>45332</v>
      </c>
      <c r="D281">
        <f ca="1">IF(ISBLANK(Table14[[#This Row],[Discharge Date]]),TODAY()-Table14[[#This Row],[Admission Date]], Table14[[#This Row],[Discharge Date]]-Table14[[#This Row],[Admission Date]])</f>
        <v>806</v>
      </c>
      <c r="E281" s="6" t="str">
        <f>IF(Table14[[#This Row],[Discharge Date]]="","Still Admitted","Patient Discharged")</f>
        <v>Still Admitted</v>
      </c>
      <c r="F281" s="6" t="str">
        <f>IF(WEEKDAY(Table14[[#This Row],[Admission Date]],2)&gt;5,"Weekend","Weekday")</f>
        <v>Weekend</v>
      </c>
      <c r="G281" t="s">
        <v>10</v>
      </c>
      <c r="H281">
        <v>18</v>
      </c>
      <c r="I281" t="str" cm="1">
        <f t="array" ref="I281">_xlfn.IFS(Table14[[#This Row],[Age]]&lt;18,"Children",Table14[[#This Row],[Age]]&lt;50,"Adult",Table14[[#This Row],[Age]]&gt;=50,"Elderly")</f>
        <v>Adult</v>
      </c>
      <c r="J281" t="s">
        <v>547</v>
      </c>
      <c r="K281" s="7">
        <v>280160</v>
      </c>
      <c r="L281" s="2" t="str" cm="1">
        <f t="array" ref="L281">_xlfn.IFS(Table14[[#This Row],[Treatment Cost]]&lt;50000,"Low Billing",Table14[[#This Row],[Treatment Cost]]&lt;200000,"Moderate Billing",Table14[[#This Row],[Treatment Cost]]&gt;=200000,"High Billing")</f>
        <v>High Billing</v>
      </c>
      <c r="M281" t="s">
        <v>403</v>
      </c>
      <c r="N281" t="str">
        <f>IF(AND(Table14[[#This Row],[Outcome]]="Follow-up",Table14[[#This Row],[Admission Status]]="Patient Discharged"),"High Risk Patient","Low Risk Patient")</f>
        <v>Low Risk Patient</v>
      </c>
      <c r="O281" t="str">
        <f>IFERROR(VLOOKUP(Table14[[#This Row],[Department]],Doctor_Info!A:D,2,FALSE), "")</f>
        <v>Dr. George</v>
      </c>
      <c r="P281" t="str">
        <f>IF(COUNTIF(A:A,Table14[[#This Row],[Patient ID]]&gt;1),"Returning Patient","New Patient")</f>
        <v>New Patient</v>
      </c>
      <c r="Q281" t="str">
        <f>_xlfn.XLOOKUP(Table14[[#This Row],[Department]], Doctor_Info!A:A, Doctor_Info!C:C, "")&amp;""</f>
        <v>405</v>
      </c>
      <c r="R281" t="str">
        <f>TEXT(Table14[[#This Row],[Admission Date]],"ddd")</f>
        <v>Sat</v>
      </c>
      <c r="S281" t="str">
        <f>TEXT(Table14[[#This Row],[Admission Date]],"mmm")</f>
        <v>Feb</v>
      </c>
      <c r="T281" t="str">
        <f>TEXT(Table14[[#This Row],[Admission Date]],"yyyy")</f>
        <v>2024</v>
      </c>
      <c r="U281" t="str">
        <f>TEXT(Table14[[#This Row],[Admission Date]],"mmm-yyyy")</f>
        <v>Feb-2024</v>
      </c>
      <c r="V281">
        <f t="shared" ca="1" si="4"/>
        <v>8</v>
      </c>
    </row>
    <row r="282" spans="1:22" x14ac:dyDescent="0.2">
      <c r="A282" t="s">
        <v>294</v>
      </c>
      <c r="B282" s="3">
        <v>45319</v>
      </c>
      <c r="C282" s="3">
        <v>45327</v>
      </c>
      <c r="D282">
        <f ca="1">IF(ISBLANK(Table14[[#This Row],[Discharge Date]]),TODAY()-Table14[[#This Row],[Admission Date]], Table14[[#This Row],[Discharge Date]]-Table14[[#This Row],[Admission Date]])</f>
        <v>8</v>
      </c>
      <c r="E282" s="6" t="str">
        <f>IF(Table14[[#This Row],[Discharge Date]]="","Still Admitted","Patient Discharged")</f>
        <v>Patient Discharged</v>
      </c>
      <c r="F282" s="6" t="str">
        <f>IF(WEEKDAY(Table14[[#This Row],[Admission Date]],2)&gt;5,"Weekend","Weekday")</f>
        <v>Weekend</v>
      </c>
      <c r="G282" t="s">
        <v>7</v>
      </c>
      <c r="H282">
        <v>20</v>
      </c>
      <c r="I282" t="str" cm="1">
        <f t="array" ref="I282">_xlfn.IFS(Table14[[#This Row],[Age]]&lt;18,"Children",Table14[[#This Row],[Age]]&lt;50,"Adult",Table14[[#This Row],[Age]]&gt;=50,"Elderly")</f>
        <v>Adult</v>
      </c>
      <c r="J282" t="s">
        <v>546</v>
      </c>
      <c r="K282" s="7">
        <v>281130</v>
      </c>
      <c r="L282" s="2" t="str" cm="1">
        <f t="array" ref="L282">_xlfn.IFS(Table14[[#This Row],[Treatment Cost]]&lt;50000,"Low Billing",Table14[[#This Row],[Treatment Cost]]&lt;200000,"Moderate Billing",Table14[[#This Row],[Treatment Cost]]&gt;=200000,"High Billing")</f>
        <v>High Billing</v>
      </c>
      <c r="M282" t="s">
        <v>8</v>
      </c>
      <c r="N282" t="str">
        <f>IF(AND(Table14[[#This Row],[Outcome]]="Follow-up",Table14[[#This Row],[Admission Status]]="Patient Discharged"),"High Risk Patient","Low Risk Patient")</f>
        <v>High Risk Patient</v>
      </c>
      <c r="O282" t="str">
        <f>IFERROR(VLOOKUP(Table14[[#This Row],[Department]],Doctor_Info!A:D,2,FALSE), "")</f>
        <v>Dr. Ada</v>
      </c>
      <c r="P282" t="str">
        <f>IF(COUNTIF(A:A,Table14[[#This Row],[Patient ID]]&gt;1),"Returning Patient","New Patient")</f>
        <v>New Patient</v>
      </c>
      <c r="Q282" t="str">
        <f>_xlfn.XLOOKUP(Table14[[#This Row],[Department]], Doctor_Info!A:A, Doctor_Info!C:C, "")&amp;""</f>
        <v>301</v>
      </c>
      <c r="R282" t="str">
        <f>TEXT(Table14[[#This Row],[Admission Date]],"ddd")</f>
        <v>Sun</v>
      </c>
      <c r="S282" t="str">
        <f>TEXT(Table14[[#This Row],[Admission Date]],"mmm")</f>
        <v>Jan</v>
      </c>
      <c r="T282" t="str">
        <f>TEXT(Table14[[#This Row],[Admission Date]],"yyyy")</f>
        <v>2024</v>
      </c>
      <c r="U282" t="str">
        <f>TEXT(Table14[[#This Row],[Admission Date]],"mmm-yyyy")</f>
        <v>Jan-2024</v>
      </c>
      <c r="V282">
        <f t="shared" ca="1" si="4"/>
        <v>8</v>
      </c>
    </row>
    <row r="283" spans="1:22" x14ac:dyDescent="0.2">
      <c r="A283" t="s">
        <v>295</v>
      </c>
      <c r="B283" s="3">
        <v>45323</v>
      </c>
      <c r="C283" s="3">
        <v>45324</v>
      </c>
      <c r="D283">
        <f ca="1">IF(ISBLANK(Table14[[#This Row],[Discharge Date]]),TODAY()-Table14[[#This Row],[Admission Date]], Table14[[#This Row],[Discharge Date]]-Table14[[#This Row],[Admission Date]])</f>
        <v>1</v>
      </c>
      <c r="E283" s="6" t="str">
        <f>IF(Table14[[#This Row],[Discharge Date]]="","Still Admitted","Patient Discharged")</f>
        <v>Patient Discharged</v>
      </c>
      <c r="F283" s="6" t="str">
        <f>IF(WEEKDAY(Table14[[#This Row],[Admission Date]],2)&gt;5,"Weekend","Weekday")</f>
        <v>Weekday</v>
      </c>
      <c r="G283" t="s">
        <v>528</v>
      </c>
      <c r="H283">
        <v>22</v>
      </c>
      <c r="I283" t="str" cm="1">
        <f t="array" ref="I283">_xlfn.IFS(Table14[[#This Row],[Age]]&lt;18,"Children",Table14[[#This Row],[Age]]&lt;50,"Adult",Table14[[#This Row],[Age]]&gt;=50,"Elderly")</f>
        <v>Adult</v>
      </c>
      <c r="J283" t="s">
        <v>547</v>
      </c>
      <c r="K283" s="7">
        <v>282100</v>
      </c>
      <c r="L283" s="2" t="str" cm="1">
        <f t="array" ref="L283">_xlfn.IFS(Table14[[#This Row],[Treatment Cost]]&lt;50000,"Low Billing",Table14[[#This Row],[Treatment Cost]]&lt;200000,"Moderate Billing",Table14[[#This Row],[Treatment Cost]]&gt;=200000,"High Billing")</f>
        <v>High Billing</v>
      </c>
      <c r="M283" t="s">
        <v>6</v>
      </c>
      <c r="N283" t="str">
        <f>IF(AND(Table14[[#This Row],[Outcome]]="Follow-up",Table14[[#This Row],[Admission Status]]="Patient Discharged"),"High Risk Patient","Low Risk Patient")</f>
        <v>Low Risk Patient</v>
      </c>
      <c r="O283" t="str">
        <f>IFERROR(VLOOKUP(Table14[[#This Row],[Department]],Doctor_Info!A:D,2,FALSE), "")</f>
        <v>Dr. Kofi</v>
      </c>
      <c r="P283" t="str">
        <f>IF(COUNTIF(A:A,Table14[[#This Row],[Patient ID]]&gt;1),"Returning Patient","New Patient")</f>
        <v>New Patient</v>
      </c>
      <c r="Q283" t="str">
        <f>_xlfn.XLOOKUP(Table14[[#This Row],[Department]], Doctor_Info!A:A, Doctor_Info!C:C, "")&amp;""</f>
        <v>102</v>
      </c>
      <c r="R283" t="str">
        <f>TEXT(Table14[[#This Row],[Admission Date]],"ddd")</f>
        <v>Thu</v>
      </c>
      <c r="S283" t="str">
        <f>TEXT(Table14[[#This Row],[Admission Date]],"mmm")</f>
        <v>Feb</v>
      </c>
      <c r="T283" t="str">
        <f>TEXT(Table14[[#This Row],[Admission Date]],"yyyy")</f>
        <v>2024</v>
      </c>
      <c r="U283" t="str">
        <f>TEXT(Table14[[#This Row],[Admission Date]],"mmm-yyyy")</f>
        <v>Feb-2024</v>
      </c>
      <c r="V283">
        <f t="shared" ca="1" si="4"/>
        <v>8</v>
      </c>
    </row>
    <row r="284" spans="1:22" x14ac:dyDescent="0.2">
      <c r="A284" t="s">
        <v>296</v>
      </c>
      <c r="B284" s="3">
        <v>45325</v>
      </c>
      <c r="C284" s="3">
        <v>45337</v>
      </c>
      <c r="D284">
        <f ca="1">IF(ISBLANK(Table14[[#This Row],[Discharge Date]]),TODAY()-Table14[[#This Row],[Admission Date]], Table14[[#This Row],[Discharge Date]]-Table14[[#This Row],[Admission Date]])</f>
        <v>12</v>
      </c>
      <c r="E284" s="6" t="str">
        <f>IF(Table14[[#This Row],[Discharge Date]]="","Still Admitted","Patient Discharged")</f>
        <v>Patient Discharged</v>
      </c>
      <c r="F284" s="6" t="str">
        <f>IF(WEEKDAY(Table14[[#This Row],[Admission Date]],2)&gt;5,"Weekend","Weekday")</f>
        <v>Weekend</v>
      </c>
      <c r="G284" t="s">
        <v>12</v>
      </c>
      <c r="H284">
        <v>24</v>
      </c>
      <c r="I284" t="str" cm="1">
        <f t="array" ref="I284">_xlfn.IFS(Table14[[#This Row],[Age]]&lt;18,"Children",Table14[[#This Row],[Age]]&lt;50,"Adult",Table14[[#This Row],[Age]]&gt;=50,"Elderly")</f>
        <v>Adult</v>
      </c>
      <c r="J284" t="s">
        <v>546</v>
      </c>
      <c r="K284" s="7">
        <v>283070</v>
      </c>
      <c r="L284" s="2" t="str" cm="1">
        <f t="array" ref="L284">_xlfn.IFS(Table14[[#This Row],[Treatment Cost]]&lt;50000,"Low Billing",Table14[[#This Row],[Treatment Cost]]&lt;200000,"Moderate Billing",Table14[[#This Row],[Treatment Cost]]&gt;=200000,"High Billing")</f>
        <v>High Billing</v>
      </c>
      <c r="M284" t="s">
        <v>8</v>
      </c>
      <c r="N284" t="str">
        <f>IF(AND(Table14[[#This Row],[Outcome]]="Follow-up",Table14[[#This Row],[Admission Status]]="Patient Discharged"),"High Risk Patient","Low Risk Patient")</f>
        <v>High Risk Patient</v>
      </c>
      <c r="O284" t="str">
        <f>IFERROR(VLOOKUP(Table14[[#This Row],[Department]],Doctor_Info!A:D,2,FALSE), "")</f>
        <v>Dr. Temi</v>
      </c>
      <c r="P284" t="str">
        <f>IF(COUNTIF(A:A,Table14[[#This Row],[Patient ID]]&gt;1),"Returning Patient","New Patient")</f>
        <v>New Patient</v>
      </c>
      <c r="Q284" t="str">
        <f>_xlfn.XLOOKUP(Table14[[#This Row],[Department]], Doctor_Info!A:A, Doctor_Info!C:C, "")&amp;""</f>
        <v>502</v>
      </c>
      <c r="R284" t="str">
        <f>TEXT(Table14[[#This Row],[Admission Date]],"ddd")</f>
        <v>Sat</v>
      </c>
      <c r="S284" t="str">
        <f>TEXT(Table14[[#This Row],[Admission Date]],"mmm")</f>
        <v>Feb</v>
      </c>
      <c r="T284" t="str">
        <f>TEXT(Table14[[#This Row],[Admission Date]],"yyyy")</f>
        <v>2024</v>
      </c>
      <c r="U284" t="str">
        <f>TEXT(Table14[[#This Row],[Admission Date]],"mmm-yyyy")</f>
        <v>Feb-2024</v>
      </c>
      <c r="V284">
        <f t="shared" ca="1" si="4"/>
        <v>8</v>
      </c>
    </row>
    <row r="285" spans="1:22" x14ac:dyDescent="0.2">
      <c r="A285" t="s">
        <v>297</v>
      </c>
      <c r="B285" s="3">
        <v>45327</v>
      </c>
      <c r="C285" s="3">
        <v>45328</v>
      </c>
      <c r="D285">
        <f ca="1">IF(ISBLANK(Table14[[#This Row],[Discharge Date]]),TODAY()-Table14[[#This Row],[Admission Date]], Table14[[#This Row],[Discharge Date]]-Table14[[#This Row],[Admission Date]])</f>
        <v>1</v>
      </c>
      <c r="E285" s="6" t="str">
        <f>IF(Table14[[#This Row],[Discharge Date]]="","Still Admitted","Patient Discharged")</f>
        <v>Patient Discharged</v>
      </c>
      <c r="F285" s="6" t="str">
        <f>IF(WEEKDAY(Table14[[#This Row],[Admission Date]],2)&gt;5,"Weekend","Weekday")</f>
        <v>Weekday</v>
      </c>
      <c r="G285" t="s">
        <v>528</v>
      </c>
      <c r="H285">
        <v>26</v>
      </c>
      <c r="I285" t="str" cm="1">
        <f t="array" ref="I285">_xlfn.IFS(Table14[[#This Row],[Age]]&lt;18,"Children",Table14[[#This Row],[Age]]&lt;50,"Adult",Table14[[#This Row],[Age]]&gt;=50,"Elderly")</f>
        <v>Adult</v>
      </c>
      <c r="J285" t="s">
        <v>547</v>
      </c>
      <c r="K285" s="7">
        <v>284040</v>
      </c>
      <c r="L285" s="2" t="str" cm="1">
        <f t="array" ref="L285">_xlfn.IFS(Table14[[#This Row],[Treatment Cost]]&lt;50000,"Low Billing",Table14[[#This Row],[Treatment Cost]]&lt;200000,"Moderate Billing",Table14[[#This Row],[Treatment Cost]]&gt;=200000,"High Billing")</f>
        <v>High Billing</v>
      </c>
      <c r="M285" t="s">
        <v>6</v>
      </c>
      <c r="N285" t="str">
        <f>IF(AND(Table14[[#This Row],[Outcome]]="Follow-up",Table14[[#This Row],[Admission Status]]="Patient Discharged"),"High Risk Patient","Low Risk Patient")</f>
        <v>Low Risk Patient</v>
      </c>
      <c r="O285" t="str">
        <f>IFERROR(VLOOKUP(Table14[[#This Row],[Department]],Doctor_Info!A:D,2,FALSE), "")</f>
        <v>Dr. Kofi</v>
      </c>
      <c r="P285" t="str">
        <f>IF(COUNTIF(A:A,Table14[[#This Row],[Patient ID]]&gt;1),"Returning Patient","New Patient")</f>
        <v>New Patient</v>
      </c>
      <c r="Q285" t="str">
        <f>_xlfn.XLOOKUP(Table14[[#This Row],[Department]], Doctor_Info!A:A, Doctor_Info!C:C, "")&amp;""</f>
        <v>102</v>
      </c>
      <c r="R285" t="str">
        <f>TEXT(Table14[[#This Row],[Admission Date]],"ddd")</f>
        <v>Mon</v>
      </c>
      <c r="S285" t="str">
        <f>TEXT(Table14[[#This Row],[Admission Date]],"mmm")</f>
        <v>Feb</v>
      </c>
      <c r="T285" t="str">
        <f>TEXT(Table14[[#This Row],[Admission Date]],"yyyy")</f>
        <v>2024</v>
      </c>
      <c r="U285" t="str">
        <f>TEXT(Table14[[#This Row],[Admission Date]],"mmm-yyyy")</f>
        <v>Feb-2024</v>
      </c>
      <c r="V285">
        <f t="shared" ca="1" si="4"/>
        <v>8</v>
      </c>
    </row>
    <row r="286" spans="1:22" x14ac:dyDescent="0.2">
      <c r="A286" t="s">
        <v>298</v>
      </c>
      <c r="B286" s="3">
        <v>45332</v>
      </c>
      <c r="D286">
        <f ca="1">IF(ISBLANK(Table14[[#This Row],[Discharge Date]]),TODAY()-Table14[[#This Row],[Admission Date]], Table14[[#This Row],[Discharge Date]]-Table14[[#This Row],[Admission Date]])</f>
        <v>806</v>
      </c>
      <c r="E286" s="6" t="str">
        <f>IF(Table14[[#This Row],[Discharge Date]]="","Still Admitted","Patient Discharged")</f>
        <v>Still Admitted</v>
      </c>
      <c r="F286" s="6" t="str">
        <f>IF(WEEKDAY(Table14[[#This Row],[Admission Date]],2)&gt;5,"Weekend","Weekday")</f>
        <v>Weekend</v>
      </c>
      <c r="G286" t="s">
        <v>10</v>
      </c>
      <c r="H286">
        <v>28</v>
      </c>
      <c r="I286" t="str" cm="1">
        <f t="array" ref="I286">_xlfn.IFS(Table14[[#This Row],[Age]]&lt;18,"Children",Table14[[#This Row],[Age]]&lt;50,"Adult",Table14[[#This Row],[Age]]&gt;=50,"Elderly")</f>
        <v>Adult</v>
      </c>
      <c r="J286" t="s">
        <v>547</v>
      </c>
      <c r="K286" s="7">
        <v>285010</v>
      </c>
      <c r="L286" s="2" t="str" cm="1">
        <f t="array" ref="L286">_xlfn.IFS(Table14[[#This Row],[Treatment Cost]]&lt;50000,"Low Billing",Table14[[#This Row],[Treatment Cost]]&lt;200000,"Moderate Billing",Table14[[#This Row],[Treatment Cost]]&gt;=200000,"High Billing")</f>
        <v>High Billing</v>
      </c>
      <c r="M286" t="s">
        <v>403</v>
      </c>
      <c r="N286" t="str">
        <f>IF(AND(Table14[[#This Row],[Outcome]]="Follow-up",Table14[[#This Row],[Admission Status]]="Patient Discharged"),"High Risk Patient","Low Risk Patient")</f>
        <v>Low Risk Patient</v>
      </c>
      <c r="O286" t="str">
        <f>IFERROR(VLOOKUP(Table14[[#This Row],[Department]],Doctor_Info!A:D,2,FALSE), "")</f>
        <v>Dr. George</v>
      </c>
      <c r="P286" t="str">
        <f>IF(COUNTIF(A:A,Table14[[#This Row],[Patient ID]]&gt;1),"Returning Patient","New Patient")</f>
        <v>New Patient</v>
      </c>
      <c r="Q286" t="str">
        <f>_xlfn.XLOOKUP(Table14[[#This Row],[Department]], Doctor_Info!A:A, Doctor_Info!C:C, "")&amp;""</f>
        <v>405</v>
      </c>
      <c r="R286" t="str">
        <f>TEXT(Table14[[#This Row],[Admission Date]],"ddd")</f>
        <v>Sat</v>
      </c>
      <c r="S286" t="str">
        <f>TEXT(Table14[[#This Row],[Admission Date]],"mmm")</f>
        <v>Feb</v>
      </c>
      <c r="T286" t="str">
        <f>TEXT(Table14[[#This Row],[Admission Date]],"yyyy")</f>
        <v>2024</v>
      </c>
      <c r="U286" t="str">
        <f>TEXT(Table14[[#This Row],[Admission Date]],"mmm-yyyy")</f>
        <v>Feb-2024</v>
      </c>
      <c r="V286">
        <f t="shared" ca="1" si="4"/>
        <v>8</v>
      </c>
    </row>
    <row r="287" spans="1:22" x14ac:dyDescent="0.2">
      <c r="A287" t="s">
        <v>299</v>
      </c>
      <c r="B287" s="3">
        <v>45319</v>
      </c>
      <c r="C287" s="3">
        <v>45327</v>
      </c>
      <c r="D287">
        <f ca="1">IF(ISBLANK(Table14[[#This Row],[Discharge Date]]),TODAY()-Table14[[#This Row],[Admission Date]], Table14[[#This Row],[Discharge Date]]-Table14[[#This Row],[Admission Date]])</f>
        <v>8</v>
      </c>
      <c r="E287" s="6" t="str">
        <f>IF(Table14[[#This Row],[Discharge Date]]="","Still Admitted","Patient Discharged")</f>
        <v>Patient Discharged</v>
      </c>
      <c r="F287" s="6" t="str">
        <f>IF(WEEKDAY(Table14[[#This Row],[Admission Date]],2)&gt;5,"Weekend","Weekday")</f>
        <v>Weekend</v>
      </c>
      <c r="G287" t="s">
        <v>7</v>
      </c>
      <c r="H287">
        <v>30</v>
      </c>
      <c r="I287" t="str" cm="1">
        <f t="array" ref="I287">_xlfn.IFS(Table14[[#This Row],[Age]]&lt;18,"Children",Table14[[#This Row],[Age]]&lt;50,"Adult",Table14[[#This Row],[Age]]&gt;=50,"Elderly")</f>
        <v>Adult</v>
      </c>
      <c r="J287" t="s">
        <v>546</v>
      </c>
      <c r="K287" s="7">
        <v>285980</v>
      </c>
      <c r="L287" s="2" t="str" cm="1">
        <f t="array" ref="L287">_xlfn.IFS(Table14[[#This Row],[Treatment Cost]]&lt;50000,"Low Billing",Table14[[#This Row],[Treatment Cost]]&lt;200000,"Moderate Billing",Table14[[#This Row],[Treatment Cost]]&gt;=200000,"High Billing")</f>
        <v>High Billing</v>
      </c>
      <c r="M287" t="s">
        <v>8</v>
      </c>
      <c r="N287" t="str">
        <f>IF(AND(Table14[[#This Row],[Outcome]]="Follow-up",Table14[[#This Row],[Admission Status]]="Patient Discharged"),"High Risk Patient","Low Risk Patient")</f>
        <v>High Risk Patient</v>
      </c>
      <c r="O287" t="str">
        <f>IFERROR(VLOOKUP(Table14[[#This Row],[Department]],Doctor_Info!A:D,2,FALSE), "")</f>
        <v>Dr. Ada</v>
      </c>
      <c r="P287" t="str">
        <f>IF(COUNTIF(A:A,Table14[[#This Row],[Patient ID]]&gt;1),"Returning Patient","New Patient")</f>
        <v>New Patient</v>
      </c>
      <c r="Q287" t="str">
        <f>_xlfn.XLOOKUP(Table14[[#This Row],[Department]], Doctor_Info!A:A, Doctor_Info!C:C, "")&amp;""</f>
        <v>301</v>
      </c>
      <c r="R287" t="str">
        <f>TEXT(Table14[[#This Row],[Admission Date]],"ddd")</f>
        <v>Sun</v>
      </c>
      <c r="S287" t="str">
        <f>TEXT(Table14[[#This Row],[Admission Date]],"mmm")</f>
        <v>Jan</v>
      </c>
      <c r="T287" t="str">
        <f>TEXT(Table14[[#This Row],[Admission Date]],"yyyy")</f>
        <v>2024</v>
      </c>
      <c r="U287" t="str">
        <f>TEXT(Table14[[#This Row],[Admission Date]],"mmm-yyyy")</f>
        <v>Jan-2024</v>
      </c>
      <c r="V287">
        <f t="shared" ca="1" si="4"/>
        <v>8</v>
      </c>
    </row>
    <row r="288" spans="1:22" x14ac:dyDescent="0.2">
      <c r="A288" t="s">
        <v>300</v>
      </c>
      <c r="B288" s="3">
        <v>45323</v>
      </c>
      <c r="C288" s="3">
        <v>45324</v>
      </c>
      <c r="D288">
        <f ca="1">IF(ISBLANK(Table14[[#This Row],[Discharge Date]]),TODAY()-Table14[[#This Row],[Admission Date]], Table14[[#This Row],[Discharge Date]]-Table14[[#This Row],[Admission Date]])</f>
        <v>1</v>
      </c>
      <c r="E288" s="6" t="str">
        <f>IF(Table14[[#This Row],[Discharge Date]]="","Still Admitted","Patient Discharged")</f>
        <v>Patient Discharged</v>
      </c>
      <c r="F288" s="6" t="str">
        <f>IF(WEEKDAY(Table14[[#This Row],[Admission Date]],2)&gt;5,"Weekend","Weekday")</f>
        <v>Weekday</v>
      </c>
      <c r="G288" t="s">
        <v>528</v>
      </c>
      <c r="H288">
        <v>32</v>
      </c>
      <c r="I288" t="str" cm="1">
        <f t="array" ref="I288">_xlfn.IFS(Table14[[#This Row],[Age]]&lt;18,"Children",Table14[[#This Row],[Age]]&lt;50,"Adult",Table14[[#This Row],[Age]]&gt;=50,"Elderly")</f>
        <v>Adult</v>
      </c>
      <c r="J288" t="s">
        <v>547</v>
      </c>
      <c r="K288" s="7">
        <v>286950</v>
      </c>
      <c r="L288" s="2" t="str" cm="1">
        <f t="array" ref="L288">_xlfn.IFS(Table14[[#This Row],[Treatment Cost]]&lt;50000,"Low Billing",Table14[[#This Row],[Treatment Cost]]&lt;200000,"Moderate Billing",Table14[[#This Row],[Treatment Cost]]&gt;=200000,"High Billing")</f>
        <v>High Billing</v>
      </c>
      <c r="M288" t="s">
        <v>6</v>
      </c>
      <c r="N288" t="str">
        <f>IF(AND(Table14[[#This Row],[Outcome]]="Follow-up",Table14[[#This Row],[Admission Status]]="Patient Discharged"),"High Risk Patient","Low Risk Patient")</f>
        <v>Low Risk Patient</v>
      </c>
      <c r="O288" t="str">
        <f>IFERROR(VLOOKUP(Table14[[#This Row],[Department]],Doctor_Info!A:D,2,FALSE), "")</f>
        <v>Dr. Kofi</v>
      </c>
      <c r="P288" t="str">
        <f>IF(COUNTIF(A:A,Table14[[#This Row],[Patient ID]]&gt;1),"Returning Patient","New Patient")</f>
        <v>New Patient</v>
      </c>
      <c r="Q288" t="str">
        <f>_xlfn.XLOOKUP(Table14[[#This Row],[Department]], Doctor_Info!A:A, Doctor_Info!C:C, "")&amp;""</f>
        <v>102</v>
      </c>
      <c r="R288" t="str">
        <f>TEXT(Table14[[#This Row],[Admission Date]],"ddd")</f>
        <v>Thu</v>
      </c>
      <c r="S288" t="str">
        <f>TEXT(Table14[[#This Row],[Admission Date]],"mmm")</f>
        <v>Feb</v>
      </c>
      <c r="T288" t="str">
        <f>TEXT(Table14[[#This Row],[Admission Date]],"yyyy")</f>
        <v>2024</v>
      </c>
      <c r="U288" t="str">
        <f>TEXT(Table14[[#This Row],[Admission Date]],"mmm-yyyy")</f>
        <v>Feb-2024</v>
      </c>
      <c r="V288">
        <f t="shared" ca="1" si="4"/>
        <v>8</v>
      </c>
    </row>
    <row r="289" spans="1:22" x14ac:dyDescent="0.2">
      <c r="A289" t="s">
        <v>301</v>
      </c>
      <c r="B289" s="3">
        <v>45325</v>
      </c>
      <c r="C289" s="3">
        <v>45337</v>
      </c>
      <c r="D289">
        <f ca="1">IF(ISBLANK(Table14[[#This Row],[Discharge Date]]),TODAY()-Table14[[#This Row],[Admission Date]], Table14[[#This Row],[Discharge Date]]-Table14[[#This Row],[Admission Date]])</f>
        <v>12</v>
      </c>
      <c r="E289" s="6" t="str">
        <f>IF(Table14[[#This Row],[Discharge Date]]="","Still Admitted","Patient Discharged")</f>
        <v>Patient Discharged</v>
      </c>
      <c r="F289" s="6" t="str">
        <f>IF(WEEKDAY(Table14[[#This Row],[Admission Date]],2)&gt;5,"Weekend","Weekday")</f>
        <v>Weekend</v>
      </c>
      <c r="G289" t="s">
        <v>12</v>
      </c>
      <c r="H289">
        <v>34</v>
      </c>
      <c r="I289" t="str" cm="1">
        <f t="array" ref="I289">_xlfn.IFS(Table14[[#This Row],[Age]]&lt;18,"Children",Table14[[#This Row],[Age]]&lt;50,"Adult",Table14[[#This Row],[Age]]&gt;=50,"Elderly")</f>
        <v>Adult</v>
      </c>
      <c r="J289" t="s">
        <v>546</v>
      </c>
      <c r="K289" s="7">
        <v>287920</v>
      </c>
      <c r="L289" s="2" t="str" cm="1">
        <f t="array" ref="L289">_xlfn.IFS(Table14[[#This Row],[Treatment Cost]]&lt;50000,"Low Billing",Table14[[#This Row],[Treatment Cost]]&lt;200000,"Moderate Billing",Table14[[#This Row],[Treatment Cost]]&gt;=200000,"High Billing")</f>
        <v>High Billing</v>
      </c>
      <c r="M289" t="s">
        <v>8</v>
      </c>
      <c r="N289" t="str">
        <f>IF(AND(Table14[[#This Row],[Outcome]]="Follow-up",Table14[[#This Row],[Admission Status]]="Patient Discharged"),"High Risk Patient","Low Risk Patient")</f>
        <v>High Risk Patient</v>
      </c>
      <c r="O289" t="str">
        <f>IFERROR(VLOOKUP(Table14[[#This Row],[Department]],Doctor_Info!A:D,2,FALSE), "")</f>
        <v>Dr. Temi</v>
      </c>
      <c r="P289" t="str">
        <f>IF(COUNTIF(A:A,Table14[[#This Row],[Patient ID]]&gt;1),"Returning Patient","New Patient")</f>
        <v>New Patient</v>
      </c>
      <c r="Q289" t="str">
        <f>_xlfn.XLOOKUP(Table14[[#This Row],[Department]], Doctor_Info!A:A, Doctor_Info!C:C, "")&amp;""</f>
        <v>502</v>
      </c>
      <c r="R289" t="str">
        <f>TEXT(Table14[[#This Row],[Admission Date]],"ddd")</f>
        <v>Sat</v>
      </c>
      <c r="S289" t="str">
        <f>TEXT(Table14[[#This Row],[Admission Date]],"mmm")</f>
        <v>Feb</v>
      </c>
      <c r="T289" t="str">
        <f>TEXT(Table14[[#This Row],[Admission Date]],"yyyy")</f>
        <v>2024</v>
      </c>
      <c r="U289" t="str">
        <f>TEXT(Table14[[#This Row],[Admission Date]],"mmm-yyyy")</f>
        <v>Feb-2024</v>
      </c>
      <c r="V289">
        <f t="shared" ca="1" si="4"/>
        <v>8</v>
      </c>
    </row>
    <row r="290" spans="1:22" x14ac:dyDescent="0.2">
      <c r="A290" t="s">
        <v>302</v>
      </c>
      <c r="B290" s="3">
        <v>45327</v>
      </c>
      <c r="C290" s="3">
        <v>45328</v>
      </c>
      <c r="D290">
        <f ca="1">IF(ISBLANK(Table14[[#This Row],[Discharge Date]]),TODAY()-Table14[[#This Row],[Admission Date]], Table14[[#This Row],[Discharge Date]]-Table14[[#This Row],[Admission Date]])</f>
        <v>1</v>
      </c>
      <c r="E290" s="6" t="str">
        <f>IF(Table14[[#This Row],[Discharge Date]]="","Still Admitted","Patient Discharged")</f>
        <v>Patient Discharged</v>
      </c>
      <c r="F290" s="6" t="str">
        <f>IF(WEEKDAY(Table14[[#This Row],[Admission Date]],2)&gt;5,"Weekend","Weekday")</f>
        <v>Weekday</v>
      </c>
      <c r="G290" t="s">
        <v>528</v>
      </c>
      <c r="H290">
        <v>36</v>
      </c>
      <c r="I290" t="str" cm="1">
        <f t="array" ref="I290">_xlfn.IFS(Table14[[#This Row],[Age]]&lt;18,"Children",Table14[[#This Row],[Age]]&lt;50,"Adult",Table14[[#This Row],[Age]]&gt;=50,"Elderly")</f>
        <v>Adult</v>
      </c>
      <c r="J290" t="s">
        <v>547</v>
      </c>
      <c r="K290" s="7">
        <v>288890</v>
      </c>
      <c r="L290" s="2" t="str" cm="1">
        <f t="array" ref="L290">_xlfn.IFS(Table14[[#This Row],[Treatment Cost]]&lt;50000,"Low Billing",Table14[[#This Row],[Treatment Cost]]&lt;200000,"Moderate Billing",Table14[[#This Row],[Treatment Cost]]&gt;=200000,"High Billing")</f>
        <v>High Billing</v>
      </c>
      <c r="M290" t="s">
        <v>6</v>
      </c>
      <c r="N290" t="str">
        <f>IF(AND(Table14[[#This Row],[Outcome]]="Follow-up",Table14[[#This Row],[Admission Status]]="Patient Discharged"),"High Risk Patient","Low Risk Patient")</f>
        <v>Low Risk Patient</v>
      </c>
      <c r="O290" t="str">
        <f>IFERROR(VLOOKUP(Table14[[#This Row],[Department]],Doctor_Info!A:D,2,FALSE), "")</f>
        <v>Dr. Kofi</v>
      </c>
      <c r="P290" t="str">
        <f>IF(COUNTIF(A:A,Table14[[#This Row],[Patient ID]]&gt;1),"Returning Patient","New Patient")</f>
        <v>New Patient</v>
      </c>
      <c r="Q290" t="str">
        <f>_xlfn.XLOOKUP(Table14[[#This Row],[Department]], Doctor_Info!A:A, Doctor_Info!C:C, "")&amp;""</f>
        <v>102</v>
      </c>
      <c r="R290" t="str">
        <f>TEXT(Table14[[#This Row],[Admission Date]],"ddd")</f>
        <v>Mon</v>
      </c>
      <c r="S290" t="str">
        <f>TEXT(Table14[[#This Row],[Admission Date]],"mmm")</f>
        <v>Feb</v>
      </c>
      <c r="T290" t="str">
        <f>TEXT(Table14[[#This Row],[Admission Date]],"yyyy")</f>
        <v>2024</v>
      </c>
      <c r="U290" t="str">
        <f>TEXT(Table14[[#This Row],[Admission Date]],"mmm-yyyy")</f>
        <v>Feb-2024</v>
      </c>
      <c r="V290">
        <f t="shared" ca="1" si="4"/>
        <v>8</v>
      </c>
    </row>
    <row r="291" spans="1:22" x14ac:dyDescent="0.2">
      <c r="A291" t="s">
        <v>303</v>
      </c>
      <c r="B291" s="3">
        <v>45332</v>
      </c>
      <c r="D291">
        <f ca="1">IF(ISBLANK(Table14[[#This Row],[Discharge Date]]),TODAY()-Table14[[#This Row],[Admission Date]], Table14[[#This Row],[Discharge Date]]-Table14[[#This Row],[Admission Date]])</f>
        <v>806</v>
      </c>
      <c r="E291" s="6" t="str">
        <f>IF(Table14[[#This Row],[Discharge Date]]="","Still Admitted","Patient Discharged")</f>
        <v>Still Admitted</v>
      </c>
      <c r="F291" s="6" t="str">
        <f>IF(WEEKDAY(Table14[[#This Row],[Admission Date]],2)&gt;5,"Weekend","Weekday")</f>
        <v>Weekend</v>
      </c>
      <c r="G291" t="s">
        <v>10</v>
      </c>
      <c r="H291">
        <v>38</v>
      </c>
      <c r="I291" t="str" cm="1">
        <f t="array" ref="I291">_xlfn.IFS(Table14[[#This Row],[Age]]&lt;18,"Children",Table14[[#This Row],[Age]]&lt;50,"Adult",Table14[[#This Row],[Age]]&gt;=50,"Elderly")</f>
        <v>Adult</v>
      </c>
      <c r="J291" t="s">
        <v>547</v>
      </c>
      <c r="K291" s="7">
        <v>289860</v>
      </c>
      <c r="L291" s="2" t="str" cm="1">
        <f t="array" ref="L291">_xlfn.IFS(Table14[[#This Row],[Treatment Cost]]&lt;50000,"Low Billing",Table14[[#This Row],[Treatment Cost]]&lt;200000,"Moderate Billing",Table14[[#This Row],[Treatment Cost]]&gt;=200000,"High Billing")</f>
        <v>High Billing</v>
      </c>
      <c r="M291" t="s">
        <v>403</v>
      </c>
      <c r="N291" t="str">
        <f>IF(AND(Table14[[#This Row],[Outcome]]="Follow-up",Table14[[#This Row],[Admission Status]]="Patient Discharged"),"High Risk Patient","Low Risk Patient")</f>
        <v>Low Risk Patient</v>
      </c>
      <c r="O291" t="str">
        <f>IFERROR(VLOOKUP(Table14[[#This Row],[Department]],Doctor_Info!A:D,2,FALSE), "")</f>
        <v>Dr. George</v>
      </c>
      <c r="P291" t="str">
        <f>IF(COUNTIF(A:A,Table14[[#This Row],[Patient ID]]&gt;1),"Returning Patient","New Patient")</f>
        <v>New Patient</v>
      </c>
      <c r="Q291" t="str">
        <f>_xlfn.XLOOKUP(Table14[[#This Row],[Department]], Doctor_Info!A:A, Doctor_Info!C:C, "")&amp;""</f>
        <v>405</v>
      </c>
      <c r="R291" t="str">
        <f>TEXT(Table14[[#This Row],[Admission Date]],"ddd")</f>
        <v>Sat</v>
      </c>
      <c r="S291" t="str">
        <f>TEXT(Table14[[#This Row],[Admission Date]],"mmm")</f>
        <v>Feb</v>
      </c>
      <c r="T291" t="str">
        <f>TEXT(Table14[[#This Row],[Admission Date]],"yyyy")</f>
        <v>2024</v>
      </c>
      <c r="U291" t="str">
        <f>TEXT(Table14[[#This Row],[Admission Date]],"mmm-yyyy")</f>
        <v>Feb-2024</v>
      </c>
      <c r="V291">
        <f t="shared" ca="1" si="4"/>
        <v>8</v>
      </c>
    </row>
    <row r="292" spans="1:22" x14ac:dyDescent="0.2">
      <c r="A292" t="s">
        <v>304</v>
      </c>
      <c r="B292" s="3">
        <v>45319</v>
      </c>
      <c r="C292" s="3">
        <v>45327</v>
      </c>
      <c r="D292">
        <f ca="1">IF(ISBLANK(Table14[[#This Row],[Discharge Date]]),TODAY()-Table14[[#This Row],[Admission Date]], Table14[[#This Row],[Discharge Date]]-Table14[[#This Row],[Admission Date]])</f>
        <v>8</v>
      </c>
      <c r="E292" s="6" t="str">
        <f>IF(Table14[[#This Row],[Discharge Date]]="","Still Admitted","Patient Discharged")</f>
        <v>Patient Discharged</v>
      </c>
      <c r="F292" s="6" t="str">
        <f>IF(WEEKDAY(Table14[[#This Row],[Admission Date]],2)&gt;5,"Weekend","Weekday")</f>
        <v>Weekend</v>
      </c>
      <c r="G292" t="s">
        <v>7</v>
      </c>
      <c r="H292">
        <v>40</v>
      </c>
      <c r="I292" t="str" cm="1">
        <f t="array" ref="I292">_xlfn.IFS(Table14[[#This Row],[Age]]&lt;18,"Children",Table14[[#This Row],[Age]]&lt;50,"Adult",Table14[[#This Row],[Age]]&gt;=50,"Elderly")</f>
        <v>Adult</v>
      </c>
      <c r="J292" t="s">
        <v>546</v>
      </c>
      <c r="K292" s="7">
        <v>290830</v>
      </c>
      <c r="L292" s="2" t="str" cm="1">
        <f t="array" ref="L292">_xlfn.IFS(Table14[[#This Row],[Treatment Cost]]&lt;50000,"Low Billing",Table14[[#This Row],[Treatment Cost]]&lt;200000,"Moderate Billing",Table14[[#This Row],[Treatment Cost]]&gt;=200000,"High Billing")</f>
        <v>High Billing</v>
      </c>
      <c r="M292" t="s">
        <v>8</v>
      </c>
      <c r="N292" t="str">
        <f>IF(AND(Table14[[#This Row],[Outcome]]="Follow-up",Table14[[#This Row],[Admission Status]]="Patient Discharged"),"High Risk Patient","Low Risk Patient")</f>
        <v>High Risk Patient</v>
      </c>
      <c r="O292" t="str">
        <f>IFERROR(VLOOKUP(Table14[[#This Row],[Department]],Doctor_Info!A:D,2,FALSE), "")</f>
        <v>Dr. Ada</v>
      </c>
      <c r="P292" t="str">
        <f>IF(COUNTIF(A:A,Table14[[#This Row],[Patient ID]]&gt;1),"Returning Patient","New Patient")</f>
        <v>New Patient</v>
      </c>
      <c r="Q292" t="str">
        <f>_xlfn.XLOOKUP(Table14[[#This Row],[Department]], Doctor_Info!A:A, Doctor_Info!C:C, "")&amp;""</f>
        <v>301</v>
      </c>
      <c r="R292" t="str">
        <f>TEXT(Table14[[#This Row],[Admission Date]],"ddd")</f>
        <v>Sun</v>
      </c>
      <c r="S292" t="str">
        <f>TEXT(Table14[[#This Row],[Admission Date]],"mmm")</f>
        <v>Jan</v>
      </c>
      <c r="T292" t="str">
        <f>TEXT(Table14[[#This Row],[Admission Date]],"yyyy")</f>
        <v>2024</v>
      </c>
      <c r="U292" t="str">
        <f>TEXT(Table14[[#This Row],[Admission Date]],"mmm-yyyy")</f>
        <v>Jan-2024</v>
      </c>
      <c r="V292">
        <f t="shared" ca="1" si="4"/>
        <v>8</v>
      </c>
    </row>
    <row r="293" spans="1:22" x14ac:dyDescent="0.2">
      <c r="A293" t="s">
        <v>305</v>
      </c>
      <c r="B293" s="3">
        <v>45323</v>
      </c>
      <c r="C293" s="3">
        <v>45324</v>
      </c>
      <c r="D293">
        <f ca="1">IF(ISBLANK(Table14[[#This Row],[Discharge Date]]),TODAY()-Table14[[#This Row],[Admission Date]], Table14[[#This Row],[Discharge Date]]-Table14[[#This Row],[Admission Date]])</f>
        <v>1</v>
      </c>
      <c r="E293" s="6" t="str">
        <f>IF(Table14[[#This Row],[Discharge Date]]="","Still Admitted","Patient Discharged")</f>
        <v>Patient Discharged</v>
      </c>
      <c r="F293" s="6" t="str">
        <f>IF(WEEKDAY(Table14[[#This Row],[Admission Date]],2)&gt;5,"Weekend","Weekday")</f>
        <v>Weekday</v>
      </c>
      <c r="G293" t="s">
        <v>528</v>
      </c>
      <c r="H293">
        <v>42</v>
      </c>
      <c r="I293" t="str" cm="1">
        <f t="array" ref="I293">_xlfn.IFS(Table14[[#This Row],[Age]]&lt;18,"Children",Table14[[#This Row],[Age]]&lt;50,"Adult",Table14[[#This Row],[Age]]&gt;=50,"Elderly")</f>
        <v>Adult</v>
      </c>
      <c r="J293" t="s">
        <v>547</v>
      </c>
      <c r="K293" s="7">
        <v>291800</v>
      </c>
      <c r="L293" s="2" t="str" cm="1">
        <f t="array" ref="L293">_xlfn.IFS(Table14[[#This Row],[Treatment Cost]]&lt;50000,"Low Billing",Table14[[#This Row],[Treatment Cost]]&lt;200000,"Moderate Billing",Table14[[#This Row],[Treatment Cost]]&gt;=200000,"High Billing")</f>
        <v>High Billing</v>
      </c>
      <c r="M293" t="s">
        <v>6</v>
      </c>
      <c r="N293" t="str">
        <f>IF(AND(Table14[[#This Row],[Outcome]]="Follow-up",Table14[[#This Row],[Admission Status]]="Patient Discharged"),"High Risk Patient","Low Risk Patient")</f>
        <v>Low Risk Patient</v>
      </c>
      <c r="O293" t="str">
        <f>IFERROR(VLOOKUP(Table14[[#This Row],[Department]],Doctor_Info!A:D,2,FALSE), "")</f>
        <v>Dr. Kofi</v>
      </c>
      <c r="P293" t="str">
        <f>IF(COUNTIF(A:A,Table14[[#This Row],[Patient ID]]&gt;1),"Returning Patient","New Patient")</f>
        <v>New Patient</v>
      </c>
      <c r="Q293" t="str">
        <f>_xlfn.XLOOKUP(Table14[[#This Row],[Department]], Doctor_Info!A:A, Doctor_Info!C:C, "")&amp;""</f>
        <v>102</v>
      </c>
      <c r="R293" t="str">
        <f>TEXT(Table14[[#This Row],[Admission Date]],"ddd")</f>
        <v>Thu</v>
      </c>
      <c r="S293" t="str">
        <f>TEXT(Table14[[#This Row],[Admission Date]],"mmm")</f>
        <v>Feb</v>
      </c>
      <c r="T293" t="str">
        <f>TEXT(Table14[[#This Row],[Admission Date]],"yyyy")</f>
        <v>2024</v>
      </c>
      <c r="U293" t="str">
        <f>TEXT(Table14[[#This Row],[Admission Date]],"mmm-yyyy")</f>
        <v>Feb-2024</v>
      </c>
      <c r="V293">
        <f t="shared" ca="1" si="4"/>
        <v>8</v>
      </c>
    </row>
    <row r="294" spans="1:22" x14ac:dyDescent="0.2">
      <c r="A294" t="s">
        <v>306</v>
      </c>
      <c r="B294" s="3">
        <v>45325</v>
      </c>
      <c r="C294" s="3">
        <v>45337</v>
      </c>
      <c r="D294">
        <f ca="1">IF(ISBLANK(Table14[[#This Row],[Discharge Date]]),TODAY()-Table14[[#This Row],[Admission Date]], Table14[[#This Row],[Discharge Date]]-Table14[[#This Row],[Admission Date]])</f>
        <v>12</v>
      </c>
      <c r="E294" s="6" t="str">
        <f>IF(Table14[[#This Row],[Discharge Date]]="","Still Admitted","Patient Discharged")</f>
        <v>Patient Discharged</v>
      </c>
      <c r="F294" s="6" t="str">
        <f>IF(WEEKDAY(Table14[[#This Row],[Admission Date]],2)&gt;5,"Weekend","Weekday")</f>
        <v>Weekend</v>
      </c>
      <c r="G294" t="s">
        <v>12</v>
      </c>
      <c r="H294">
        <v>44</v>
      </c>
      <c r="I294" t="str" cm="1">
        <f t="array" ref="I294">_xlfn.IFS(Table14[[#This Row],[Age]]&lt;18,"Children",Table14[[#This Row],[Age]]&lt;50,"Adult",Table14[[#This Row],[Age]]&gt;=50,"Elderly")</f>
        <v>Adult</v>
      </c>
      <c r="J294" t="s">
        <v>546</v>
      </c>
      <c r="K294" s="7">
        <v>292770</v>
      </c>
      <c r="L294" s="2" t="str" cm="1">
        <f t="array" ref="L294">_xlfn.IFS(Table14[[#This Row],[Treatment Cost]]&lt;50000,"Low Billing",Table14[[#This Row],[Treatment Cost]]&lt;200000,"Moderate Billing",Table14[[#This Row],[Treatment Cost]]&gt;=200000,"High Billing")</f>
        <v>High Billing</v>
      </c>
      <c r="M294" t="s">
        <v>8</v>
      </c>
      <c r="N294" t="str">
        <f>IF(AND(Table14[[#This Row],[Outcome]]="Follow-up",Table14[[#This Row],[Admission Status]]="Patient Discharged"),"High Risk Patient","Low Risk Patient")</f>
        <v>High Risk Patient</v>
      </c>
      <c r="O294" t="str">
        <f>IFERROR(VLOOKUP(Table14[[#This Row],[Department]],Doctor_Info!A:D,2,FALSE), "")</f>
        <v>Dr. Temi</v>
      </c>
      <c r="P294" t="str">
        <f>IF(COUNTIF(A:A,Table14[[#This Row],[Patient ID]]&gt;1),"Returning Patient","New Patient")</f>
        <v>New Patient</v>
      </c>
      <c r="Q294" t="str">
        <f>_xlfn.XLOOKUP(Table14[[#This Row],[Department]], Doctor_Info!A:A, Doctor_Info!C:C, "")&amp;""</f>
        <v>502</v>
      </c>
      <c r="R294" t="str">
        <f>TEXT(Table14[[#This Row],[Admission Date]],"ddd")</f>
        <v>Sat</v>
      </c>
      <c r="S294" t="str">
        <f>TEXT(Table14[[#This Row],[Admission Date]],"mmm")</f>
        <v>Feb</v>
      </c>
      <c r="T294" t="str">
        <f>TEXT(Table14[[#This Row],[Admission Date]],"yyyy")</f>
        <v>2024</v>
      </c>
      <c r="U294" t="str">
        <f>TEXT(Table14[[#This Row],[Admission Date]],"mmm-yyyy")</f>
        <v>Feb-2024</v>
      </c>
      <c r="V294">
        <f t="shared" ca="1" si="4"/>
        <v>8</v>
      </c>
    </row>
    <row r="295" spans="1:22" x14ac:dyDescent="0.2">
      <c r="A295" t="s">
        <v>307</v>
      </c>
      <c r="B295" s="3">
        <v>45327</v>
      </c>
      <c r="C295" s="3">
        <v>45328</v>
      </c>
      <c r="D295">
        <f ca="1">IF(ISBLANK(Table14[[#This Row],[Discharge Date]]),TODAY()-Table14[[#This Row],[Admission Date]], Table14[[#This Row],[Discharge Date]]-Table14[[#This Row],[Admission Date]])</f>
        <v>1</v>
      </c>
      <c r="E295" s="6" t="str">
        <f>IF(Table14[[#This Row],[Discharge Date]]="","Still Admitted","Patient Discharged")</f>
        <v>Patient Discharged</v>
      </c>
      <c r="F295" s="6" t="str">
        <f>IF(WEEKDAY(Table14[[#This Row],[Admission Date]],2)&gt;5,"Weekend","Weekday")</f>
        <v>Weekday</v>
      </c>
      <c r="G295" t="s">
        <v>528</v>
      </c>
      <c r="H295">
        <v>46</v>
      </c>
      <c r="I295" t="str" cm="1">
        <f t="array" ref="I295">_xlfn.IFS(Table14[[#This Row],[Age]]&lt;18,"Children",Table14[[#This Row],[Age]]&lt;50,"Adult",Table14[[#This Row],[Age]]&gt;=50,"Elderly")</f>
        <v>Adult</v>
      </c>
      <c r="J295" t="s">
        <v>547</v>
      </c>
      <c r="K295" s="7">
        <v>293740</v>
      </c>
      <c r="L295" s="2" t="str" cm="1">
        <f t="array" ref="L295">_xlfn.IFS(Table14[[#This Row],[Treatment Cost]]&lt;50000,"Low Billing",Table14[[#This Row],[Treatment Cost]]&lt;200000,"Moderate Billing",Table14[[#This Row],[Treatment Cost]]&gt;=200000,"High Billing")</f>
        <v>High Billing</v>
      </c>
      <c r="M295" t="s">
        <v>6</v>
      </c>
      <c r="N295" t="str">
        <f>IF(AND(Table14[[#This Row],[Outcome]]="Follow-up",Table14[[#This Row],[Admission Status]]="Patient Discharged"),"High Risk Patient","Low Risk Patient")</f>
        <v>Low Risk Patient</v>
      </c>
      <c r="O295" t="str">
        <f>IFERROR(VLOOKUP(Table14[[#This Row],[Department]],Doctor_Info!A:D,2,FALSE), "")</f>
        <v>Dr. Kofi</v>
      </c>
      <c r="P295" t="str">
        <f>IF(COUNTIF(A:A,Table14[[#This Row],[Patient ID]]&gt;1),"Returning Patient","New Patient")</f>
        <v>New Patient</v>
      </c>
      <c r="Q295" t="str">
        <f>_xlfn.XLOOKUP(Table14[[#This Row],[Department]], Doctor_Info!A:A, Doctor_Info!C:C, "")&amp;""</f>
        <v>102</v>
      </c>
      <c r="R295" t="str">
        <f>TEXT(Table14[[#This Row],[Admission Date]],"ddd")</f>
        <v>Mon</v>
      </c>
      <c r="S295" t="str">
        <f>TEXT(Table14[[#This Row],[Admission Date]],"mmm")</f>
        <v>Feb</v>
      </c>
      <c r="T295" t="str">
        <f>TEXT(Table14[[#This Row],[Admission Date]],"yyyy")</f>
        <v>2024</v>
      </c>
      <c r="U295" t="str">
        <f>TEXT(Table14[[#This Row],[Admission Date]],"mmm-yyyy")</f>
        <v>Feb-2024</v>
      </c>
      <c r="V295">
        <f t="shared" ca="1" si="4"/>
        <v>8</v>
      </c>
    </row>
    <row r="296" spans="1:22" x14ac:dyDescent="0.2">
      <c r="A296" t="s">
        <v>308</v>
      </c>
      <c r="B296" s="3">
        <v>45332</v>
      </c>
      <c r="D296">
        <f ca="1">IF(ISBLANK(Table14[[#This Row],[Discharge Date]]),TODAY()-Table14[[#This Row],[Admission Date]], Table14[[#This Row],[Discharge Date]]-Table14[[#This Row],[Admission Date]])</f>
        <v>806</v>
      </c>
      <c r="E296" s="6" t="str">
        <f>IF(Table14[[#This Row],[Discharge Date]]="","Still Admitted","Patient Discharged")</f>
        <v>Still Admitted</v>
      </c>
      <c r="F296" s="6" t="str">
        <f>IF(WEEKDAY(Table14[[#This Row],[Admission Date]],2)&gt;5,"Weekend","Weekday")</f>
        <v>Weekend</v>
      </c>
      <c r="G296" t="s">
        <v>10</v>
      </c>
      <c r="H296">
        <v>48</v>
      </c>
      <c r="I296" t="str" cm="1">
        <f t="array" ref="I296">_xlfn.IFS(Table14[[#This Row],[Age]]&lt;18,"Children",Table14[[#This Row],[Age]]&lt;50,"Adult",Table14[[#This Row],[Age]]&gt;=50,"Elderly")</f>
        <v>Adult</v>
      </c>
      <c r="J296" t="s">
        <v>547</v>
      </c>
      <c r="K296" s="7">
        <v>294710</v>
      </c>
      <c r="L296" s="2" t="str" cm="1">
        <f t="array" ref="L296">_xlfn.IFS(Table14[[#This Row],[Treatment Cost]]&lt;50000,"Low Billing",Table14[[#This Row],[Treatment Cost]]&lt;200000,"Moderate Billing",Table14[[#This Row],[Treatment Cost]]&gt;=200000,"High Billing")</f>
        <v>High Billing</v>
      </c>
      <c r="M296" t="s">
        <v>403</v>
      </c>
      <c r="N296" t="str">
        <f>IF(AND(Table14[[#This Row],[Outcome]]="Follow-up",Table14[[#This Row],[Admission Status]]="Patient Discharged"),"High Risk Patient","Low Risk Patient")</f>
        <v>Low Risk Patient</v>
      </c>
      <c r="O296" t="str">
        <f>IFERROR(VLOOKUP(Table14[[#This Row],[Department]],Doctor_Info!A:D,2,FALSE), "")</f>
        <v>Dr. George</v>
      </c>
      <c r="P296" t="str">
        <f>IF(COUNTIF(A:A,Table14[[#This Row],[Patient ID]]&gt;1),"Returning Patient","New Patient")</f>
        <v>New Patient</v>
      </c>
      <c r="Q296" t="str">
        <f>_xlfn.XLOOKUP(Table14[[#This Row],[Department]], Doctor_Info!A:A, Doctor_Info!C:C, "")&amp;""</f>
        <v>405</v>
      </c>
      <c r="R296" t="str">
        <f>TEXT(Table14[[#This Row],[Admission Date]],"ddd")</f>
        <v>Sat</v>
      </c>
      <c r="S296" t="str">
        <f>TEXT(Table14[[#This Row],[Admission Date]],"mmm")</f>
        <v>Feb</v>
      </c>
      <c r="T296" t="str">
        <f>TEXT(Table14[[#This Row],[Admission Date]],"yyyy")</f>
        <v>2024</v>
      </c>
      <c r="U296" t="str">
        <f>TEXT(Table14[[#This Row],[Admission Date]],"mmm-yyyy")</f>
        <v>Feb-2024</v>
      </c>
      <c r="V296">
        <f t="shared" ca="1" si="4"/>
        <v>8</v>
      </c>
    </row>
    <row r="297" spans="1:22" x14ac:dyDescent="0.2">
      <c r="A297" t="s">
        <v>309</v>
      </c>
      <c r="B297" s="3">
        <v>45319</v>
      </c>
      <c r="C297" s="3">
        <v>45327</v>
      </c>
      <c r="D297">
        <f ca="1">IF(ISBLANK(Table14[[#This Row],[Discharge Date]]),TODAY()-Table14[[#This Row],[Admission Date]], Table14[[#This Row],[Discharge Date]]-Table14[[#This Row],[Admission Date]])</f>
        <v>8</v>
      </c>
      <c r="E297" s="6" t="str">
        <f>IF(Table14[[#This Row],[Discharge Date]]="","Still Admitted","Patient Discharged")</f>
        <v>Patient Discharged</v>
      </c>
      <c r="F297" s="6" t="str">
        <f>IF(WEEKDAY(Table14[[#This Row],[Admission Date]],2)&gt;5,"Weekend","Weekday")</f>
        <v>Weekend</v>
      </c>
      <c r="G297" t="s">
        <v>7</v>
      </c>
      <c r="H297">
        <v>50</v>
      </c>
      <c r="I297" t="str" cm="1">
        <f t="array" ref="I297">_xlfn.IFS(Table14[[#This Row],[Age]]&lt;18,"Children",Table14[[#This Row],[Age]]&lt;50,"Adult",Table14[[#This Row],[Age]]&gt;=50,"Elderly")</f>
        <v>Elderly</v>
      </c>
      <c r="J297" t="s">
        <v>546</v>
      </c>
      <c r="K297" s="7">
        <v>295680</v>
      </c>
      <c r="L297" s="2" t="str" cm="1">
        <f t="array" ref="L297">_xlfn.IFS(Table14[[#This Row],[Treatment Cost]]&lt;50000,"Low Billing",Table14[[#This Row],[Treatment Cost]]&lt;200000,"Moderate Billing",Table14[[#This Row],[Treatment Cost]]&gt;=200000,"High Billing")</f>
        <v>High Billing</v>
      </c>
      <c r="M297" t="s">
        <v>8</v>
      </c>
      <c r="N297" t="str">
        <f>IF(AND(Table14[[#This Row],[Outcome]]="Follow-up",Table14[[#This Row],[Admission Status]]="Patient Discharged"),"High Risk Patient","Low Risk Patient")</f>
        <v>High Risk Patient</v>
      </c>
      <c r="O297" t="str">
        <f>IFERROR(VLOOKUP(Table14[[#This Row],[Department]],Doctor_Info!A:D,2,FALSE), "")</f>
        <v>Dr. Ada</v>
      </c>
      <c r="P297" t="str">
        <f>IF(COUNTIF(A:A,Table14[[#This Row],[Patient ID]]&gt;1),"Returning Patient","New Patient")</f>
        <v>New Patient</v>
      </c>
      <c r="Q297" t="str">
        <f>_xlfn.XLOOKUP(Table14[[#This Row],[Department]], Doctor_Info!A:A, Doctor_Info!C:C, "")&amp;""</f>
        <v>301</v>
      </c>
      <c r="R297" t="str">
        <f>TEXT(Table14[[#This Row],[Admission Date]],"ddd")</f>
        <v>Sun</v>
      </c>
      <c r="S297" t="str">
        <f>TEXT(Table14[[#This Row],[Admission Date]],"mmm")</f>
        <v>Jan</v>
      </c>
      <c r="T297" t="str">
        <f>TEXT(Table14[[#This Row],[Admission Date]],"yyyy")</f>
        <v>2024</v>
      </c>
      <c r="U297" t="str">
        <f>TEXT(Table14[[#This Row],[Admission Date]],"mmm-yyyy")</f>
        <v>Jan-2024</v>
      </c>
      <c r="V297">
        <f t="shared" ca="1" si="4"/>
        <v>8</v>
      </c>
    </row>
    <row r="298" spans="1:22" x14ac:dyDescent="0.2">
      <c r="A298" t="s">
        <v>310</v>
      </c>
      <c r="B298" s="3">
        <v>45323</v>
      </c>
      <c r="C298" s="3">
        <v>45324</v>
      </c>
      <c r="D298">
        <f ca="1">IF(ISBLANK(Table14[[#This Row],[Discharge Date]]),TODAY()-Table14[[#This Row],[Admission Date]], Table14[[#This Row],[Discharge Date]]-Table14[[#This Row],[Admission Date]])</f>
        <v>1</v>
      </c>
      <c r="E298" s="6" t="str">
        <f>IF(Table14[[#This Row],[Discharge Date]]="","Still Admitted","Patient Discharged")</f>
        <v>Patient Discharged</v>
      </c>
      <c r="F298" s="6" t="str">
        <f>IF(WEEKDAY(Table14[[#This Row],[Admission Date]],2)&gt;5,"Weekend","Weekday")</f>
        <v>Weekday</v>
      </c>
      <c r="G298" t="s">
        <v>528</v>
      </c>
      <c r="H298">
        <v>52</v>
      </c>
      <c r="I298" t="str" cm="1">
        <f t="array" ref="I298">_xlfn.IFS(Table14[[#This Row],[Age]]&lt;18,"Children",Table14[[#This Row],[Age]]&lt;50,"Adult",Table14[[#This Row],[Age]]&gt;=50,"Elderly")</f>
        <v>Elderly</v>
      </c>
      <c r="J298" t="s">
        <v>547</v>
      </c>
      <c r="K298" s="7">
        <v>296650</v>
      </c>
      <c r="L298" s="2" t="str" cm="1">
        <f t="array" ref="L298">_xlfn.IFS(Table14[[#This Row],[Treatment Cost]]&lt;50000,"Low Billing",Table14[[#This Row],[Treatment Cost]]&lt;200000,"Moderate Billing",Table14[[#This Row],[Treatment Cost]]&gt;=200000,"High Billing")</f>
        <v>High Billing</v>
      </c>
      <c r="M298" t="s">
        <v>6</v>
      </c>
      <c r="N298" t="str">
        <f>IF(AND(Table14[[#This Row],[Outcome]]="Follow-up",Table14[[#This Row],[Admission Status]]="Patient Discharged"),"High Risk Patient","Low Risk Patient")</f>
        <v>Low Risk Patient</v>
      </c>
      <c r="O298" t="str">
        <f>IFERROR(VLOOKUP(Table14[[#This Row],[Department]],Doctor_Info!A:D,2,FALSE), "")</f>
        <v>Dr. Kofi</v>
      </c>
      <c r="P298" t="str">
        <f>IF(COUNTIF(A:A,Table14[[#This Row],[Patient ID]]&gt;1),"Returning Patient","New Patient")</f>
        <v>New Patient</v>
      </c>
      <c r="Q298" t="str">
        <f>_xlfn.XLOOKUP(Table14[[#This Row],[Department]], Doctor_Info!A:A, Doctor_Info!C:C, "")&amp;""</f>
        <v>102</v>
      </c>
      <c r="R298" t="str">
        <f>TEXT(Table14[[#This Row],[Admission Date]],"ddd")</f>
        <v>Thu</v>
      </c>
      <c r="S298" t="str">
        <f>TEXT(Table14[[#This Row],[Admission Date]],"mmm")</f>
        <v>Feb</v>
      </c>
      <c r="T298" t="str">
        <f>TEXT(Table14[[#This Row],[Admission Date]],"yyyy")</f>
        <v>2024</v>
      </c>
      <c r="U298" t="str">
        <f>TEXT(Table14[[#This Row],[Admission Date]],"mmm-yyyy")</f>
        <v>Feb-2024</v>
      </c>
      <c r="V298">
        <f t="shared" ca="1" si="4"/>
        <v>8</v>
      </c>
    </row>
    <row r="299" spans="1:22" x14ac:dyDescent="0.2">
      <c r="A299" t="s">
        <v>311</v>
      </c>
      <c r="B299" s="3">
        <v>45325</v>
      </c>
      <c r="C299" s="3">
        <v>45337</v>
      </c>
      <c r="D299">
        <f ca="1">IF(ISBLANK(Table14[[#This Row],[Discharge Date]]),TODAY()-Table14[[#This Row],[Admission Date]], Table14[[#This Row],[Discharge Date]]-Table14[[#This Row],[Admission Date]])</f>
        <v>12</v>
      </c>
      <c r="E299" s="6" t="str">
        <f>IF(Table14[[#This Row],[Discharge Date]]="","Still Admitted","Patient Discharged")</f>
        <v>Patient Discharged</v>
      </c>
      <c r="F299" s="6" t="str">
        <f>IF(WEEKDAY(Table14[[#This Row],[Admission Date]],2)&gt;5,"Weekend","Weekday")</f>
        <v>Weekend</v>
      </c>
      <c r="G299" t="s">
        <v>12</v>
      </c>
      <c r="H299">
        <v>54</v>
      </c>
      <c r="I299" t="str" cm="1">
        <f t="array" ref="I299">_xlfn.IFS(Table14[[#This Row],[Age]]&lt;18,"Children",Table14[[#This Row],[Age]]&lt;50,"Adult",Table14[[#This Row],[Age]]&gt;=50,"Elderly")</f>
        <v>Elderly</v>
      </c>
      <c r="J299" t="s">
        <v>546</v>
      </c>
      <c r="K299" s="7">
        <v>297620</v>
      </c>
      <c r="L299" s="2" t="str" cm="1">
        <f t="array" ref="L299">_xlfn.IFS(Table14[[#This Row],[Treatment Cost]]&lt;50000,"Low Billing",Table14[[#This Row],[Treatment Cost]]&lt;200000,"Moderate Billing",Table14[[#This Row],[Treatment Cost]]&gt;=200000,"High Billing")</f>
        <v>High Billing</v>
      </c>
      <c r="M299" t="s">
        <v>8</v>
      </c>
      <c r="N299" t="str">
        <f>IF(AND(Table14[[#This Row],[Outcome]]="Follow-up",Table14[[#This Row],[Admission Status]]="Patient Discharged"),"High Risk Patient","Low Risk Patient")</f>
        <v>High Risk Patient</v>
      </c>
      <c r="O299" t="str">
        <f>IFERROR(VLOOKUP(Table14[[#This Row],[Department]],Doctor_Info!A:D,2,FALSE), "")</f>
        <v>Dr. Temi</v>
      </c>
      <c r="P299" t="str">
        <f>IF(COUNTIF(A:A,Table14[[#This Row],[Patient ID]]&gt;1),"Returning Patient","New Patient")</f>
        <v>New Patient</v>
      </c>
      <c r="Q299" t="str">
        <f>_xlfn.XLOOKUP(Table14[[#This Row],[Department]], Doctor_Info!A:A, Doctor_Info!C:C, "")&amp;""</f>
        <v>502</v>
      </c>
      <c r="R299" t="str">
        <f>TEXT(Table14[[#This Row],[Admission Date]],"ddd")</f>
        <v>Sat</v>
      </c>
      <c r="S299" t="str">
        <f>TEXT(Table14[[#This Row],[Admission Date]],"mmm")</f>
        <v>Feb</v>
      </c>
      <c r="T299" t="str">
        <f>TEXT(Table14[[#This Row],[Admission Date]],"yyyy")</f>
        <v>2024</v>
      </c>
      <c r="U299" t="str">
        <f>TEXT(Table14[[#This Row],[Admission Date]],"mmm-yyyy")</f>
        <v>Feb-2024</v>
      </c>
      <c r="V299">
        <f t="shared" ca="1" si="4"/>
        <v>8</v>
      </c>
    </row>
    <row r="300" spans="1:22" x14ac:dyDescent="0.2">
      <c r="A300" t="s">
        <v>312</v>
      </c>
      <c r="B300" s="3">
        <v>45327</v>
      </c>
      <c r="C300" s="3">
        <v>45328</v>
      </c>
      <c r="D300">
        <f ca="1">IF(ISBLANK(Table14[[#This Row],[Discharge Date]]),TODAY()-Table14[[#This Row],[Admission Date]], Table14[[#This Row],[Discharge Date]]-Table14[[#This Row],[Admission Date]])</f>
        <v>1</v>
      </c>
      <c r="E300" s="6" t="str">
        <f>IF(Table14[[#This Row],[Discharge Date]]="","Still Admitted","Patient Discharged")</f>
        <v>Patient Discharged</v>
      </c>
      <c r="F300" s="6" t="str">
        <f>IF(WEEKDAY(Table14[[#This Row],[Admission Date]],2)&gt;5,"Weekend","Weekday")</f>
        <v>Weekday</v>
      </c>
      <c r="G300" t="s">
        <v>528</v>
      </c>
      <c r="H300">
        <v>56</v>
      </c>
      <c r="I300" t="str" cm="1">
        <f t="array" ref="I300">_xlfn.IFS(Table14[[#This Row],[Age]]&lt;18,"Children",Table14[[#This Row],[Age]]&lt;50,"Adult",Table14[[#This Row],[Age]]&gt;=50,"Elderly")</f>
        <v>Elderly</v>
      </c>
      <c r="J300" t="s">
        <v>547</v>
      </c>
      <c r="K300" s="7">
        <v>298590</v>
      </c>
      <c r="L300" s="2" t="str" cm="1">
        <f t="array" ref="L300">_xlfn.IFS(Table14[[#This Row],[Treatment Cost]]&lt;50000,"Low Billing",Table14[[#This Row],[Treatment Cost]]&lt;200000,"Moderate Billing",Table14[[#This Row],[Treatment Cost]]&gt;=200000,"High Billing")</f>
        <v>High Billing</v>
      </c>
      <c r="M300" t="s">
        <v>6</v>
      </c>
      <c r="N300" t="str">
        <f>IF(AND(Table14[[#This Row],[Outcome]]="Follow-up",Table14[[#This Row],[Admission Status]]="Patient Discharged"),"High Risk Patient","Low Risk Patient")</f>
        <v>Low Risk Patient</v>
      </c>
      <c r="O300" t="str">
        <f>IFERROR(VLOOKUP(Table14[[#This Row],[Department]],Doctor_Info!A:D,2,FALSE), "")</f>
        <v>Dr. Kofi</v>
      </c>
      <c r="P300" t="str">
        <f>IF(COUNTIF(A:A,Table14[[#This Row],[Patient ID]]&gt;1),"Returning Patient","New Patient")</f>
        <v>New Patient</v>
      </c>
      <c r="Q300" t="str">
        <f>_xlfn.XLOOKUP(Table14[[#This Row],[Department]], Doctor_Info!A:A, Doctor_Info!C:C, "")&amp;""</f>
        <v>102</v>
      </c>
      <c r="R300" t="str">
        <f>TEXT(Table14[[#This Row],[Admission Date]],"ddd")</f>
        <v>Mon</v>
      </c>
      <c r="S300" t="str">
        <f>TEXT(Table14[[#This Row],[Admission Date]],"mmm")</f>
        <v>Feb</v>
      </c>
      <c r="T300" t="str">
        <f>TEXT(Table14[[#This Row],[Admission Date]],"yyyy")</f>
        <v>2024</v>
      </c>
      <c r="U300" t="str">
        <f>TEXT(Table14[[#This Row],[Admission Date]],"mmm-yyyy")</f>
        <v>Feb-2024</v>
      </c>
      <c r="V300">
        <f t="shared" ca="1" si="4"/>
        <v>8</v>
      </c>
    </row>
    <row r="301" spans="1:22" x14ac:dyDescent="0.2">
      <c r="A301" t="s">
        <v>313</v>
      </c>
      <c r="B301" s="3">
        <v>45332</v>
      </c>
      <c r="D301">
        <f ca="1">IF(ISBLANK(Table14[[#This Row],[Discharge Date]]),TODAY()-Table14[[#This Row],[Admission Date]], Table14[[#This Row],[Discharge Date]]-Table14[[#This Row],[Admission Date]])</f>
        <v>806</v>
      </c>
      <c r="E301" s="6" t="str">
        <f>IF(Table14[[#This Row],[Discharge Date]]="","Still Admitted","Patient Discharged")</f>
        <v>Still Admitted</v>
      </c>
      <c r="F301" s="6" t="str">
        <f>IF(WEEKDAY(Table14[[#This Row],[Admission Date]],2)&gt;5,"Weekend","Weekday")</f>
        <v>Weekend</v>
      </c>
      <c r="G301" t="s">
        <v>10</v>
      </c>
      <c r="H301">
        <v>58</v>
      </c>
      <c r="I301" t="str" cm="1">
        <f t="array" ref="I301">_xlfn.IFS(Table14[[#This Row],[Age]]&lt;18,"Children",Table14[[#This Row],[Age]]&lt;50,"Adult",Table14[[#This Row],[Age]]&gt;=50,"Elderly")</f>
        <v>Elderly</v>
      </c>
      <c r="J301" t="s">
        <v>547</v>
      </c>
      <c r="K301" s="7">
        <v>299560</v>
      </c>
      <c r="L301" s="2" t="str" cm="1">
        <f t="array" ref="L301">_xlfn.IFS(Table14[[#This Row],[Treatment Cost]]&lt;50000,"Low Billing",Table14[[#This Row],[Treatment Cost]]&lt;200000,"Moderate Billing",Table14[[#This Row],[Treatment Cost]]&gt;=200000,"High Billing")</f>
        <v>High Billing</v>
      </c>
      <c r="M301" t="s">
        <v>403</v>
      </c>
      <c r="N301" t="str">
        <f>IF(AND(Table14[[#This Row],[Outcome]]="Follow-up",Table14[[#This Row],[Admission Status]]="Patient Discharged"),"High Risk Patient","Low Risk Patient")</f>
        <v>Low Risk Patient</v>
      </c>
      <c r="O301" t="str">
        <f>IFERROR(VLOOKUP(Table14[[#This Row],[Department]],Doctor_Info!A:D,2,FALSE), "")</f>
        <v>Dr. George</v>
      </c>
      <c r="P301" t="str">
        <f>IF(COUNTIF(A:A,Table14[[#This Row],[Patient ID]]&gt;1),"Returning Patient","New Patient")</f>
        <v>New Patient</v>
      </c>
      <c r="Q301" t="str">
        <f>_xlfn.XLOOKUP(Table14[[#This Row],[Department]], Doctor_Info!A:A, Doctor_Info!C:C, "")&amp;""</f>
        <v>405</v>
      </c>
      <c r="R301" t="str">
        <f>TEXT(Table14[[#This Row],[Admission Date]],"ddd")</f>
        <v>Sat</v>
      </c>
      <c r="S301" t="str">
        <f>TEXT(Table14[[#This Row],[Admission Date]],"mmm")</f>
        <v>Feb</v>
      </c>
      <c r="T301" t="str">
        <f>TEXT(Table14[[#This Row],[Admission Date]],"yyyy")</f>
        <v>2024</v>
      </c>
      <c r="U301" t="str">
        <f>TEXT(Table14[[#This Row],[Admission Date]],"mmm-yyyy")</f>
        <v>Feb-2024</v>
      </c>
      <c r="V301">
        <f t="shared" ca="1" si="4"/>
        <v>8</v>
      </c>
    </row>
    <row r="302" spans="1:22" x14ac:dyDescent="0.2">
      <c r="A302" t="s">
        <v>314</v>
      </c>
      <c r="B302" s="3">
        <v>45319</v>
      </c>
      <c r="C302" s="3">
        <v>45327</v>
      </c>
      <c r="D302">
        <f ca="1">IF(ISBLANK(Table14[[#This Row],[Discharge Date]]),TODAY()-Table14[[#This Row],[Admission Date]], Table14[[#This Row],[Discharge Date]]-Table14[[#This Row],[Admission Date]])</f>
        <v>8</v>
      </c>
      <c r="E302" s="6" t="str">
        <f>IF(Table14[[#This Row],[Discharge Date]]="","Still Admitted","Patient Discharged")</f>
        <v>Patient Discharged</v>
      </c>
      <c r="F302" s="6" t="str">
        <f>IF(WEEKDAY(Table14[[#This Row],[Admission Date]],2)&gt;5,"Weekend","Weekday")</f>
        <v>Weekend</v>
      </c>
      <c r="G302" t="s">
        <v>7</v>
      </c>
      <c r="H302">
        <v>60</v>
      </c>
      <c r="I302" t="str" cm="1">
        <f t="array" ref="I302">_xlfn.IFS(Table14[[#This Row],[Age]]&lt;18,"Children",Table14[[#This Row],[Age]]&lt;50,"Adult",Table14[[#This Row],[Age]]&gt;=50,"Elderly")</f>
        <v>Elderly</v>
      </c>
      <c r="J302" t="s">
        <v>546</v>
      </c>
      <c r="K302" s="7">
        <v>300530</v>
      </c>
      <c r="L302" s="2" t="str" cm="1">
        <f t="array" ref="L302">_xlfn.IFS(Table14[[#This Row],[Treatment Cost]]&lt;50000,"Low Billing",Table14[[#This Row],[Treatment Cost]]&lt;200000,"Moderate Billing",Table14[[#This Row],[Treatment Cost]]&gt;=200000,"High Billing")</f>
        <v>High Billing</v>
      </c>
      <c r="M302" t="s">
        <v>8</v>
      </c>
      <c r="N302" t="str">
        <f>IF(AND(Table14[[#This Row],[Outcome]]="Follow-up",Table14[[#This Row],[Admission Status]]="Patient Discharged"),"High Risk Patient","Low Risk Patient")</f>
        <v>High Risk Patient</v>
      </c>
      <c r="O302" t="str">
        <f>IFERROR(VLOOKUP(Table14[[#This Row],[Department]],Doctor_Info!A:D,2,FALSE), "")</f>
        <v>Dr. Ada</v>
      </c>
      <c r="P302" t="str">
        <f>IF(COUNTIF(A:A,Table14[[#This Row],[Patient ID]]&gt;1),"Returning Patient","New Patient")</f>
        <v>New Patient</v>
      </c>
      <c r="Q302" t="str">
        <f>_xlfn.XLOOKUP(Table14[[#This Row],[Department]], Doctor_Info!A:A, Doctor_Info!C:C, "")&amp;""</f>
        <v>301</v>
      </c>
      <c r="R302" t="str">
        <f>TEXT(Table14[[#This Row],[Admission Date]],"ddd")</f>
        <v>Sun</v>
      </c>
      <c r="S302" t="str">
        <f>TEXT(Table14[[#This Row],[Admission Date]],"mmm")</f>
        <v>Jan</v>
      </c>
      <c r="T302" t="str">
        <f>TEXT(Table14[[#This Row],[Admission Date]],"yyyy")</f>
        <v>2024</v>
      </c>
      <c r="U302" t="str">
        <f>TEXT(Table14[[#This Row],[Admission Date]],"mmm-yyyy")</f>
        <v>Jan-2024</v>
      </c>
      <c r="V302">
        <f t="shared" ca="1" si="4"/>
        <v>8</v>
      </c>
    </row>
    <row r="303" spans="1:22" x14ac:dyDescent="0.2">
      <c r="A303" t="s">
        <v>315</v>
      </c>
      <c r="B303" s="3">
        <v>45323</v>
      </c>
      <c r="C303" s="3">
        <v>45324</v>
      </c>
      <c r="D303">
        <f ca="1">IF(ISBLANK(Table14[[#This Row],[Discharge Date]]),TODAY()-Table14[[#This Row],[Admission Date]], Table14[[#This Row],[Discharge Date]]-Table14[[#This Row],[Admission Date]])</f>
        <v>1</v>
      </c>
      <c r="E303" s="6" t="str">
        <f>IF(Table14[[#This Row],[Discharge Date]]="","Still Admitted","Patient Discharged")</f>
        <v>Patient Discharged</v>
      </c>
      <c r="F303" s="6" t="str">
        <f>IF(WEEKDAY(Table14[[#This Row],[Admission Date]],2)&gt;5,"Weekend","Weekday")</f>
        <v>Weekday</v>
      </c>
      <c r="G303" t="s">
        <v>528</v>
      </c>
      <c r="H303">
        <v>62</v>
      </c>
      <c r="I303" t="str" cm="1">
        <f t="array" ref="I303">_xlfn.IFS(Table14[[#This Row],[Age]]&lt;18,"Children",Table14[[#This Row],[Age]]&lt;50,"Adult",Table14[[#This Row],[Age]]&gt;=50,"Elderly")</f>
        <v>Elderly</v>
      </c>
      <c r="J303" t="s">
        <v>547</v>
      </c>
      <c r="K303" s="7">
        <v>301500</v>
      </c>
      <c r="L303" s="2" t="str" cm="1">
        <f t="array" ref="L303">_xlfn.IFS(Table14[[#This Row],[Treatment Cost]]&lt;50000,"Low Billing",Table14[[#This Row],[Treatment Cost]]&lt;200000,"Moderate Billing",Table14[[#This Row],[Treatment Cost]]&gt;=200000,"High Billing")</f>
        <v>High Billing</v>
      </c>
      <c r="M303" t="s">
        <v>6</v>
      </c>
      <c r="N303" t="str">
        <f>IF(AND(Table14[[#This Row],[Outcome]]="Follow-up",Table14[[#This Row],[Admission Status]]="Patient Discharged"),"High Risk Patient","Low Risk Patient")</f>
        <v>Low Risk Patient</v>
      </c>
      <c r="O303" t="str">
        <f>IFERROR(VLOOKUP(Table14[[#This Row],[Department]],Doctor_Info!A:D,2,FALSE), "")</f>
        <v>Dr. Kofi</v>
      </c>
      <c r="P303" t="str">
        <f>IF(COUNTIF(A:A,Table14[[#This Row],[Patient ID]]&gt;1),"Returning Patient","New Patient")</f>
        <v>New Patient</v>
      </c>
      <c r="Q303" t="str">
        <f>_xlfn.XLOOKUP(Table14[[#This Row],[Department]], Doctor_Info!A:A, Doctor_Info!C:C, "")&amp;""</f>
        <v>102</v>
      </c>
      <c r="R303" t="str">
        <f>TEXT(Table14[[#This Row],[Admission Date]],"ddd")</f>
        <v>Thu</v>
      </c>
      <c r="S303" t="str">
        <f>TEXT(Table14[[#This Row],[Admission Date]],"mmm")</f>
        <v>Feb</v>
      </c>
      <c r="T303" t="str">
        <f>TEXT(Table14[[#This Row],[Admission Date]],"yyyy")</f>
        <v>2024</v>
      </c>
      <c r="U303" t="str">
        <f>TEXT(Table14[[#This Row],[Admission Date]],"mmm-yyyy")</f>
        <v>Feb-2024</v>
      </c>
      <c r="V303">
        <f t="shared" ca="1" si="4"/>
        <v>8</v>
      </c>
    </row>
    <row r="304" spans="1:22" x14ac:dyDescent="0.2">
      <c r="A304" t="s">
        <v>316</v>
      </c>
      <c r="B304" s="3">
        <v>45325</v>
      </c>
      <c r="C304" s="3">
        <v>45337</v>
      </c>
      <c r="D304">
        <f ca="1">IF(ISBLANK(Table14[[#This Row],[Discharge Date]]),TODAY()-Table14[[#This Row],[Admission Date]], Table14[[#This Row],[Discharge Date]]-Table14[[#This Row],[Admission Date]])</f>
        <v>12</v>
      </c>
      <c r="E304" s="6" t="str">
        <f>IF(Table14[[#This Row],[Discharge Date]]="","Still Admitted","Patient Discharged")</f>
        <v>Patient Discharged</v>
      </c>
      <c r="F304" s="6" t="str">
        <f>IF(WEEKDAY(Table14[[#This Row],[Admission Date]],2)&gt;5,"Weekend","Weekday")</f>
        <v>Weekend</v>
      </c>
      <c r="G304" t="s">
        <v>12</v>
      </c>
      <c r="H304">
        <v>64</v>
      </c>
      <c r="I304" t="str" cm="1">
        <f t="array" ref="I304">_xlfn.IFS(Table14[[#This Row],[Age]]&lt;18,"Children",Table14[[#This Row],[Age]]&lt;50,"Adult",Table14[[#This Row],[Age]]&gt;=50,"Elderly")</f>
        <v>Elderly</v>
      </c>
      <c r="J304" t="s">
        <v>546</v>
      </c>
      <c r="K304" s="7">
        <v>302470</v>
      </c>
      <c r="L304" s="2" t="str" cm="1">
        <f t="array" ref="L304">_xlfn.IFS(Table14[[#This Row],[Treatment Cost]]&lt;50000,"Low Billing",Table14[[#This Row],[Treatment Cost]]&lt;200000,"Moderate Billing",Table14[[#This Row],[Treatment Cost]]&gt;=200000,"High Billing")</f>
        <v>High Billing</v>
      </c>
      <c r="M304" t="s">
        <v>8</v>
      </c>
      <c r="N304" t="str">
        <f>IF(AND(Table14[[#This Row],[Outcome]]="Follow-up",Table14[[#This Row],[Admission Status]]="Patient Discharged"),"High Risk Patient","Low Risk Patient")</f>
        <v>High Risk Patient</v>
      </c>
      <c r="O304" t="str">
        <f>IFERROR(VLOOKUP(Table14[[#This Row],[Department]],Doctor_Info!A:D,2,FALSE), "")</f>
        <v>Dr. Temi</v>
      </c>
      <c r="P304" t="str">
        <f>IF(COUNTIF(A:A,Table14[[#This Row],[Patient ID]]&gt;1),"Returning Patient","New Patient")</f>
        <v>New Patient</v>
      </c>
      <c r="Q304" t="str">
        <f>_xlfn.XLOOKUP(Table14[[#This Row],[Department]], Doctor_Info!A:A, Doctor_Info!C:C, "")&amp;""</f>
        <v>502</v>
      </c>
      <c r="R304" t="str">
        <f>TEXT(Table14[[#This Row],[Admission Date]],"ddd")</f>
        <v>Sat</v>
      </c>
      <c r="S304" t="str">
        <f>TEXT(Table14[[#This Row],[Admission Date]],"mmm")</f>
        <v>Feb</v>
      </c>
      <c r="T304" t="str">
        <f>TEXT(Table14[[#This Row],[Admission Date]],"yyyy")</f>
        <v>2024</v>
      </c>
      <c r="U304" t="str">
        <f>TEXT(Table14[[#This Row],[Admission Date]],"mmm-yyyy")</f>
        <v>Feb-2024</v>
      </c>
      <c r="V304">
        <f t="shared" ca="1" si="4"/>
        <v>8</v>
      </c>
    </row>
    <row r="305" spans="1:22" x14ac:dyDescent="0.2">
      <c r="A305" t="s">
        <v>317</v>
      </c>
      <c r="B305" s="3">
        <v>45327</v>
      </c>
      <c r="C305" s="3">
        <v>45328</v>
      </c>
      <c r="D305">
        <f ca="1">IF(ISBLANK(Table14[[#This Row],[Discharge Date]]),TODAY()-Table14[[#This Row],[Admission Date]], Table14[[#This Row],[Discharge Date]]-Table14[[#This Row],[Admission Date]])</f>
        <v>1</v>
      </c>
      <c r="E305" s="6" t="str">
        <f>IF(Table14[[#This Row],[Discharge Date]]="","Still Admitted","Patient Discharged")</f>
        <v>Patient Discharged</v>
      </c>
      <c r="F305" s="6" t="str">
        <f>IF(WEEKDAY(Table14[[#This Row],[Admission Date]],2)&gt;5,"Weekend","Weekday")</f>
        <v>Weekday</v>
      </c>
      <c r="G305" t="s">
        <v>528</v>
      </c>
      <c r="H305">
        <v>66</v>
      </c>
      <c r="I305" t="str" cm="1">
        <f t="array" ref="I305">_xlfn.IFS(Table14[[#This Row],[Age]]&lt;18,"Children",Table14[[#This Row],[Age]]&lt;50,"Adult",Table14[[#This Row],[Age]]&gt;=50,"Elderly")</f>
        <v>Elderly</v>
      </c>
      <c r="J305" t="s">
        <v>547</v>
      </c>
      <c r="K305" s="7">
        <v>303440</v>
      </c>
      <c r="L305" s="2" t="str" cm="1">
        <f t="array" ref="L305">_xlfn.IFS(Table14[[#This Row],[Treatment Cost]]&lt;50000,"Low Billing",Table14[[#This Row],[Treatment Cost]]&lt;200000,"Moderate Billing",Table14[[#This Row],[Treatment Cost]]&gt;=200000,"High Billing")</f>
        <v>High Billing</v>
      </c>
      <c r="M305" t="s">
        <v>6</v>
      </c>
      <c r="N305" t="str">
        <f>IF(AND(Table14[[#This Row],[Outcome]]="Follow-up",Table14[[#This Row],[Admission Status]]="Patient Discharged"),"High Risk Patient","Low Risk Patient")</f>
        <v>Low Risk Patient</v>
      </c>
      <c r="O305" t="str">
        <f>IFERROR(VLOOKUP(Table14[[#This Row],[Department]],Doctor_Info!A:D,2,FALSE), "")</f>
        <v>Dr. Kofi</v>
      </c>
      <c r="P305" t="str">
        <f>IF(COUNTIF(A:A,Table14[[#This Row],[Patient ID]]&gt;1),"Returning Patient","New Patient")</f>
        <v>New Patient</v>
      </c>
      <c r="Q305" t="str">
        <f>_xlfn.XLOOKUP(Table14[[#This Row],[Department]], Doctor_Info!A:A, Doctor_Info!C:C, "")&amp;""</f>
        <v>102</v>
      </c>
      <c r="R305" t="str">
        <f>TEXT(Table14[[#This Row],[Admission Date]],"ddd")</f>
        <v>Mon</v>
      </c>
      <c r="S305" t="str">
        <f>TEXT(Table14[[#This Row],[Admission Date]],"mmm")</f>
        <v>Feb</v>
      </c>
      <c r="T305" t="str">
        <f>TEXT(Table14[[#This Row],[Admission Date]],"yyyy")</f>
        <v>2024</v>
      </c>
      <c r="U305" t="str">
        <f>TEXT(Table14[[#This Row],[Admission Date]],"mmm-yyyy")</f>
        <v>Feb-2024</v>
      </c>
      <c r="V305">
        <f t="shared" ca="1" si="4"/>
        <v>8</v>
      </c>
    </row>
    <row r="306" spans="1:22" x14ac:dyDescent="0.2">
      <c r="A306" t="s">
        <v>318</v>
      </c>
      <c r="B306" s="3">
        <v>45332</v>
      </c>
      <c r="D306">
        <f ca="1">IF(ISBLANK(Table14[[#This Row],[Discharge Date]]),TODAY()-Table14[[#This Row],[Admission Date]], Table14[[#This Row],[Discharge Date]]-Table14[[#This Row],[Admission Date]])</f>
        <v>806</v>
      </c>
      <c r="E306" s="6" t="str">
        <f>IF(Table14[[#This Row],[Discharge Date]]="","Still Admitted","Patient Discharged")</f>
        <v>Still Admitted</v>
      </c>
      <c r="F306" s="6" t="str">
        <f>IF(WEEKDAY(Table14[[#This Row],[Admission Date]],2)&gt;5,"Weekend","Weekday")</f>
        <v>Weekend</v>
      </c>
      <c r="G306" t="s">
        <v>10</v>
      </c>
      <c r="H306">
        <v>68</v>
      </c>
      <c r="I306" t="str" cm="1">
        <f t="array" ref="I306">_xlfn.IFS(Table14[[#This Row],[Age]]&lt;18,"Children",Table14[[#This Row],[Age]]&lt;50,"Adult",Table14[[#This Row],[Age]]&gt;=50,"Elderly")</f>
        <v>Elderly</v>
      </c>
      <c r="J306" t="s">
        <v>547</v>
      </c>
      <c r="K306" s="7">
        <v>304410</v>
      </c>
      <c r="L306" s="2" t="str" cm="1">
        <f t="array" ref="L306">_xlfn.IFS(Table14[[#This Row],[Treatment Cost]]&lt;50000,"Low Billing",Table14[[#This Row],[Treatment Cost]]&lt;200000,"Moderate Billing",Table14[[#This Row],[Treatment Cost]]&gt;=200000,"High Billing")</f>
        <v>High Billing</v>
      </c>
      <c r="M306" t="s">
        <v>403</v>
      </c>
      <c r="N306" t="str">
        <f>IF(AND(Table14[[#This Row],[Outcome]]="Follow-up",Table14[[#This Row],[Admission Status]]="Patient Discharged"),"High Risk Patient","Low Risk Patient")</f>
        <v>Low Risk Patient</v>
      </c>
      <c r="O306" t="str">
        <f>IFERROR(VLOOKUP(Table14[[#This Row],[Department]],Doctor_Info!A:D,2,FALSE), "")</f>
        <v>Dr. George</v>
      </c>
      <c r="P306" t="str">
        <f>IF(COUNTIF(A:A,Table14[[#This Row],[Patient ID]]&gt;1),"Returning Patient","New Patient")</f>
        <v>New Patient</v>
      </c>
      <c r="Q306" t="str">
        <f>_xlfn.XLOOKUP(Table14[[#This Row],[Department]], Doctor_Info!A:A, Doctor_Info!C:C, "")&amp;""</f>
        <v>405</v>
      </c>
      <c r="R306" t="str">
        <f>TEXT(Table14[[#This Row],[Admission Date]],"ddd")</f>
        <v>Sat</v>
      </c>
      <c r="S306" t="str">
        <f>TEXT(Table14[[#This Row],[Admission Date]],"mmm")</f>
        <v>Feb</v>
      </c>
      <c r="T306" t="str">
        <f>TEXT(Table14[[#This Row],[Admission Date]],"yyyy")</f>
        <v>2024</v>
      </c>
      <c r="U306" t="str">
        <f>TEXT(Table14[[#This Row],[Admission Date]],"mmm-yyyy")</f>
        <v>Feb-2024</v>
      </c>
      <c r="V306">
        <f t="shared" ca="1" si="4"/>
        <v>8</v>
      </c>
    </row>
    <row r="307" spans="1:22" x14ac:dyDescent="0.2">
      <c r="A307" t="s">
        <v>319</v>
      </c>
      <c r="B307" s="3">
        <v>45319</v>
      </c>
      <c r="C307" s="3">
        <v>45327</v>
      </c>
      <c r="D307">
        <f ca="1">IF(ISBLANK(Table14[[#This Row],[Discharge Date]]),TODAY()-Table14[[#This Row],[Admission Date]], Table14[[#This Row],[Discharge Date]]-Table14[[#This Row],[Admission Date]])</f>
        <v>8</v>
      </c>
      <c r="E307" s="6" t="str">
        <f>IF(Table14[[#This Row],[Discharge Date]]="","Still Admitted","Patient Discharged")</f>
        <v>Patient Discharged</v>
      </c>
      <c r="F307" s="6" t="str">
        <f>IF(WEEKDAY(Table14[[#This Row],[Admission Date]],2)&gt;5,"Weekend","Weekday")</f>
        <v>Weekend</v>
      </c>
      <c r="G307" t="s">
        <v>7</v>
      </c>
      <c r="H307">
        <v>70</v>
      </c>
      <c r="I307" t="str" cm="1">
        <f t="array" ref="I307">_xlfn.IFS(Table14[[#This Row],[Age]]&lt;18,"Children",Table14[[#This Row],[Age]]&lt;50,"Adult",Table14[[#This Row],[Age]]&gt;=50,"Elderly")</f>
        <v>Elderly</v>
      </c>
      <c r="J307" t="s">
        <v>546</v>
      </c>
      <c r="K307" s="7">
        <v>305380</v>
      </c>
      <c r="L307" s="2" t="str" cm="1">
        <f t="array" ref="L307">_xlfn.IFS(Table14[[#This Row],[Treatment Cost]]&lt;50000,"Low Billing",Table14[[#This Row],[Treatment Cost]]&lt;200000,"Moderate Billing",Table14[[#This Row],[Treatment Cost]]&gt;=200000,"High Billing")</f>
        <v>High Billing</v>
      </c>
      <c r="M307" t="s">
        <v>8</v>
      </c>
      <c r="N307" t="str">
        <f>IF(AND(Table14[[#This Row],[Outcome]]="Follow-up",Table14[[#This Row],[Admission Status]]="Patient Discharged"),"High Risk Patient","Low Risk Patient")</f>
        <v>High Risk Patient</v>
      </c>
      <c r="O307" t="str">
        <f>IFERROR(VLOOKUP(Table14[[#This Row],[Department]],Doctor_Info!A:D,2,FALSE), "")</f>
        <v>Dr. Ada</v>
      </c>
      <c r="P307" t="str">
        <f>IF(COUNTIF(A:A,Table14[[#This Row],[Patient ID]]&gt;1),"Returning Patient","New Patient")</f>
        <v>New Patient</v>
      </c>
      <c r="Q307" t="str">
        <f>_xlfn.XLOOKUP(Table14[[#This Row],[Department]], Doctor_Info!A:A, Doctor_Info!C:C, "")&amp;""</f>
        <v>301</v>
      </c>
      <c r="R307" t="str">
        <f>TEXT(Table14[[#This Row],[Admission Date]],"ddd")</f>
        <v>Sun</v>
      </c>
      <c r="S307" t="str">
        <f>TEXT(Table14[[#This Row],[Admission Date]],"mmm")</f>
        <v>Jan</v>
      </c>
      <c r="T307" t="str">
        <f>TEXT(Table14[[#This Row],[Admission Date]],"yyyy")</f>
        <v>2024</v>
      </c>
      <c r="U307" t="str">
        <f>TEXT(Table14[[#This Row],[Admission Date]],"mmm-yyyy")</f>
        <v>Jan-2024</v>
      </c>
      <c r="V307">
        <f t="shared" ca="1" si="4"/>
        <v>8</v>
      </c>
    </row>
    <row r="308" spans="1:22" x14ac:dyDescent="0.2">
      <c r="A308" t="s">
        <v>320</v>
      </c>
      <c r="B308" s="3">
        <v>45323</v>
      </c>
      <c r="C308" s="3">
        <v>45324</v>
      </c>
      <c r="D308">
        <f ca="1">IF(ISBLANK(Table14[[#This Row],[Discharge Date]]),TODAY()-Table14[[#This Row],[Admission Date]], Table14[[#This Row],[Discharge Date]]-Table14[[#This Row],[Admission Date]])</f>
        <v>1</v>
      </c>
      <c r="E308" s="6" t="str">
        <f>IF(Table14[[#This Row],[Discharge Date]]="","Still Admitted","Patient Discharged")</f>
        <v>Patient Discharged</v>
      </c>
      <c r="F308" s="6" t="str">
        <f>IF(WEEKDAY(Table14[[#This Row],[Admission Date]],2)&gt;5,"Weekend","Weekday")</f>
        <v>Weekday</v>
      </c>
      <c r="G308" t="s">
        <v>528</v>
      </c>
      <c r="H308">
        <v>72</v>
      </c>
      <c r="I308" t="str" cm="1">
        <f t="array" ref="I308">_xlfn.IFS(Table14[[#This Row],[Age]]&lt;18,"Children",Table14[[#This Row],[Age]]&lt;50,"Adult",Table14[[#This Row],[Age]]&gt;=50,"Elderly")</f>
        <v>Elderly</v>
      </c>
      <c r="J308" t="s">
        <v>547</v>
      </c>
      <c r="K308" s="7">
        <v>306350</v>
      </c>
      <c r="L308" s="2" t="str" cm="1">
        <f t="array" ref="L308">_xlfn.IFS(Table14[[#This Row],[Treatment Cost]]&lt;50000,"Low Billing",Table14[[#This Row],[Treatment Cost]]&lt;200000,"Moderate Billing",Table14[[#This Row],[Treatment Cost]]&gt;=200000,"High Billing")</f>
        <v>High Billing</v>
      </c>
      <c r="M308" t="s">
        <v>6</v>
      </c>
      <c r="N308" t="str">
        <f>IF(AND(Table14[[#This Row],[Outcome]]="Follow-up",Table14[[#This Row],[Admission Status]]="Patient Discharged"),"High Risk Patient","Low Risk Patient")</f>
        <v>Low Risk Patient</v>
      </c>
      <c r="O308" t="str">
        <f>IFERROR(VLOOKUP(Table14[[#This Row],[Department]],Doctor_Info!A:D,2,FALSE), "")</f>
        <v>Dr. Kofi</v>
      </c>
      <c r="P308" t="str">
        <f>IF(COUNTIF(A:A,Table14[[#This Row],[Patient ID]]&gt;1),"Returning Patient","New Patient")</f>
        <v>New Patient</v>
      </c>
      <c r="Q308" t="str">
        <f>_xlfn.XLOOKUP(Table14[[#This Row],[Department]], Doctor_Info!A:A, Doctor_Info!C:C, "")&amp;""</f>
        <v>102</v>
      </c>
      <c r="R308" t="str">
        <f>TEXT(Table14[[#This Row],[Admission Date]],"ddd")</f>
        <v>Thu</v>
      </c>
      <c r="S308" t="str">
        <f>TEXT(Table14[[#This Row],[Admission Date]],"mmm")</f>
        <v>Feb</v>
      </c>
      <c r="T308" t="str">
        <f>TEXT(Table14[[#This Row],[Admission Date]],"yyyy")</f>
        <v>2024</v>
      </c>
      <c r="U308" t="str">
        <f>TEXT(Table14[[#This Row],[Admission Date]],"mmm-yyyy")</f>
        <v>Feb-2024</v>
      </c>
      <c r="V308">
        <f t="shared" ca="1" si="4"/>
        <v>8</v>
      </c>
    </row>
    <row r="309" spans="1:22" x14ac:dyDescent="0.2">
      <c r="A309" t="s">
        <v>321</v>
      </c>
      <c r="B309" s="3">
        <v>45325</v>
      </c>
      <c r="C309" s="3">
        <v>45337</v>
      </c>
      <c r="D309">
        <f ca="1">IF(ISBLANK(Table14[[#This Row],[Discharge Date]]),TODAY()-Table14[[#This Row],[Admission Date]], Table14[[#This Row],[Discharge Date]]-Table14[[#This Row],[Admission Date]])</f>
        <v>12</v>
      </c>
      <c r="E309" s="6" t="str">
        <f>IF(Table14[[#This Row],[Discharge Date]]="","Still Admitted","Patient Discharged")</f>
        <v>Patient Discharged</v>
      </c>
      <c r="F309" s="6" t="str">
        <f>IF(WEEKDAY(Table14[[#This Row],[Admission Date]],2)&gt;5,"Weekend","Weekday")</f>
        <v>Weekend</v>
      </c>
      <c r="G309" t="s">
        <v>12</v>
      </c>
      <c r="H309">
        <v>74</v>
      </c>
      <c r="I309" t="str" cm="1">
        <f t="array" ref="I309">_xlfn.IFS(Table14[[#This Row],[Age]]&lt;18,"Children",Table14[[#This Row],[Age]]&lt;50,"Adult",Table14[[#This Row],[Age]]&gt;=50,"Elderly")</f>
        <v>Elderly</v>
      </c>
      <c r="J309" t="s">
        <v>546</v>
      </c>
      <c r="K309" s="7">
        <v>307320</v>
      </c>
      <c r="L309" s="2" t="str" cm="1">
        <f t="array" ref="L309">_xlfn.IFS(Table14[[#This Row],[Treatment Cost]]&lt;50000,"Low Billing",Table14[[#This Row],[Treatment Cost]]&lt;200000,"Moderate Billing",Table14[[#This Row],[Treatment Cost]]&gt;=200000,"High Billing")</f>
        <v>High Billing</v>
      </c>
      <c r="M309" t="s">
        <v>8</v>
      </c>
      <c r="N309" t="str">
        <f>IF(AND(Table14[[#This Row],[Outcome]]="Follow-up",Table14[[#This Row],[Admission Status]]="Patient Discharged"),"High Risk Patient","Low Risk Patient")</f>
        <v>High Risk Patient</v>
      </c>
      <c r="O309" t="str">
        <f>IFERROR(VLOOKUP(Table14[[#This Row],[Department]],Doctor_Info!A:D,2,FALSE), "")</f>
        <v>Dr. Temi</v>
      </c>
      <c r="P309" t="str">
        <f>IF(COUNTIF(A:A,Table14[[#This Row],[Patient ID]]&gt;1),"Returning Patient","New Patient")</f>
        <v>New Patient</v>
      </c>
      <c r="Q309" t="str">
        <f>_xlfn.XLOOKUP(Table14[[#This Row],[Department]], Doctor_Info!A:A, Doctor_Info!C:C, "")&amp;""</f>
        <v>502</v>
      </c>
      <c r="R309" t="str">
        <f>TEXT(Table14[[#This Row],[Admission Date]],"ddd")</f>
        <v>Sat</v>
      </c>
      <c r="S309" t="str">
        <f>TEXT(Table14[[#This Row],[Admission Date]],"mmm")</f>
        <v>Feb</v>
      </c>
      <c r="T309" t="str">
        <f>TEXT(Table14[[#This Row],[Admission Date]],"yyyy")</f>
        <v>2024</v>
      </c>
      <c r="U309" t="str">
        <f>TEXT(Table14[[#This Row],[Admission Date]],"mmm-yyyy")</f>
        <v>Feb-2024</v>
      </c>
      <c r="V309">
        <f t="shared" ca="1" si="4"/>
        <v>8</v>
      </c>
    </row>
    <row r="310" spans="1:22" x14ac:dyDescent="0.2">
      <c r="A310" t="s">
        <v>322</v>
      </c>
      <c r="B310" s="3">
        <v>45327</v>
      </c>
      <c r="C310" s="3">
        <v>45328</v>
      </c>
      <c r="D310">
        <f ca="1">IF(ISBLANK(Table14[[#This Row],[Discharge Date]]),TODAY()-Table14[[#This Row],[Admission Date]], Table14[[#This Row],[Discharge Date]]-Table14[[#This Row],[Admission Date]])</f>
        <v>1</v>
      </c>
      <c r="E310" s="6" t="str">
        <f>IF(Table14[[#This Row],[Discharge Date]]="","Still Admitted","Patient Discharged")</f>
        <v>Patient Discharged</v>
      </c>
      <c r="F310" s="6" t="str">
        <f>IF(WEEKDAY(Table14[[#This Row],[Admission Date]],2)&gt;5,"Weekend","Weekday")</f>
        <v>Weekday</v>
      </c>
      <c r="G310" t="s">
        <v>528</v>
      </c>
      <c r="H310">
        <v>76</v>
      </c>
      <c r="I310" t="str" cm="1">
        <f t="array" ref="I310">_xlfn.IFS(Table14[[#This Row],[Age]]&lt;18,"Children",Table14[[#This Row],[Age]]&lt;50,"Adult",Table14[[#This Row],[Age]]&gt;=50,"Elderly")</f>
        <v>Elderly</v>
      </c>
      <c r="J310" t="s">
        <v>547</v>
      </c>
      <c r="K310" s="7">
        <v>308290</v>
      </c>
      <c r="L310" s="2" t="str" cm="1">
        <f t="array" ref="L310">_xlfn.IFS(Table14[[#This Row],[Treatment Cost]]&lt;50000,"Low Billing",Table14[[#This Row],[Treatment Cost]]&lt;200000,"Moderate Billing",Table14[[#This Row],[Treatment Cost]]&gt;=200000,"High Billing")</f>
        <v>High Billing</v>
      </c>
      <c r="M310" t="s">
        <v>6</v>
      </c>
      <c r="N310" t="str">
        <f>IF(AND(Table14[[#This Row],[Outcome]]="Follow-up",Table14[[#This Row],[Admission Status]]="Patient Discharged"),"High Risk Patient","Low Risk Patient")</f>
        <v>Low Risk Patient</v>
      </c>
      <c r="O310" t="str">
        <f>IFERROR(VLOOKUP(Table14[[#This Row],[Department]],Doctor_Info!A:D,2,FALSE), "")</f>
        <v>Dr. Kofi</v>
      </c>
      <c r="P310" t="str">
        <f>IF(COUNTIF(A:A,Table14[[#This Row],[Patient ID]]&gt;1),"Returning Patient","New Patient")</f>
        <v>New Patient</v>
      </c>
      <c r="Q310" t="str">
        <f>_xlfn.XLOOKUP(Table14[[#This Row],[Department]], Doctor_Info!A:A, Doctor_Info!C:C, "")&amp;""</f>
        <v>102</v>
      </c>
      <c r="R310" t="str">
        <f>TEXT(Table14[[#This Row],[Admission Date]],"ddd")</f>
        <v>Mon</v>
      </c>
      <c r="S310" t="str">
        <f>TEXT(Table14[[#This Row],[Admission Date]],"mmm")</f>
        <v>Feb</v>
      </c>
      <c r="T310" t="str">
        <f>TEXT(Table14[[#This Row],[Admission Date]],"yyyy")</f>
        <v>2024</v>
      </c>
      <c r="U310" t="str">
        <f>TEXT(Table14[[#This Row],[Admission Date]],"mmm-yyyy")</f>
        <v>Feb-2024</v>
      </c>
      <c r="V310">
        <f t="shared" ca="1" si="4"/>
        <v>8</v>
      </c>
    </row>
    <row r="311" spans="1:22" x14ac:dyDescent="0.2">
      <c r="A311" t="s">
        <v>323</v>
      </c>
      <c r="B311" s="3">
        <v>45332</v>
      </c>
      <c r="D311">
        <f ca="1">IF(ISBLANK(Table14[[#This Row],[Discharge Date]]),TODAY()-Table14[[#This Row],[Admission Date]], Table14[[#This Row],[Discharge Date]]-Table14[[#This Row],[Admission Date]])</f>
        <v>806</v>
      </c>
      <c r="E311" s="6" t="str">
        <f>IF(Table14[[#This Row],[Discharge Date]]="","Still Admitted","Patient Discharged")</f>
        <v>Still Admitted</v>
      </c>
      <c r="F311" s="6" t="str">
        <f>IF(WEEKDAY(Table14[[#This Row],[Admission Date]],2)&gt;5,"Weekend","Weekday")</f>
        <v>Weekend</v>
      </c>
      <c r="G311" t="s">
        <v>10</v>
      </c>
      <c r="H311">
        <v>78</v>
      </c>
      <c r="I311" t="str" cm="1">
        <f t="array" ref="I311">_xlfn.IFS(Table14[[#This Row],[Age]]&lt;18,"Children",Table14[[#This Row],[Age]]&lt;50,"Adult",Table14[[#This Row],[Age]]&gt;=50,"Elderly")</f>
        <v>Elderly</v>
      </c>
      <c r="J311" t="s">
        <v>547</v>
      </c>
      <c r="K311" s="7">
        <v>309260</v>
      </c>
      <c r="L311" s="2" t="str" cm="1">
        <f t="array" ref="L311">_xlfn.IFS(Table14[[#This Row],[Treatment Cost]]&lt;50000,"Low Billing",Table14[[#This Row],[Treatment Cost]]&lt;200000,"Moderate Billing",Table14[[#This Row],[Treatment Cost]]&gt;=200000,"High Billing")</f>
        <v>High Billing</v>
      </c>
      <c r="M311" t="s">
        <v>403</v>
      </c>
      <c r="N311" t="str">
        <f>IF(AND(Table14[[#This Row],[Outcome]]="Follow-up",Table14[[#This Row],[Admission Status]]="Patient Discharged"),"High Risk Patient","Low Risk Patient")</f>
        <v>Low Risk Patient</v>
      </c>
      <c r="O311" t="str">
        <f>IFERROR(VLOOKUP(Table14[[#This Row],[Department]],Doctor_Info!A:D,2,FALSE), "")</f>
        <v>Dr. George</v>
      </c>
      <c r="P311" t="str">
        <f>IF(COUNTIF(A:A,Table14[[#This Row],[Patient ID]]&gt;1),"Returning Patient","New Patient")</f>
        <v>New Patient</v>
      </c>
      <c r="Q311" t="str">
        <f>_xlfn.XLOOKUP(Table14[[#This Row],[Department]], Doctor_Info!A:A, Doctor_Info!C:C, "")&amp;""</f>
        <v>405</v>
      </c>
      <c r="R311" t="str">
        <f>TEXT(Table14[[#This Row],[Admission Date]],"ddd")</f>
        <v>Sat</v>
      </c>
      <c r="S311" t="str">
        <f>TEXT(Table14[[#This Row],[Admission Date]],"mmm")</f>
        <v>Feb</v>
      </c>
      <c r="T311" t="str">
        <f>TEXT(Table14[[#This Row],[Admission Date]],"yyyy")</f>
        <v>2024</v>
      </c>
      <c r="U311" t="str">
        <f>TEXT(Table14[[#This Row],[Admission Date]],"mmm-yyyy")</f>
        <v>Feb-2024</v>
      </c>
      <c r="V311">
        <f t="shared" ca="1" si="4"/>
        <v>8</v>
      </c>
    </row>
    <row r="312" spans="1:22" x14ac:dyDescent="0.2">
      <c r="A312" t="s">
        <v>324</v>
      </c>
      <c r="B312" s="3">
        <v>45319</v>
      </c>
      <c r="C312" s="3">
        <v>45327</v>
      </c>
      <c r="D312">
        <f ca="1">IF(ISBLANK(Table14[[#This Row],[Discharge Date]]),TODAY()-Table14[[#This Row],[Admission Date]], Table14[[#This Row],[Discharge Date]]-Table14[[#This Row],[Admission Date]])</f>
        <v>8</v>
      </c>
      <c r="E312" s="6" t="str">
        <f>IF(Table14[[#This Row],[Discharge Date]]="","Still Admitted","Patient Discharged")</f>
        <v>Patient Discharged</v>
      </c>
      <c r="F312" s="6" t="str">
        <f>IF(WEEKDAY(Table14[[#This Row],[Admission Date]],2)&gt;5,"Weekend","Weekday")</f>
        <v>Weekend</v>
      </c>
      <c r="G312" t="s">
        <v>7</v>
      </c>
      <c r="H312">
        <v>80</v>
      </c>
      <c r="I312" t="str" cm="1">
        <f t="array" ref="I312">_xlfn.IFS(Table14[[#This Row],[Age]]&lt;18,"Children",Table14[[#This Row],[Age]]&lt;50,"Adult",Table14[[#This Row],[Age]]&gt;=50,"Elderly")</f>
        <v>Elderly</v>
      </c>
      <c r="J312" t="s">
        <v>546</v>
      </c>
      <c r="K312" s="7">
        <v>310230</v>
      </c>
      <c r="L312" s="2" t="str" cm="1">
        <f t="array" ref="L312">_xlfn.IFS(Table14[[#This Row],[Treatment Cost]]&lt;50000,"Low Billing",Table14[[#This Row],[Treatment Cost]]&lt;200000,"Moderate Billing",Table14[[#This Row],[Treatment Cost]]&gt;=200000,"High Billing")</f>
        <v>High Billing</v>
      </c>
      <c r="M312" t="s">
        <v>8</v>
      </c>
      <c r="N312" t="str">
        <f>IF(AND(Table14[[#This Row],[Outcome]]="Follow-up",Table14[[#This Row],[Admission Status]]="Patient Discharged"),"High Risk Patient","Low Risk Patient")</f>
        <v>High Risk Patient</v>
      </c>
      <c r="O312" t="str">
        <f>IFERROR(VLOOKUP(Table14[[#This Row],[Department]],Doctor_Info!A:D,2,FALSE), "")</f>
        <v>Dr. Ada</v>
      </c>
      <c r="P312" t="str">
        <f>IF(COUNTIF(A:A,Table14[[#This Row],[Patient ID]]&gt;1),"Returning Patient","New Patient")</f>
        <v>New Patient</v>
      </c>
      <c r="Q312" t="str">
        <f>_xlfn.XLOOKUP(Table14[[#This Row],[Department]], Doctor_Info!A:A, Doctor_Info!C:C, "")&amp;""</f>
        <v>301</v>
      </c>
      <c r="R312" t="str">
        <f>TEXT(Table14[[#This Row],[Admission Date]],"ddd")</f>
        <v>Sun</v>
      </c>
      <c r="S312" t="str">
        <f>TEXT(Table14[[#This Row],[Admission Date]],"mmm")</f>
        <v>Jan</v>
      </c>
      <c r="T312" t="str">
        <f>TEXT(Table14[[#This Row],[Admission Date]],"yyyy")</f>
        <v>2024</v>
      </c>
      <c r="U312" t="str">
        <f>TEXT(Table14[[#This Row],[Admission Date]],"mmm-yyyy")</f>
        <v>Jan-2024</v>
      </c>
      <c r="V312">
        <f t="shared" ca="1" si="4"/>
        <v>8</v>
      </c>
    </row>
    <row r="313" spans="1:22" x14ac:dyDescent="0.2">
      <c r="A313" t="s">
        <v>325</v>
      </c>
      <c r="B313" s="3">
        <v>45323</v>
      </c>
      <c r="C313" s="3">
        <v>45324</v>
      </c>
      <c r="D313">
        <f ca="1">IF(ISBLANK(Table14[[#This Row],[Discharge Date]]),TODAY()-Table14[[#This Row],[Admission Date]], Table14[[#This Row],[Discharge Date]]-Table14[[#This Row],[Admission Date]])</f>
        <v>1</v>
      </c>
      <c r="E313" s="6" t="str">
        <f>IF(Table14[[#This Row],[Discharge Date]]="","Still Admitted","Patient Discharged")</f>
        <v>Patient Discharged</v>
      </c>
      <c r="F313" s="6" t="str">
        <f>IF(WEEKDAY(Table14[[#This Row],[Admission Date]],2)&gt;5,"Weekend","Weekday")</f>
        <v>Weekday</v>
      </c>
      <c r="G313" t="s">
        <v>528</v>
      </c>
      <c r="H313">
        <v>82</v>
      </c>
      <c r="I313" t="str" cm="1">
        <f t="array" ref="I313">_xlfn.IFS(Table14[[#This Row],[Age]]&lt;18,"Children",Table14[[#This Row],[Age]]&lt;50,"Adult",Table14[[#This Row],[Age]]&gt;=50,"Elderly")</f>
        <v>Elderly</v>
      </c>
      <c r="J313" t="s">
        <v>547</v>
      </c>
      <c r="K313" s="7">
        <v>311200</v>
      </c>
      <c r="L313" s="2" t="str" cm="1">
        <f t="array" ref="L313">_xlfn.IFS(Table14[[#This Row],[Treatment Cost]]&lt;50000,"Low Billing",Table14[[#This Row],[Treatment Cost]]&lt;200000,"Moderate Billing",Table14[[#This Row],[Treatment Cost]]&gt;=200000,"High Billing")</f>
        <v>High Billing</v>
      </c>
      <c r="M313" t="s">
        <v>6</v>
      </c>
      <c r="N313" t="str">
        <f>IF(AND(Table14[[#This Row],[Outcome]]="Follow-up",Table14[[#This Row],[Admission Status]]="Patient Discharged"),"High Risk Patient","Low Risk Patient")</f>
        <v>Low Risk Patient</v>
      </c>
      <c r="O313" t="str">
        <f>IFERROR(VLOOKUP(Table14[[#This Row],[Department]],Doctor_Info!A:D,2,FALSE), "")</f>
        <v>Dr. Kofi</v>
      </c>
      <c r="P313" t="str">
        <f>IF(COUNTIF(A:A,Table14[[#This Row],[Patient ID]]&gt;1),"Returning Patient","New Patient")</f>
        <v>New Patient</v>
      </c>
      <c r="Q313" t="str">
        <f>_xlfn.XLOOKUP(Table14[[#This Row],[Department]], Doctor_Info!A:A, Doctor_Info!C:C, "")&amp;""</f>
        <v>102</v>
      </c>
      <c r="R313" t="str">
        <f>TEXT(Table14[[#This Row],[Admission Date]],"ddd")</f>
        <v>Thu</v>
      </c>
      <c r="S313" t="str">
        <f>TEXT(Table14[[#This Row],[Admission Date]],"mmm")</f>
        <v>Feb</v>
      </c>
      <c r="T313" t="str">
        <f>TEXT(Table14[[#This Row],[Admission Date]],"yyyy")</f>
        <v>2024</v>
      </c>
      <c r="U313" t="str">
        <f>TEXT(Table14[[#This Row],[Admission Date]],"mmm-yyyy")</f>
        <v>Feb-2024</v>
      </c>
      <c r="V313">
        <f t="shared" ca="1" si="4"/>
        <v>8</v>
      </c>
    </row>
    <row r="314" spans="1:22" x14ac:dyDescent="0.2">
      <c r="A314" t="s">
        <v>326</v>
      </c>
      <c r="B314" s="3">
        <v>45325</v>
      </c>
      <c r="C314" s="3">
        <v>45337</v>
      </c>
      <c r="D314">
        <f ca="1">IF(ISBLANK(Table14[[#This Row],[Discharge Date]]),TODAY()-Table14[[#This Row],[Admission Date]], Table14[[#This Row],[Discharge Date]]-Table14[[#This Row],[Admission Date]])</f>
        <v>12</v>
      </c>
      <c r="E314" s="6" t="str">
        <f>IF(Table14[[#This Row],[Discharge Date]]="","Still Admitted","Patient Discharged")</f>
        <v>Patient Discharged</v>
      </c>
      <c r="F314" s="6" t="str">
        <f>IF(WEEKDAY(Table14[[#This Row],[Admission Date]],2)&gt;5,"Weekend","Weekday")</f>
        <v>Weekend</v>
      </c>
      <c r="G314" t="s">
        <v>12</v>
      </c>
      <c r="H314">
        <v>84</v>
      </c>
      <c r="I314" t="str" cm="1">
        <f t="array" ref="I314">_xlfn.IFS(Table14[[#This Row],[Age]]&lt;18,"Children",Table14[[#This Row],[Age]]&lt;50,"Adult",Table14[[#This Row],[Age]]&gt;=50,"Elderly")</f>
        <v>Elderly</v>
      </c>
      <c r="J314" t="s">
        <v>546</v>
      </c>
      <c r="K314" s="7">
        <v>312170</v>
      </c>
      <c r="L314" s="2" t="str" cm="1">
        <f t="array" ref="L314">_xlfn.IFS(Table14[[#This Row],[Treatment Cost]]&lt;50000,"Low Billing",Table14[[#This Row],[Treatment Cost]]&lt;200000,"Moderate Billing",Table14[[#This Row],[Treatment Cost]]&gt;=200000,"High Billing")</f>
        <v>High Billing</v>
      </c>
      <c r="M314" t="s">
        <v>8</v>
      </c>
      <c r="N314" t="str">
        <f>IF(AND(Table14[[#This Row],[Outcome]]="Follow-up",Table14[[#This Row],[Admission Status]]="Patient Discharged"),"High Risk Patient","Low Risk Patient")</f>
        <v>High Risk Patient</v>
      </c>
      <c r="O314" t="str">
        <f>IFERROR(VLOOKUP(Table14[[#This Row],[Department]],Doctor_Info!A:D,2,FALSE), "")</f>
        <v>Dr. Temi</v>
      </c>
      <c r="P314" t="str">
        <f>IF(COUNTIF(A:A,Table14[[#This Row],[Patient ID]]&gt;1),"Returning Patient","New Patient")</f>
        <v>New Patient</v>
      </c>
      <c r="Q314" t="str">
        <f>_xlfn.XLOOKUP(Table14[[#This Row],[Department]], Doctor_Info!A:A, Doctor_Info!C:C, "")&amp;""</f>
        <v>502</v>
      </c>
      <c r="R314" t="str">
        <f>TEXT(Table14[[#This Row],[Admission Date]],"ddd")</f>
        <v>Sat</v>
      </c>
      <c r="S314" t="str">
        <f>TEXT(Table14[[#This Row],[Admission Date]],"mmm")</f>
        <v>Feb</v>
      </c>
      <c r="T314" t="str">
        <f>TEXT(Table14[[#This Row],[Admission Date]],"yyyy")</f>
        <v>2024</v>
      </c>
      <c r="U314" t="str">
        <f>TEXT(Table14[[#This Row],[Admission Date]],"mmm-yyyy")</f>
        <v>Feb-2024</v>
      </c>
      <c r="V314">
        <f t="shared" ca="1" si="4"/>
        <v>8</v>
      </c>
    </row>
    <row r="315" spans="1:22" x14ac:dyDescent="0.2">
      <c r="A315" t="s">
        <v>327</v>
      </c>
      <c r="B315" s="3">
        <v>45327</v>
      </c>
      <c r="C315" s="3">
        <v>45328</v>
      </c>
      <c r="D315">
        <f ca="1">IF(ISBLANK(Table14[[#This Row],[Discharge Date]]),TODAY()-Table14[[#This Row],[Admission Date]], Table14[[#This Row],[Discharge Date]]-Table14[[#This Row],[Admission Date]])</f>
        <v>1</v>
      </c>
      <c r="E315" s="6" t="str">
        <f>IF(Table14[[#This Row],[Discharge Date]]="","Still Admitted","Patient Discharged")</f>
        <v>Patient Discharged</v>
      </c>
      <c r="F315" s="6" t="str">
        <f>IF(WEEKDAY(Table14[[#This Row],[Admission Date]],2)&gt;5,"Weekend","Weekday")</f>
        <v>Weekday</v>
      </c>
      <c r="G315" t="s">
        <v>528</v>
      </c>
      <c r="H315">
        <v>86</v>
      </c>
      <c r="I315" t="str" cm="1">
        <f t="array" ref="I315">_xlfn.IFS(Table14[[#This Row],[Age]]&lt;18,"Children",Table14[[#This Row],[Age]]&lt;50,"Adult",Table14[[#This Row],[Age]]&gt;=50,"Elderly")</f>
        <v>Elderly</v>
      </c>
      <c r="J315" t="s">
        <v>547</v>
      </c>
      <c r="K315" s="7">
        <v>313140</v>
      </c>
      <c r="L315" s="2" t="str" cm="1">
        <f t="array" ref="L315">_xlfn.IFS(Table14[[#This Row],[Treatment Cost]]&lt;50000,"Low Billing",Table14[[#This Row],[Treatment Cost]]&lt;200000,"Moderate Billing",Table14[[#This Row],[Treatment Cost]]&gt;=200000,"High Billing")</f>
        <v>High Billing</v>
      </c>
      <c r="M315" t="s">
        <v>6</v>
      </c>
      <c r="N315" t="str">
        <f>IF(AND(Table14[[#This Row],[Outcome]]="Follow-up",Table14[[#This Row],[Admission Status]]="Patient Discharged"),"High Risk Patient","Low Risk Patient")</f>
        <v>Low Risk Patient</v>
      </c>
      <c r="O315" t="str">
        <f>IFERROR(VLOOKUP(Table14[[#This Row],[Department]],Doctor_Info!A:D,2,FALSE), "")</f>
        <v>Dr. Kofi</v>
      </c>
      <c r="P315" t="str">
        <f>IF(COUNTIF(A:A,Table14[[#This Row],[Patient ID]]&gt;1),"Returning Patient","New Patient")</f>
        <v>New Patient</v>
      </c>
      <c r="Q315" t="str">
        <f>_xlfn.XLOOKUP(Table14[[#This Row],[Department]], Doctor_Info!A:A, Doctor_Info!C:C, "")&amp;""</f>
        <v>102</v>
      </c>
      <c r="R315" t="str">
        <f>TEXT(Table14[[#This Row],[Admission Date]],"ddd")</f>
        <v>Mon</v>
      </c>
      <c r="S315" t="str">
        <f>TEXT(Table14[[#This Row],[Admission Date]],"mmm")</f>
        <v>Feb</v>
      </c>
      <c r="T315" t="str">
        <f>TEXT(Table14[[#This Row],[Admission Date]],"yyyy")</f>
        <v>2024</v>
      </c>
      <c r="U315" t="str">
        <f>TEXT(Table14[[#This Row],[Admission Date]],"mmm-yyyy")</f>
        <v>Feb-2024</v>
      </c>
      <c r="V315">
        <f t="shared" ca="1" si="4"/>
        <v>8</v>
      </c>
    </row>
    <row r="316" spans="1:22" x14ac:dyDescent="0.2">
      <c r="A316" t="s">
        <v>328</v>
      </c>
      <c r="B316" s="3">
        <v>45332</v>
      </c>
      <c r="D316">
        <f ca="1">IF(ISBLANK(Table14[[#This Row],[Discharge Date]]),TODAY()-Table14[[#This Row],[Admission Date]], Table14[[#This Row],[Discharge Date]]-Table14[[#This Row],[Admission Date]])</f>
        <v>806</v>
      </c>
      <c r="E316" s="6" t="str">
        <f>IF(Table14[[#This Row],[Discharge Date]]="","Still Admitted","Patient Discharged")</f>
        <v>Still Admitted</v>
      </c>
      <c r="F316" s="6" t="str">
        <f>IF(WEEKDAY(Table14[[#This Row],[Admission Date]],2)&gt;5,"Weekend","Weekday")</f>
        <v>Weekend</v>
      </c>
      <c r="G316" t="s">
        <v>10</v>
      </c>
      <c r="H316">
        <v>88</v>
      </c>
      <c r="I316" t="str" cm="1">
        <f t="array" ref="I316">_xlfn.IFS(Table14[[#This Row],[Age]]&lt;18,"Children",Table14[[#This Row],[Age]]&lt;50,"Adult",Table14[[#This Row],[Age]]&gt;=50,"Elderly")</f>
        <v>Elderly</v>
      </c>
      <c r="J316" t="s">
        <v>547</v>
      </c>
      <c r="K316" s="7">
        <v>314110</v>
      </c>
      <c r="L316" s="2" t="str" cm="1">
        <f t="array" ref="L316">_xlfn.IFS(Table14[[#This Row],[Treatment Cost]]&lt;50000,"Low Billing",Table14[[#This Row],[Treatment Cost]]&lt;200000,"Moderate Billing",Table14[[#This Row],[Treatment Cost]]&gt;=200000,"High Billing")</f>
        <v>High Billing</v>
      </c>
      <c r="M316" t="s">
        <v>403</v>
      </c>
      <c r="N316" t="str">
        <f>IF(AND(Table14[[#This Row],[Outcome]]="Follow-up",Table14[[#This Row],[Admission Status]]="Patient Discharged"),"High Risk Patient","Low Risk Patient")</f>
        <v>Low Risk Patient</v>
      </c>
      <c r="O316" t="str">
        <f>IFERROR(VLOOKUP(Table14[[#This Row],[Department]],Doctor_Info!A:D,2,FALSE), "")</f>
        <v>Dr. George</v>
      </c>
      <c r="P316" t="str">
        <f>IF(COUNTIF(A:A,Table14[[#This Row],[Patient ID]]&gt;1),"Returning Patient","New Patient")</f>
        <v>New Patient</v>
      </c>
      <c r="Q316" t="str">
        <f>_xlfn.XLOOKUP(Table14[[#This Row],[Department]], Doctor_Info!A:A, Doctor_Info!C:C, "")&amp;""</f>
        <v>405</v>
      </c>
      <c r="R316" t="str">
        <f>TEXT(Table14[[#This Row],[Admission Date]],"ddd")</f>
        <v>Sat</v>
      </c>
      <c r="S316" t="str">
        <f>TEXT(Table14[[#This Row],[Admission Date]],"mmm")</f>
        <v>Feb</v>
      </c>
      <c r="T316" t="str">
        <f>TEXT(Table14[[#This Row],[Admission Date]],"yyyy")</f>
        <v>2024</v>
      </c>
      <c r="U316" t="str">
        <f>TEXT(Table14[[#This Row],[Admission Date]],"mmm-yyyy")</f>
        <v>Feb-2024</v>
      </c>
      <c r="V316">
        <f t="shared" ca="1" si="4"/>
        <v>8</v>
      </c>
    </row>
    <row r="317" spans="1:22" x14ac:dyDescent="0.2">
      <c r="A317" t="s">
        <v>329</v>
      </c>
      <c r="B317" s="3">
        <v>45319</v>
      </c>
      <c r="C317" s="3">
        <v>45327</v>
      </c>
      <c r="D317">
        <f ca="1">IF(ISBLANK(Table14[[#This Row],[Discharge Date]]),TODAY()-Table14[[#This Row],[Admission Date]], Table14[[#This Row],[Discharge Date]]-Table14[[#This Row],[Admission Date]])</f>
        <v>8</v>
      </c>
      <c r="E317" s="6" t="str">
        <f>IF(Table14[[#This Row],[Discharge Date]]="","Still Admitted","Patient Discharged")</f>
        <v>Patient Discharged</v>
      </c>
      <c r="F317" s="6" t="str">
        <f>IF(WEEKDAY(Table14[[#This Row],[Admission Date]],2)&gt;5,"Weekend","Weekday")</f>
        <v>Weekend</v>
      </c>
      <c r="G317" t="s">
        <v>7</v>
      </c>
      <c r="H317">
        <v>90</v>
      </c>
      <c r="I317" t="str" cm="1">
        <f t="array" ref="I317">_xlfn.IFS(Table14[[#This Row],[Age]]&lt;18,"Children",Table14[[#This Row],[Age]]&lt;50,"Adult",Table14[[#This Row],[Age]]&gt;=50,"Elderly")</f>
        <v>Elderly</v>
      </c>
      <c r="J317" t="s">
        <v>546</v>
      </c>
      <c r="K317" s="7">
        <v>315080</v>
      </c>
      <c r="L317" s="2" t="str" cm="1">
        <f t="array" ref="L317">_xlfn.IFS(Table14[[#This Row],[Treatment Cost]]&lt;50000,"Low Billing",Table14[[#This Row],[Treatment Cost]]&lt;200000,"Moderate Billing",Table14[[#This Row],[Treatment Cost]]&gt;=200000,"High Billing")</f>
        <v>High Billing</v>
      </c>
      <c r="M317" t="s">
        <v>8</v>
      </c>
      <c r="N317" t="str">
        <f>IF(AND(Table14[[#This Row],[Outcome]]="Follow-up",Table14[[#This Row],[Admission Status]]="Patient Discharged"),"High Risk Patient","Low Risk Patient")</f>
        <v>High Risk Patient</v>
      </c>
      <c r="O317" t="str">
        <f>IFERROR(VLOOKUP(Table14[[#This Row],[Department]],Doctor_Info!A:D,2,FALSE), "")</f>
        <v>Dr. Ada</v>
      </c>
      <c r="P317" t="str">
        <f>IF(COUNTIF(A:A,Table14[[#This Row],[Patient ID]]&gt;1),"Returning Patient","New Patient")</f>
        <v>New Patient</v>
      </c>
      <c r="Q317" t="str">
        <f>_xlfn.XLOOKUP(Table14[[#This Row],[Department]], Doctor_Info!A:A, Doctor_Info!C:C, "")&amp;""</f>
        <v>301</v>
      </c>
      <c r="R317" t="str">
        <f>TEXT(Table14[[#This Row],[Admission Date]],"ddd")</f>
        <v>Sun</v>
      </c>
      <c r="S317" t="str">
        <f>TEXT(Table14[[#This Row],[Admission Date]],"mmm")</f>
        <v>Jan</v>
      </c>
      <c r="T317" t="str">
        <f>TEXT(Table14[[#This Row],[Admission Date]],"yyyy")</f>
        <v>2024</v>
      </c>
      <c r="U317" t="str">
        <f>TEXT(Table14[[#This Row],[Admission Date]],"mmm-yyyy")</f>
        <v>Jan-2024</v>
      </c>
      <c r="V317">
        <f t="shared" ca="1" si="4"/>
        <v>8</v>
      </c>
    </row>
    <row r="318" spans="1:22" x14ac:dyDescent="0.2">
      <c r="A318" t="s">
        <v>330</v>
      </c>
      <c r="B318" s="3">
        <v>45323</v>
      </c>
      <c r="C318" s="3">
        <v>45324</v>
      </c>
      <c r="D318">
        <f ca="1">IF(ISBLANK(Table14[[#This Row],[Discharge Date]]),TODAY()-Table14[[#This Row],[Admission Date]], Table14[[#This Row],[Discharge Date]]-Table14[[#This Row],[Admission Date]])</f>
        <v>1</v>
      </c>
      <c r="E318" s="6" t="str">
        <f>IF(Table14[[#This Row],[Discharge Date]]="","Still Admitted","Patient Discharged")</f>
        <v>Patient Discharged</v>
      </c>
      <c r="F318" s="6" t="str">
        <f>IF(WEEKDAY(Table14[[#This Row],[Admission Date]],2)&gt;5,"Weekend","Weekday")</f>
        <v>Weekday</v>
      </c>
      <c r="G318" t="s">
        <v>528</v>
      </c>
      <c r="H318">
        <v>92</v>
      </c>
      <c r="I318" t="str" cm="1">
        <f t="array" ref="I318">_xlfn.IFS(Table14[[#This Row],[Age]]&lt;18,"Children",Table14[[#This Row],[Age]]&lt;50,"Adult",Table14[[#This Row],[Age]]&gt;=50,"Elderly")</f>
        <v>Elderly</v>
      </c>
      <c r="J318" t="s">
        <v>547</v>
      </c>
      <c r="K318" s="7">
        <v>316050</v>
      </c>
      <c r="L318" s="2" t="str" cm="1">
        <f t="array" ref="L318">_xlfn.IFS(Table14[[#This Row],[Treatment Cost]]&lt;50000,"Low Billing",Table14[[#This Row],[Treatment Cost]]&lt;200000,"Moderate Billing",Table14[[#This Row],[Treatment Cost]]&gt;=200000,"High Billing")</f>
        <v>High Billing</v>
      </c>
      <c r="M318" t="s">
        <v>6</v>
      </c>
      <c r="N318" t="str">
        <f>IF(AND(Table14[[#This Row],[Outcome]]="Follow-up",Table14[[#This Row],[Admission Status]]="Patient Discharged"),"High Risk Patient","Low Risk Patient")</f>
        <v>Low Risk Patient</v>
      </c>
      <c r="O318" t="str">
        <f>IFERROR(VLOOKUP(Table14[[#This Row],[Department]],Doctor_Info!A:D,2,FALSE), "")</f>
        <v>Dr. Kofi</v>
      </c>
      <c r="P318" t="str">
        <f>IF(COUNTIF(A:A,Table14[[#This Row],[Patient ID]]&gt;1),"Returning Patient","New Patient")</f>
        <v>New Patient</v>
      </c>
      <c r="Q318" t="str">
        <f>_xlfn.XLOOKUP(Table14[[#This Row],[Department]], Doctor_Info!A:A, Doctor_Info!C:C, "")&amp;""</f>
        <v>102</v>
      </c>
      <c r="R318" t="str">
        <f>TEXT(Table14[[#This Row],[Admission Date]],"ddd")</f>
        <v>Thu</v>
      </c>
      <c r="S318" t="str">
        <f>TEXT(Table14[[#This Row],[Admission Date]],"mmm")</f>
        <v>Feb</v>
      </c>
      <c r="T318" t="str">
        <f>TEXT(Table14[[#This Row],[Admission Date]],"yyyy")</f>
        <v>2024</v>
      </c>
      <c r="U318" t="str">
        <f>TEXT(Table14[[#This Row],[Admission Date]],"mmm-yyyy")</f>
        <v>Feb-2024</v>
      </c>
      <c r="V318">
        <f t="shared" ca="1" si="4"/>
        <v>8</v>
      </c>
    </row>
    <row r="319" spans="1:22" x14ac:dyDescent="0.2">
      <c r="A319" t="s">
        <v>331</v>
      </c>
      <c r="B319" s="3">
        <v>45325</v>
      </c>
      <c r="C319" s="3">
        <v>45337</v>
      </c>
      <c r="D319">
        <f ca="1">IF(ISBLANK(Table14[[#This Row],[Discharge Date]]),TODAY()-Table14[[#This Row],[Admission Date]], Table14[[#This Row],[Discharge Date]]-Table14[[#This Row],[Admission Date]])</f>
        <v>12</v>
      </c>
      <c r="E319" s="6" t="str">
        <f>IF(Table14[[#This Row],[Discharge Date]]="","Still Admitted","Patient Discharged")</f>
        <v>Patient Discharged</v>
      </c>
      <c r="F319" s="6" t="str">
        <f>IF(WEEKDAY(Table14[[#This Row],[Admission Date]],2)&gt;5,"Weekend","Weekday")</f>
        <v>Weekend</v>
      </c>
      <c r="G319" t="s">
        <v>12</v>
      </c>
      <c r="H319">
        <v>94</v>
      </c>
      <c r="I319" t="str" cm="1">
        <f t="array" ref="I319">_xlfn.IFS(Table14[[#This Row],[Age]]&lt;18,"Children",Table14[[#This Row],[Age]]&lt;50,"Adult",Table14[[#This Row],[Age]]&gt;=50,"Elderly")</f>
        <v>Elderly</v>
      </c>
      <c r="J319" t="s">
        <v>546</v>
      </c>
      <c r="K319" s="7">
        <v>317020</v>
      </c>
      <c r="L319" s="2" t="str" cm="1">
        <f t="array" ref="L319">_xlfn.IFS(Table14[[#This Row],[Treatment Cost]]&lt;50000,"Low Billing",Table14[[#This Row],[Treatment Cost]]&lt;200000,"Moderate Billing",Table14[[#This Row],[Treatment Cost]]&gt;=200000,"High Billing")</f>
        <v>High Billing</v>
      </c>
      <c r="M319" t="s">
        <v>8</v>
      </c>
      <c r="N319" t="str">
        <f>IF(AND(Table14[[#This Row],[Outcome]]="Follow-up",Table14[[#This Row],[Admission Status]]="Patient Discharged"),"High Risk Patient","Low Risk Patient")</f>
        <v>High Risk Patient</v>
      </c>
      <c r="O319" t="str">
        <f>IFERROR(VLOOKUP(Table14[[#This Row],[Department]],Doctor_Info!A:D,2,FALSE), "")</f>
        <v>Dr. Temi</v>
      </c>
      <c r="P319" t="str">
        <f>IF(COUNTIF(A:A,Table14[[#This Row],[Patient ID]]&gt;1),"Returning Patient","New Patient")</f>
        <v>New Patient</v>
      </c>
      <c r="Q319" t="str">
        <f>_xlfn.XLOOKUP(Table14[[#This Row],[Department]], Doctor_Info!A:A, Doctor_Info!C:C, "")&amp;""</f>
        <v>502</v>
      </c>
      <c r="R319" t="str">
        <f>TEXT(Table14[[#This Row],[Admission Date]],"ddd")</f>
        <v>Sat</v>
      </c>
      <c r="S319" t="str">
        <f>TEXT(Table14[[#This Row],[Admission Date]],"mmm")</f>
        <v>Feb</v>
      </c>
      <c r="T319" t="str">
        <f>TEXT(Table14[[#This Row],[Admission Date]],"yyyy")</f>
        <v>2024</v>
      </c>
      <c r="U319" t="str">
        <f>TEXT(Table14[[#This Row],[Admission Date]],"mmm-yyyy")</f>
        <v>Feb-2024</v>
      </c>
      <c r="V319">
        <f t="shared" ca="1" si="4"/>
        <v>8</v>
      </c>
    </row>
    <row r="320" spans="1:22" x14ac:dyDescent="0.2">
      <c r="A320" t="s">
        <v>332</v>
      </c>
      <c r="B320" s="3">
        <v>45327</v>
      </c>
      <c r="C320" s="3">
        <v>45328</v>
      </c>
      <c r="D320">
        <f ca="1">IF(ISBLANK(Table14[[#This Row],[Discharge Date]]),TODAY()-Table14[[#This Row],[Admission Date]], Table14[[#This Row],[Discharge Date]]-Table14[[#This Row],[Admission Date]])</f>
        <v>1</v>
      </c>
      <c r="E320" s="6" t="str">
        <f>IF(Table14[[#This Row],[Discharge Date]]="","Still Admitted","Patient Discharged")</f>
        <v>Patient Discharged</v>
      </c>
      <c r="F320" s="6" t="str">
        <f>IF(WEEKDAY(Table14[[#This Row],[Admission Date]],2)&gt;5,"Weekend","Weekday")</f>
        <v>Weekday</v>
      </c>
      <c r="G320" t="s">
        <v>528</v>
      </c>
      <c r="H320">
        <v>96</v>
      </c>
      <c r="I320" t="str" cm="1">
        <f t="array" ref="I320">_xlfn.IFS(Table14[[#This Row],[Age]]&lt;18,"Children",Table14[[#This Row],[Age]]&lt;50,"Adult",Table14[[#This Row],[Age]]&gt;=50,"Elderly")</f>
        <v>Elderly</v>
      </c>
      <c r="J320" t="s">
        <v>547</v>
      </c>
      <c r="K320" s="7">
        <v>317990</v>
      </c>
      <c r="L320" s="2" t="str" cm="1">
        <f t="array" ref="L320">_xlfn.IFS(Table14[[#This Row],[Treatment Cost]]&lt;50000,"Low Billing",Table14[[#This Row],[Treatment Cost]]&lt;200000,"Moderate Billing",Table14[[#This Row],[Treatment Cost]]&gt;=200000,"High Billing")</f>
        <v>High Billing</v>
      </c>
      <c r="M320" t="s">
        <v>6</v>
      </c>
      <c r="N320" t="str">
        <f>IF(AND(Table14[[#This Row],[Outcome]]="Follow-up",Table14[[#This Row],[Admission Status]]="Patient Discharged"),"High Risk Patient","Low Risk Patient")</f>
        <v>Low Risk Patient</v>
      </c>
      <c r="O320" t="str">
        <f>IFERROR(VLOOKUP(Table14[[#This Row],[Department]],Doctor_Info!A:D,2,FALSE), "")</f>
        <v>Dr. Kofi</v>
      </c>
      <c r="P320" t="str">
        <f>IF(COUNTIF(A:A,Table14[[#This Row],[Patient ID]]&gt;1),"Returning Patient","New Patient")</f>
        <v>New Patient</v>
      </c>
      <c r="Q320" t="str">
        <f>_xlfn.XLOOKUP(Table14[[#This Row],[Department]], Doctor_Info!A:A, Doctor_Info!C:C, "")&amp;""</f>
        <v>102</v>
      </c>
      <c r="R320" t="str">
        <f>TEXT(Table14[[#This Row],[Admission Date]],"ddd")</f>
        <v>Mon</v>
      </c>
      <c r="S320" t="str">
        <f>TEXT(Table14[[#This Row],[Admission Date]],"mmm")</f>
        <v>Feb</v>
      </c>
      <c r="T320" t="str">
        <f>TEXT(Table14[[#This Row],[Admission Date]],"yyyy")</f>
        <v>2024</v>
      </c>
      <c r="U320" t="str">
        <f>TEXT(Table14[[#This Row],[Admission Date]],"mmm-yyyy")</f>
        <v>Feb-2024</v>
      </c>
      <c r="V320">
        <f t="shared" ca="1" si="4"/>
        <v>8</v>
      </c>
    </row>
    <row r="321" spans="1:22" x14ac:dyDescent="0.2">
      <c r="A321" t="s">
        <v>333</v>
      </c>
      <c r="B321" s="3">
        <v>45332</v>
      </c>
      <c r="D321">
        <f ca="1">IF(ISBLANK(Table14[[#This Row],[Discharge Date]]),TODAY()-Table14[[#This Row],[Admission Date]], Table14[[#This Row],[Discharge Date]]-Table14[[#This Row],[Admission Date]])</f>
        <v>806</v>
      </c>
      <c r="E321" s="6" t="str">
        <f>IF(Table14[[#This Row],[Discharge Date]]="","Still Admitted","Patient Discharged")</f>
        <v>Still Admitted</v>
      </c>
      <c r="F321" s="6" t="str">
        <f>IF(WEEKDAY(Table14[[#This Row],[Admission Date]],2)&gt;5,"Weekend","Weekday")</f>
        <v>Weekend</v>
      </c>
      <c r="G321" t="s">
        <v>10</v>
      </c>
      <c r="H321">
        <v>98</v>
      </c>
      <c r="I321" t="str" cm="1">
        <f t="array" ref="I321">_xlfn.IFS(Table14[[#This Row],[Age]]&lt;18,"Children",Table14[[#This Row],[Age]]&lt;50,"Adult",Table14[[#This Row],[Age]]&gt;=50,"Elderly")</f>
        <v>Elderly</v>
      </c>
      <c r="J321" t="s">
        <v>547</v>
      </c>
      <c r="K321" s="7">
        <v>318960</v>
      </c>
      <c r="L321" s="2" t="str" cm="1">
        <f t="array" ref="L321">_xlfn.IFS(Table14[[#This Row],[Treatment Cost]]&lt;50000,"Low Billing",Table14[[#This Row],[Treatment Cost]]&lt;200000,"Moderate Billing",Table14[[#This Row],[Treatment Cost]]&gt;=200000,"High Billing")</f>
        <v>High Billing</v>
      </c>
      <c r="M321" t="s">
        <v>403</v>
      </c>
      <c r="N321" t="str">
        <f>IF(AND(Table14[[#This Row],[Outcome]]="Follow-up",Table14[[#This Row],[Admission Status]]="Patient Discharged"),"High Risk Patient","Low Risk Patient")</f>
        <v>Low Risk Patient</v>
      </c>
      <c r="O321" t="str">
        <f>IFERROR(VLOOKUP(Table14[[#This Row],[Department]],Doctor_Info!A:D,2,FALSE), "")</f>
        <v>Dr. George</v>
      </c>
      <c r="P321" t="str">
        <f>IF(COUNTIF(A:A,Table14[[#This Row],[Patient ID]]&gt;1),"Returning Patient","New Patient")</f>
        <v>New Patient</v>
      </c>
      <c r="Q321" t="str">
        <f>_xlfn.XLOOKUP(Table14[[#This Row],[Department]], Doctor_Info!A:A, Doctor_Info!C:C, "")&amp;""</f>
        <v>405</v>
      </c>
      <c r="R321" t="str">
        <f>TEXT(Table14[[#This Row],[Admission Date]],"ddd")</f>
        <v>Sat</v>
      </c>
      <c r="S321" t="str">
        <f>TEXT(Table14[[#This Row],[Admission Date]],"mmm")</f>
        <v>Feb</v>
      </c>
      <c r="T321" t="str">
        <f>TEXT(Table14[[#This Row],[Admission Date]],"yyyy")</f>
        <v>2024</v>
      </c>
      <c r="U321" t="str">
        <f>TEXT(Table14[[#This Row],[Admission Date]],"mmm-yyyy")</f>
        <v>Feb-2024</v>
      </c>
      <c r="V321">
        <f t="shared" ca="1" si="4"/>
        <v>8</v>
      </c>
    </row>
    <row r="322" spans="1:22" x14ac:dyDescent="0.2">
      <c r="A322" t="s">
        <v>334</v>
      </c>
      <c r="B322" s="3">
        <v>45319</v>
      </c>
      <c r="C322" s="3">
        <v>45327</v>
      </c>
      <c r="D322">
        <f ca="1">IF(ISBLANK(Table14[[#This Row],[Discharge Date]]),TODAY()-Table14[[#This Row],[Admission Date]], Table14[[#This Row],[Discharge Date]]-Table14[[#This Row],[Admission Date]])</f>
        <v>8</v>
      </c>
      <c r="E322" s="6" t="str">
        <f>IF(Table14[[#This Row],[Discharge Date]]="","Still Admitted","Patient Discharged")</f>
        <v>Patient Discharged</v>
      </c>
      <c r="F322" s="6" t="str">
        <f>IF(WEEKDAY(Table14[[#This Row],[Admission Date]],2)&gt;5,"Weekend","Weekday")</f>
        <v>Weekend</v>
      </c>
      <c r="G322" t="s">
        <v>7</v>
      </c>
      <c r="H322">
        <v>100</v>
      </c>
      <c r="I322" t="str" cm="1">
        <f t="array" ref="I322">_xlfn.IFS(Table14[[#This Row],[Age]]&lt;18,"Children",Table14[[#This Row],[Age]]&lt;50,"Adult",Table14[[#This Row],[Age]]&gt;=50,"Elderly")</f>
        <v>Elderly</v>
      </c>
      <c r="J322" t="s">
        <v>546</v>
      </c>
      <c r="K322" s="7">
        <v>319930</v>
      </c>
      <c r="L322" s="2" t="str" cm="1">
        <f t="array" ref="L322">_xlfn.IFS(Table14[[#This Row],[Treatment Cost]]&lt;50000,"Low Billing",Table14[[#This Row],[Treatment Cost]]&lt;200000,"Moderate Billing",Table14[[#This Row],[Treatment Cost]]&gt;=200000,"High Billing")</f>
        <v>High Billing</v>
      </c>
      <c r="M322" t="s">
        <v>8</v>
      </c>
      <c r="N322" t="str">
        <f>IF(AND(Table14[[#This Row],[Outcome]]="Follow-up",Table14[[#This Row],[Admission Status]]="Patient Discharged"),"High Risk Patient","Low Risk Patient")</f>
        <v>High Risk Patient</v>
      </c>
      <c r="O322" t="str">
        <f>IFERROR(VLOOKUP(Table14[[#This Row],[Department]],Doctor_Info!A:D,2,FALSE), "")</f>
        <v>Dr. Ada</v>
      </c>
      <c r="P322" t="str">
        <f>IF(COUNTIF(A:A,Table14[[#This Row],[Patient ID]]&gt;1),"Returning Patient","New Patient")</f>
        <v>New Patient</v>
      </c>
      <c r="Q322" t="str">
        <f>_xlfn.XLOOKUP(Table14[[#This Row],[Department]], Doctor_Info!A:A, Doctor_Info!C:C, "")&amp;""</f>
        <v>301</v>
      </c>
      <c r="R322" t="str">
        <f>TEXT(Table14[[#This Row],[Admission Date]],"ddd")</f>
        <v>Sun</v>
      </c>
      <c r="S322" t="str">
        <f>TEXT(Table14[[#This Row],[Admission Date]],"mmm")</f>
        <v>Jan</v>
      </c>
      <c r="T322" t="str">
        <f>TEXT(Table14[[#This Row],[Admission Date]],"yyyy")</f>
        <v>2024</v>
      </c>
      <c r="U322" t="str">
        <f>TEXT(Table14[[#This Row],[Admission Date]],"mmm-yyyy")</f>
        <v>Jan-2024</v>
      </c>
      <c r="V322">
        <f t="shared" ref="V322:V385" ca="1" si="5">MEDIAN($D$2:$D$484)</f>
        <v>8</v>
      </c>
    </row>
    <row r="323" spans="1:22" x14ac:dyDescent="0.2">
      <c r="A323" t="s">
        <v>335</v>
      </c>
      <c r="B323" s="3">
        <v>45323</v>
      </c>
      <c r="C323" s="3">
        <v>45324</v>
      </c>
      <c r="D323">
        <f ca="1">IF(ISBLANK(Table14[[#This Row],[Discharge Date]]),TODAY()-Table14[[#This Row],[Admission Date]], Table14[[#This Row],[Discharge Date]]-Table14[[#This Row],[Admission Date]])</f>
        <v>1</v>
      </c>
      <c r="E323" s="6" t="str">
        <f>IF(Table14[[#This Row],[Discharge Date]]="","Still Admitted","Patient Discharged")</f>
        <v>Patient Discharged</v>
      </c>
      <c r="F323" s="6" t="str">
        <f>IF(WEEKDAY(Table14[[#This Row],[Admission Date]],2)&gt;5,"Weekend","Weekday")</f>
        <v>Weekday</v>
      </c>
      <c r="G323" t="s">
        <v>528</v>
      </c>
      <c r="H323">
        <v>2</v>
      </c>
      <c r="I323" t="str" cm="1">
        <f t="array" ref="I323">_xlfn.IFS(Table14[[#This Row],[Age]]&lt;18,"Children",Table14[[#This Row],[Age]]&lt;50,"Adult",Table14[[#This Row],[Age]]&gt;=50,"Elderly")</f>
        <v>Children</v>
      </c>
      <c r="J323" t="s">
        <v>547</v>
      </c>
      <c r="K323" s="7">
        <v>320900</v>
      </c>
      <c r="L323" s="2" t="str" cm="1">
        <f t="array" ref="L323">_xlfn.IFS(Table14[[#This Row],[Treatment Cost]]&lt;50000,"Low Billing",Table14[[#This Row],[Treatment Cost]]&lt;200000,"Moderate Billing",Table14[[#This Row],[Treatment Cost]]&gt;=200000,"High Billing")</f>
        <v>High Billing</v>
      </c>
      <c r="M323" t="s">
        <v>6</v>
      </c>
      <c r="N323" t="str">
        <f>IF(AND(Table14[[#This Row],[Outcome]]="Follow-up",Table14[[#This Row],[Admission Status]]="Patient Discharged"),"High Risk Patient","Low Risk Patient")</f>
        <v>Low Risk Patient</v>
      </c>
      <c r="O323" t="str">
        <f>IFERROR(VLOOKUP(Table14[[#This Row],[Department]],Doctor_Info!A:D,2,FALSE), "")</f>
        <v>Dr. Kofi</v>
      </c>
      <c r="P323" t="str">
        <f>IF(COUNTIF(A:A,Table14[[#This Row],[Patient ID]]&gt;1),"Returning Patient","New Patient")</f>
        <v>New Patient</v>
      </c>
      <c r="Q323" t="str">
        <f>_xlfn.XLOOKUP(Table14[[#This Row],[Department]], Doctor_Info!A:A, Doctor_Info!C:C, "")&amp;""</f>
        <v>102</v>
      </c>
      <c r="R323" t="str">
        <f>TEXT(Table14[[#This Row],[Admission Date]],"ddd")</f>
        <v>Thu</v>
      </c>
      <c r="S323" t="str">
        <f>TEXT(Table14[[#This Row],[Admission Date]],"mmm")</f>
        <v>Feb</v>
      </c>
      <c r="T323" t="str">
        <f>TEXT(Table14[[#This Row],[Admission Date]],"yyyy")</f>
        <v>2024</v>
      </c>
      <c r="U323" t="str">
        <f>TEXT(Table14[[#This Row],[Admission Date]],"mmm-yyyy")</f>
        <v>Feb-2024</v>
      </c>
      <c r="V323">
        <f t="shared" ca="1" si="5"/>
        <v>8</v>
      </c>
    </row>
    <row r="324" spans="1:22" x14ac:dyDescent="0.2">
      <c r="A324" t="s">
        <v>336</v>
      </c>
      <c r="B324" s="3">
        <v>45325</v>
      </c>
      <c r="C324" s="3">
        <v>45337</v>
      </c>
      <c r="D324">
        <f ca="1">IF(ISBLANK(Table14[[#This Row],[Discharge Date]]),TODAY()-Table14[[#This Row],[Admission Date]], Table14[[#This Row],[Discharge Date]]-Table14[[#This Row],[Admission Date]])</f>
        <v>12</v>
      </c>
      <c r="E324" s="6" t="str">
        <f>IF(Table14[[#This Row],[Discharge Date]]="","Still Admitted","Patient Discharged")</f>
        <v>Patient Discharged</v>
      </c>
      <c r="F324" s="6" t="str">
        <f>IF(WEEKDAY(Table14[[#This Row],[Admission Date]],2)&gt;5,"Weekend","Weekday")</f>
        <v>Weekend</v>
      </c>
      <c r="G324" t="s">
        <v>12</v>
      </c>
      <c r="H324">
        <v>4</v>
      </c>
      <c r="I324" t="str" cm="1">
        <f t="array" ref="I324">_xlfn.IFS(Table14[[#This Row],[Age]]&lt;18,"Children",Table14[[#This Row],[Age]]&lt;50,"Adult",Table14[[#This Row],[Age]]&gt;=50,"Elderly")</f>
        <v>Children</v>
      </c>
      <c r="J324" t="s">
        <v>546</v>
      </c>
      <c r="K324" s="7">
        <v>321870</v>
      </c>
      <c r="L324" s="2" t="str" cm="1">
        <f t="array" ref="L324">_xlfn.IFS(Table14[[#This Row],[Treatment Cost]]&lt;50000,"Low Billing",Table14[[#This Row],[Treatment Cost]]&lt;200000,"Moderate Billing",Table14[[#This Row],[Treatment Cost]]&gt;=200000,"High Billing")</f>
        <v>High Billing</v>
      </c>
      <c r="M324" t="s">
        <v>8</v>
      </c>
      <c r="N324" t="str">
        <f>IF(AND(Table14[[#This Row],[Outcome]]="Follow-up",Table14[[#This Row],[Admission Status]]="Patient Discharged"),"High Risk Patient","Low Risk Patient")</f>
        <v>High Risk Patient</v>
      </c>
      <c r="O324" t="str">
        <f>IFERROR(VLOOKUP(Table14[[#This Row],[Department]],Doctor_Info!A:D,2,FALSE), "")</f>
        <v>Dr. Temi</v>
      </c>
      <c r="P324" t="str">
        <f>IF(COUNTIF(A:A,Table14[[#This Row],[Patient ID]]&gt;1),"Returning Patient","New Patient")</f>
        <v>New Patient</v>
      </c>
      <c r="Q324" t="str">
        <f>_xlfn.XLOOKUP(Table14[[#This Row],[Department]], Doctor_Info!A:A, Doctor_Info!C:C, "")&amp;""</f>
        <v>502</v>
      </c>
      <c r="R324" t="str">
        <f>TEXT(Table14[[#This Row],[Admission Date]],"ddd")</f>
        <v>Sat</v>
      </c>
      <c r="S324" t="str">
        <f>TEXT(Table14[[#This Row],[Admission Date]],"mmm")</f>
        <v>Feb</v>
      </c>
      <c r="T324" t="str">
        <f>TEXT(Table14[[#This Row],[Admission Date]],"yyyy")</f>
        <v>2024</v>
      </c>
      <c r="U324" t="str">
        <f>TEXT(Table14[[#This Row],[Admission Date]],"mmm-yyyy")</f>
        <v>Feb-2024</v>
      </c>
      <c r="V324">
        <f t="shared" ca="1" si="5"/>
        <v>8</v>
      </c>
    </row>
    <row r="325" spans="1:22" x14ac:dyDescent="0.2">
      <c r="A325" t="s">
        <v>337</v>
      </c>
      <c r="B325" s="3">
        <v>45327</v>
      </c>
      <c r="C325" s="3">
        <v>45328</v>
      </c>
      <c r="D325">
        <f ca="1">IF(ISBLANK(Table14[[#This Row],[Discharge Date]]),TODAY()-Table14[[#This Row],[Admission Date]], Table14[[#This Row],[Discharge Date]]-Table14[[#This Row],[Admission Date]])</f>
        <v>1</v>
      </c>
      <c r="E325" s="6" t="str">
        <f>IF(Table14[[#This Row],[Discharge Date]]="","Still Admitted","Patient Discharged")</f>
        <v>Patient Discharged</v>
      </c>
      <c r="F325" s="6" t="str">
        <f>IF(WEEKDAY(Table14[[#This Row],[Admission Date]],2)&gt;5,"Weekend","Weekday")</f>
        <v>Weekday</v>
      </c>
      <c r="G325" t="s">
        <v>528</v>
      </c>
      <c r="H325">
        <v>6</v>
      </c>
      <c r="I325" t="str" cm="1">
        <f t="array" ref="I325">_xlfn.IFS(Table14[[#This Row],[Age]]&lt;18,"Children",Table14[[#This Row],[Age]]&lt;50,"Adult",Table14[[#This Row],[Age]]&gt;=50,"Elderly")</f>
        <v>Children</v>
      </c>
      <c r="J325" t="s">
        <v>547</v>
      </c>
      <c r="K325" s="7">
        <v>322840</v>
      </c>
      <c r="L325" s="2" t="str" cm="1">
        <f t="array" ref="L325">_xlfn.IFS(Table14[[#This Row],[Treatment Cost]]&lt;50000,"Low Billing",Table14[[#This Row],[Treatment Cost]]&lt;200000,"Moderate Billing",Table14[[#This Row],[Treatment Cost]]&gt;=200000,"High Billing")</f>
        <v>High Billing</v>
      </c>
      <c r="M325" t="s">
        <v>6</v>
      </c>
      <c r="N325" t="str">
        <f>IF(AND(Table14[[#This Row],[Outcome]]="Follow-up",Table14[[#This Row],[Admission Status]]="Patient Discharged"),"High Risk Patient","Low Risk Patient")</f>
        <v>Low Risk Patient</v>
      </c>
      <c r="O325" t="str">
        <f>IFERROR(VLOOKUP(Table14[[#This Row],[Department]],Doctor_Info!A:D,2,FALSE), "")</f>
        <v>Dr. Kofi</v>
      </c>
      <c r="P325" t="str">
        <f>IF(COUNTIF(A:A,Table14[[#This Row],[Patient ID]]&gt;1),"Returning Patient","New Patient")</f>
        <v>New Patient</v>
      </c>
      <c r="Q325" t="str">
        <f>_xlfn.XLOOKUP(Table14[[#This Row],[Department]], Doctor_Info!A:A, Doctor_Info!C:C, "")&amp;""</f>
        <v>102</v>
      </c>
      <c r="R325" t="str">
        <f>TEXT(Table14[[#This Row],[Admission Date]],"ddd")</f>
        <v>Mon</v>
      </c>
      <c r="S325" t="str">
        <f>TEXT(Table14[[#This Row],[Admission Date]],"mmm")</f>
        <v>Feb</v>
      </c>
      <c r="T325" t="str">
        <f>TEXT(Table14[[#This Row],[Admission Date]],"yyyy")</f>
        <v>2024</v>
      </c>
      <c r="U325" t="str">
        <f>TEXT(Table14[[#This Row],[Admission Date]],"mmm-yyyy")</f>
        <v>Feb-2024</v>
      </c>
      <c r="V325">
        <f t="shared" ca="1" si="5"/>
        <v>8</v>
      </c>
    </row>
    <row r="326" spans="1:22" x14ac:dyDescent="0.2">
      <c r="A326" t="s">
        <v>338</v>
      </c>
      <c r="B326" s="3">
        <v>45332</v>
      </c>
      <c r="D326">
        <f ca="1">IF(ISBLANK(Table14[[#This Row],[Discharge Date]]),TODAY()-Table14[[#This Row],[Admission Date]], Table14[[#This Row],[Discharge Date]]-Table14[[#This Row],[Admission Date]])</f>
        <v>806</v>
      </c>
      <c r="E326" s="6" t="str">
        <f>IF(Table14[[#This Row],[Discharge Date]]="","Still Admitted","Patient Discharged")</f>
        <v>Still Admitted</v>
      </c>
      <c r="F326" s="6" t="str">
        <f>IF(WEEKDAY(Table14[[#This Row],[Admission Date]],2)&gt;5,"Weekend","Weekday")</f>
        <v>Weekend</v>
      </c>
      <c r="G326" t="s">
        <v>10</v>
      </c>
      <c r="H326">
        <v>8</v>
      </c>
      <c r="I326" t="str" cm="1">
        <f t="array" ref="I326">_xlfn.IFS(Table14[[#This Row],[Age]]&lt;18,"Children",Table14[[#This Row],[Age]]&lt;50,"Adult",Table14[[#This Row],[Age]]&gt;=50,"Elderly")</f>
        <v>Children</v>
      </c>
      <c r="J326" t="s">
        <v>547</v>
      </c>
      <c r="K326" s="7">
        <v>323810</v>
      </c>
      <c r="L326" s="2" t="str" cm="1">
        <f t="array" ref="L326">_xlfn.IFS(Table14[[#This Row],[Treatment Cost]]&lt;50000,"Low Billing",Table14[[#This Row],[Treatment Cost]]&lt;200000,"Moderate Billing",Table14[[#This Row],[Treatment Cost]]&gt;=200000,"High Billing")</f>
        <v>High Billing</v>
      </c>
      <c r="M326" t="s">
        <v>403</v>
      </c>
      <c r="N326" t="str">
        <f>IF(AND(Table14[[#This Row],[Outcome]]="Follow-up",Table14[[#This Row],[Admission Status]]="Patient Discharged"),"High Risk Patient","Low Risk Patient")</f>
        <v>Low Risk Patient</v>
      </c>
      <c r="O326" t="str">
        <f>IFERROR(VLOOKUP(Table14[[#This Row],[Department]],Doctor_Info!A:D,2,FALSE), "")</f>
        <v>Dr. George</v>
      </c>
      <c r="P326" t="str">
        <f>IF(COUNTIF(A:A,Table14[[#This Row],[Patient ID]]&gt;1),"Returning Patient","New Patient")</f>
        <v>New Patient</v>
      </c>
      <c r="Q326" t="str">
        <f>_xlfn.XLOOKUP(Table14[[#This Row],[Department]], Doctor_Info!A:A, Doctor_Info!C:C, "")&amp;""</f>
        <v>405</v>
      </c>
      <c r="R326" t="str">
        <f>TEXT(Table14[[#This Row],[Admission Date]],"ddd")</f>
        <v>Sat</v>
      </c>
      <c r="S326" t="str">
        <f>TEXT(Table14[[#This Row],[Admission Date]],"mmm")</f>
        <v>Feb</v>
      </c>
      <c r="T326" t="str">
        <f>TEXT(Table14[[#This Row],[Admission Date]],"yyyy")</f>
        <v>2024</v>
      </c>
      <c r="U326" t="str">
        <f>TEXT(Table14[[#This Row],[Admission Date]],"mmm-yyyy")</f>
        <v>Feb-2024</v>
      </c>
      <c r="V326">
        <f t="shared" ca="1" si="5"/>
        <v>8</v>
      </c>
    </row>
    <row r="327" spans="1:22" x14ac:dyDescent="0.2">
      <c r="A327" t="s">
        <v>339</v>
      </c>
      <c r="B327" s="3">
        <v>45319</v>
      </c>
      <c r="C327" s="3">
        <v>45327</v>
      </c>
      <c r="D327">
        <f ca="1">IF(ISBLANK(Table14[[#This Row],[Discharge Date]]),TODAY()-Table14[[#This Row],[Admission Date]], Table14[[#This Row],[Discharge Date]]-Table14[[#This Row],[Admission Date]])</f>
        <v>8</v>
      </c>
      <c r="E327" s="6" t="str">
        <f>IF(Table14[[#This Row],[Discharge Date]]="","Still Admitted","Patient Discharged")</f>
        <v>Patient Discharged</v>
      </c>
      <c r="F327" s="6" t="str">
        <f>IF(WEEKDAY(Table14[[#This Row],[Admission Date]],2)&gt;5,"Weekend","Weekday")</f>
        <v>Weekend</v>
      </c>
      <c r="G327" t="s">
        <v>7</v>
      </c>
      <c r="H327">
        <v>10</v>
      </c>
      <c r="I327" t="str" cm="1">
        <f t="array" ref="I327">_xlfn.IFS(Table14[[#This Row],[Age]]&lt;18,"Children",Table14[[#This Row],[Age]]&lt;50,"Adult",Table14[[#This Row],[Age]]&gt;=50,"Elderly")</f>
        <v>Children</v>
      </c>
      <c r="J327" t="s">
        <v>546</v>
      </c>
      <c r="K327" s="7">
        <v>324780</v>
      </c>
      <c r="L327" s="2" t="str" cm="1">
        <f t="array" ref="L327">_xlfn.IFS(Table14[[#This Row],[Treatment Cost]]&lt;50000,"Low Billing",Table14[[#This Row],[Treatment Cost]]&lt;200000,"Moderate Billing",Table14[[#This Row],[Treatment Cost]]&gt;=200000,"High Billing")</f>
        <v>High Billing</v>
      </c>
      <c r="M327" t="s">
        <v>8</v>
      </c>
      <c r="N327" t="str">
        <f>IF(AND(Table14[[#This Row],[Outcome]]="Follow-up",Table14[[#This Row],[Admission Status]]="Patient Discharged"),"High Risk Patient","Low Risk Patient")</f>
        <v>High Risk Patient</v>
      </c>
      <c r="O327" t="str">
        <f>IFERROR(VLOOKUP(Table14[[#This Row],[Department]],Doctor_Info!A:D,2,FALSE), "")</f>
        <v>Dr. Ada</v>
      </c>
      <c r="P327" t="str">
        <f>IF(COUNTIF(A:A,Table14[[#This Row],[Patient ID]]&gt;1),"Returning Patient","New Patient")</f>
        <v>New Patient</v>
      </c>
      <c r="Q327" t="str">
        <f>_xlfn.XLOOKUP(Table14[[#This Row],[Department]], Doctor_Info!A:A, Doctor_Info!C:C, "")&amp;""</f>
        <v>301</v>
      </c>
      <c r="R327" t="str">
        <f>TEXT(Table14[[#This Row],[Admission Date]],"ddd")</f>
        <v>Sun</v>
      </c>
      <c r="S327" t="str">
        <f>TEXT(Table14[[#This Row],[Admission Date]],"mmm")</f>
        <v>Jan</v>
      </c>
      <c r="T327" t="str">
        <f>TEXT(Table14[[#This Row],[Admission Date]],"yyyy")</f>
        <v>2024</v>
      </c>
      <c r="U327" t="str">
        <f>TEXT(Table14[[#This Row],[Admission Date]],"mmm-yyyy")</f>
        <v>Jan-2024</v>
      </c>
      <c r="V327">
        <f t="shared" ca="1" si="5"/>
        <v>8</v>
      </c>
    </row>
    <row r="328" spans="1:22" x14ac:dyDescent="0.2">
      <c r="A328" t="s">
        <v>340</v>
      </c>
      <c r="B328" s="3">
        <v>45323</v>
      </c>
      <c r="C328" s="3">
        <v>45324</v>
      </c>
      <c r="D328">
        <f ca="1">IF(ISBLANK(Table14[[#This Row],[Discharge Date]]),TODAY()-Table14[[#This Row],[Admission Date]], Table14[[#This Row],[Discharge Date]]-Table14[[#This Row],[Admission Date]])</f>
        <v>1</v>
      </c>
      <c r="E328" s="6" t="str">
        <f>IF(Table14[[#This Row],[Discharge Date]]="","Still Admitted","Patient Discharged")</f>
        <v>Patient Discharged</v>
      </c>
      <c r="F328" s="6" t="str">
        <f>IF(WEEKDAY(Table14[[#This Row],[Admission Date]],2)&gt;5,"Weekend","Weekday")</f>
        <v>Weekday</v>
      </c>
      <c r="G328" t="s">
        <v>528</v>
      </c>
      <c r="H328">
        <v>12</v>
      </c>
      <c r="I328" t="str" cm="1">
        <f t="array" ref="I328">_xlfn.IFS(Table14[[#This Row],[Age]]&lt;18,"Children",Table14[[#This Row],[Age]]&lt;50,"Adult",Table14[[#This Row],[Age]]&gt;=50,"Elderly")</f>
        <v>Children</v>
      </c>
      <c r="J328" t="s">
        <v>547</v>
      </c>
      <c r="K328" s="7">
        <v>325750</v>
      </c>
      <c r="L328" s="2" t="str" cm="1">
        <f t="array" ref="L328">_xlfn.IFS(Table14[[#This Row],[Treatment Cost]]&lt;50000,"Low Billing",Table14[[#This Row],[Treatment Cost]]&lt;200000,"Moderate Billing",Table14[[#This Row],[Treatment Cost]]&gt;=200000,"High Billing")</f>
        <v>High Billing</v>
      </c>
      <c r="M328" t="s">
        <v>6</v>
      </c>
      <c r="N328" t="str">
        <f>IF(AND(Table14[[#This Row],[Outcome]]="Follow-up",Table14[[#This Row],[Admission Status]]="Patient Discharged"),"High Risk Patient","Low Risk Patient")</f>
        <v>Low Risk Patient</v>
      </c>
      <c r="O328" t="str">
        <f>IFERROR(VLOOKUP(Table14[[#This Row],[Department]],Doctor_Info!A:D,2,FALSE), "")</f>
        <v>Dr. Kofi</v>
      </c>
      <c r="P328" t="str">
        <f>IF(COUNTIF(A:A,Table14[[#This Row],[Patient ID]]&gt;1),"Returning Patient","New Patient")</f>
        <v>New Patient</v>
      </c>
      <c r="Q328" t="str">
        <f>_xlfn.XLOOKUP(Table14[[#This Row],[Department]], Doctor_Info!A:A, Doctor_Info!C:C, "")&amp;""</f>
        <v>102</v>
      </c>
      <c r="R328" t="str">
        <f>TEXT(Table14[[#This Row],[Admission Date]],"ddd")</f>
        <v>Thu</v>
      </c>
      <c r="S328" t="str">
        <f>TEXT(Table14[[#This Row],[Admission Date]],"mmm")</f>
        <v>Feb</v>
      </c>
      <c r="T328" t="str">
        <f>TEXT(Table14[[#This Row],[Admission Date]],"yyyy")</f>
        <v>2024</v>
      </c>
      <c r="U328" t="str">
        <f>TEXT(Table14[[#This Row],[Admission Date]],"mmm-yyyy")</f>
        <v>Feb-2024</v>
      </c>
      <c r="V328">
        <f t="shared" ca="1" si="5"/>
        <v>8</v>
      </c>
    </row>
    <row r="329" spans="1:22" x14ac:dyDescent="0.2">
      <c r="A329" t="s">
        <v>341</v>
      </c>
      <c r="B329" s="3">
        <v>45325</v>
      </c>
      <c r="C329" s="3">
        <v>45337</v>
      </c>
      <c r="D329">
        <f ca="1">IF(ISBLANK(Table14[[#This Row],[Discharge Date]]),TODAY()-Table14[[#This Row],[Admission Date]], Table14[[#This Row],[Discharge Date]]-Table14[[#This Row],[Admission Date]])</f>
        <v>12</v>
      </c>
      <c r="E329" s="6" t="str">
        <f>IF(Table14[[#This Row],[Discharge Date]]="","Still Admitted","Patient Discharged")</f>
        <v>Patient Discharged</v>
      </c>
      <c r="F329" s="6" t="str">
        <f>IF(WEEKDAY(Table14[[#This Row],[Admission Date]],2)&gt;5,"Weekend","Weekday")</f>
        <v>Weekend</v>
      </c>
      <c r="G329" t="s">
        <v>12</v>
      </c>
      <c r="H329">
        <v>14</v>
      </c>
      <c r="I329" t="str" cm="1">
        <f t="array" ref="I329">_xlfn.IFS(Table14[[#This Row],[Age]]&lt;18,"Children",Table14[[#This Row],[Age]]&lt;50,"Adult",Table14[[#This Row],[Age]]&gt;=50,"Elderly")</f>
        <v>Children</v>
      </c>
      <c r="J329" t="s">
        <v>546</v>
      </c>
      <c r="K329" s="7">
        <v>326720</v>
      </c>
      <c r="L329" s="2" t="str" cm="1">
        <f t="array" ref="L329">_xlfn.IFS(Table14[[#This Row],[Treatment Cost]]&lt;50000,"Low Billing",Table14[[#This Row],[Treatment Cost]]&lt;200000,"Moderate Billing",Table14[[#This Row],[Treatment Cost]]&gt;=200000,"High Billing")</f>
        <v>High Billing</v>
      </c>
      <c r="M329" t="s">
        <v>8</v>
      </c>
      <c r="N329" t="str">
        <f>IF(AND(Table14[[#This Row],[Outcome]]="Follow-up",Table14[[#This Row],[Admission Status]]="Patient Discharged"),"High Risk Patient","Low Risk Patient")</f>
        <v>High Risk Patient</v>
      </c>
      <c r="O329" t="str">
        <f>IFERROR(VLOOKUP(Table14[[#This Row],[Department]],Doctor_Info!A:D,2,FALSE), "")</f>
        <v>Dr. Temi</v>
      </c>
      <c r="P329" t="str">
        <f>IF(COUNTIF(A:A,Table14[[#This Row],[Patient ID]]&gt;1),"Returning Patient","New Patient")</f>
        <v>New Patient</v>
      </c>
      <c r="Q329" t="str">
        <f>_xlfn.XLOOKUP(Table14[[#This Row],[Department]], Doctor_Info!A:A, Doctor_Info!C:C, "")&amp;""</f>
        <v>502</v>
      </c>
      <c r="R329" t="str">
        <f>TEXT(Table14[[#This Row],[Admission Date]],"ddd")</f>
        <v>Sat</v>
      </c>
      <c r="S329" t="str">
        <f>TEXT(Table14[[#This Row],[Admission Date]],"mmm")</f>
        <v>Feb</v>
      </c>
      <c r="T329" t="str">
        <f>TEXT(Table14[[#This Row],[Admission Date]],"yyyy")</f>
        <v>2024</v>
      </c>
      <c r="U329" t="str">
        <f>TEXT(Table14[[#This Row],[Admission Date]],"mmm-yyyy")</f>
        <v>Feb-2024</v>
      </c>
      <c r="V329">
        <f t="shared" ca="1" si="5"/>
        <v>8</v>
      </c>
    </row>
    <row r="330" spans="1:22" x14ac:dyDescent="0.2">
      <c r="A330" t="s">
        <v>342</v>
      </c>
      <c r="B330" s="3">
        <v>45327</v>
      </c>
      <c r="C330" s="3">
        <v>45328</v>
      </c>
      <c r="D330">
        <f ca="1">IF(ISBLANK(Table14[[#This Row],[Discharge Date]]),TODAY()-Table14[[#This Row],[Admission Date]], Table14[[#This Row],[Discharge Date]]-Table14[[#This Row],[Admission Date]])</f>
        <v>1</v>
      </c>
      <c r="E330" s="6" t="str">
        <f>IF(Table14[[#This Row],[Discharge Date]]="","Still Admitted","Patient Discharged")</f>
        <v>Patient Discharged</v>
      </c>
      <c r="F330" s="6" t="str">
        <f>IF(WEEKDAY(Table14[[#This Row],[Admission Date]],2)&gt;5,"Weekend","Weekday")</f>
        <v>Weekday</v>
      </c>
      <c r="G330" t="s">
        <v>528</v>
      </c>
      <c r="H330">
        <v>16</v>
      </c>
      <c r="I330" t="str" cm="1">
        <f t="array" ref="I330">_xlfn.IFS(Table14[[#This Row],[Age]]&lt;18,"Children",Table14[[#This Row],[Age]]&lt;50,"Adult",Table14[[#This Row],[Age]]&gt;=50,"Elderly")</f>
        <v>Children</v>
      </c>
      <c r="J330" t="s">
        <v>547</v>
      </c>
      <c r="K330" s="7">
        <v>327690</v>
      </c>
      <c r="L330" s="2" t="str" cm="1">
        <f t="array" ref="L330">_xlfn.IFS(Table14[[#This Row],[Treatment Cost]]&lt;50000,"Low Billing",Table14[[#This Row],[Treatment Cost]]&lt;200000,"Moderate Billing",Table14[[#This Row],[Treatment Cost]]&gt;=200000,"High Billing")</f>
        <v>High Billing</v>
      </c>
      <c r="M330" t="s">
        <v>6</v>
      </c>
      <c r="N330" t="str">
        <f>IF(AND(Table14[[#This Row],[Outcome]]="Follow-up",Table14[[#This Row],[Admission Status]]="Patient Discharged"),"High Risk Patient","Low Risk Patient")</f>
        <v>Low Risk Patient</v>
      </c>
      <c r="O330" t="str">
        <f>IFERROR(VLOOKUP(Table14[[#This Row],[Department]],Doctor_Info!A:D,2,FALSE), "")</f>
        <v>Dr. Kofi</v>
      </c>
      <c r="P330" t="str">
        <f>IF(COUNTIF(A:A,Table14[[#This Row],[Patient ID]]&gt;1),"Returning Patient","New Patient")</f>
        <v>New Patient</v>
      </c>
      <c r="Q330" t="str">
        <f>_xlfn.XLOOKUP(Table14[[#This Row],[Department]], Doctor_Info!A:A, Doctor_Info!C:C, "")&amp;""</f>
        <v>102</v>
      </c>
      <c r="R330" t="str">
        <f>TEXT(Table14[[#This Row],[Admission Date]],"ddd")</f>
        <v>Mon</v>
      </c>
      <c r="S330" t="str">
        <f>TEXT(Table14[[#This Row],[Admission Date]],"mmm")</f>
        <v>Feb</v>
      </c>
      <c r="T330" t="str">
        <f>TEXT(Table14[[#This Row],[Admission Date]],"yyyy")</f>
        <v>2024</v>
      </c>
      <c r="U330" t="str">
        <f>TEXT(Table14[[#This Row],[Admission Date]],"mmm-yyyy")</f>
        <v>Feb-2024</v>
      </c>
      <c r="V330">
        <f t="shared" ca="1" si="5"/>
        <v>8</v>
      </c>
    </row>
    <row r="331" spans="1:22" x14ac:dyDescent="0.2">
      <c r="A331" t="s">
        <v>343</v>
      </c>
      <c r="B331" s="3">
        <v>45332</v>
      </c>
      <c r="D331">
        <f ca="1">IF(ISBLANK(Table14[[#This Row],[Discharge Date]]),TODAY()-Table14[[#This Row],[Admission Date]], Table14[[#This Row],[Discharge Date]]-Table14[[#This Row],[Admission Date]])</f>
        <v>806</v>
      </c>
      <c r="E331" s="6" t="str">
        <f>IF(Table14[[#This Row],[Discharge Date]]="","Still Admitted","Patient Discharged")</f>
        <v>Still Admitted</v>
      </c>
      <c r="F331" s="6" t="str">
        <f>IF(WEEKDAY(Table14[[#This Row],[Admission Date]],2)&gt;5,"Weekend","Weekday")</f>
        <v>Weekend</v>
      </c>
      <c r="G331" t="s">
        <v>10</v>
      </c>
      <c r="H331">
        <v>18</v>
      </c>
      <c r="I331" t="str" cm="1">
        <f t="array" ref="I331">_xlfn.IFS(Table14[[#This Row],[Age]]&lt;18,"Children",Table14[[#This Row],[Age]]&lt;50,"Adult",Table14[[#This Row],[Age]]&gt;=50,"Elderly")</f>
        <v>Adult</v>
      </c>
      <c r="J331" t="s">
        <v>547</v>
      </c>
      <c r="K331" s="7">
        <v>328660</v>
      </c>
      <c r="L331" s="2" t="str" cm="1">
        <f t="array" ref="L331">_xlfn.IFS(Table14[[#This Row],[Treatment Cost]]&lt;50000,"Low Billing",Table14[[#This Row],[Treatment Cost]]&lt;200000,"Moderate Billing",Table14[[#This Row],[Treatment Cost]]&gt;=200000,"High Billing")</f>
        <v>High Billing</v>
      </c>
      <c r="M331" t="s">
        <v>403</v>
      </c>
      <c r="N331" t="str">
        <f>IF(AND(Table14[[#This Row],[Outcome]]="Follow-up",Table14[[#This Row],[Admission Status]]="Patient Discharged"),"High Risk Patient","Low Risk Patient")</f>
        <v>Low Risk Patient</v>
      </c>
      <c r="O331" t="str">
        <f>IFERROR(VLOOKUP(Table14[[#This Row],[Department]],Doctor_Info!A:D,2,FALSE), "")</f>
        <v>Dr. George</v>
      </c>
      <c r="P331" t="str">
        <f>IF(COUNTIF(A:A,Table14[[#This Row],[Patient ID]]&gt;1),"Returning Patient","New Patient")</f>
        <v>New Patient</v>
      </c>
      <c r="Q331" t="str">
        <f>_xlfn.XLOOKUP(Table14[[#This Row],[Department]], Doctor_Info!A:A, Doctor_Info!C:C, "")&amp;""</f>
        <v>405</v>
      </c>
      <c r="R331" t="str">
        <f>TEXT(Table14[[#This Row],[Admission Date]],"ddd")</f>
        <v>Sat</v>
      </c>
      <c r="S331" t="str">
        <f>TEXT(Table14[[#This Row],[Admission Date]],"mmm")</f>
        <v>Feb</v>
      </c>
      <c r="T331" t="str">
        <f>TEXT(Table14[[#This Row],[Admission Date]],"yyyy")</f>
        <v>2024</v>
      </c>
      <c r="U331" t="str">
        <f>TEXT(Table14[[#This Row],[Admission Date]],"mmm-yyyy")</f>
        <v>Feb-2024</v>
      </c>
      <c r="V331">
        <f t="shared" ca="1" si="5"/>
        <v>8</v>
      </c>
    </row>
    <row r="332" spans="1:22" x14ac:dyDescent="0.2">
      <c r="A332" t="s">
        <v>344</v>
      </c>
      <c r="B332" s="3">
        <v>45323</v>
      </c>
      <c r="C332" s="3">
        <v>45324</v>
      </c>
      <c r="D332">
        <f ca="1">IF(ISBLANK(Table14[[#This Row],[Discharge Date]]),TODAY()-Table14[[#This Row],[Admission Date]], Table14[[#This Row],[Discharge Date]]-Table14[[#This Row],[Admission Date]])</f>
        <v>1</v>
      </c>
      <c r="E332" s="6" t="str">
        <f>IF(Table14[[#This Row],[Discharge Date]]="","Still Admitted","Patient Discharged")</f>
        <v>Patient Discharged</v>
      </c>
      <c r="F332" s="6" t="str">
        <f>IF(WEEKDAY(Table14[[#This Row],[Admission Date]],2)&gt;5,"Weekend","Weekday")</f>
        <v>Weekday</v>
      </c>
      <c r="G332" t="s">
        <v>528</v>
      </c>
      <c r="H332">
        <v>22</v>
      </c>
      <c r="I332" t="str" cm="1">
        <f t="array" ref="I332">_xlfn.IFS(Table14[[#This Row],[Age]]&lt;18,"Children",Table14[[#This Row],[Age]]&lt;50,"Adult",Table14[[#This Row],[Age]]&gt;=50,"Elderly")</f>
        <v>Adult</v>
      </c>
      <c r="J332" t="s">
        <v>547</v>
      </c>
      <c r="K332" s="7">
        <v>330600</v>
      </c>
      <c r="L332" s="2" t="str" cm="1">
        <f t="array" ref="L332">_xlfn.IFS(Table14[[#This Row],[Treatment Cost]]&lt;50000,"Low Billing",Table14[[#This Row],[Treatment Cost]]&lt;200000,"Moderate Billing",Table14[[#This Row],[Treatment Cost]]&gt;=200000,"High Billing")</f>
        <v>High Billing</v>
      </c>
      <c r="M332" t="s">
        <v>6</v>
      </c>
      <c r="N332" t="str">
        <f>IF(AND(Table14[[#This Row],[Outcome]]="Follow-up",Table14[[#This Row],[Admission Status]]="Patient Discharged"),"High Risk Patient","Low Risk Patient")</f>
        <v>Low Risk Patient</v>
      </c>
      <c r="O332" t="str">
        <f>IFERROR(VLOOKUP(Table14[[#This Row],[Department]],Doctor_Info!A:D,2,FALSE), "")</f>
        <v>Dr. Kofi</v>
      </c>
      <c r="P332" t="str">
        <f>IF(COUNTIF(A:A,Table14[[#This Row],[Patient ID]]&gt;1),"Returning Patient","New Patient")</f>
        <v>New Patient</v>
      </c>
      <c r="Q332" t="str">
        <f>_xlfn.XLOOKUP(Table14[[#This Row],[Department]], Doctor_Info!A:A, Doctor_Info!C:C, "")&amp;""</f>
        <v>102</v>
      </c>
      <c r="R332" t="str">
        <f>TEXT(Table14[[#This Row],[Admission Date]],"ddd")</f>
        <v>Thu</v>
      </c>
      <c r="S332" t="str">
        <f>TEXT(Table14[[#This Row],[Admission Date]],"mmm")</f>
        <v>Feb</v>
      </c>
      <c r="T332" t="str">
        <f>TEXT(Table14[[#This Row],[Admission Date]],"yyyy")</f>
        <v>2024</v>
      </c>
      <c r="U332" t="str">
        <f>TEXT(Table14[[#This Row],[Admission Date]],"mmm-yyyy")</f>
        <v>Feb-2024</v>
      </c>
      <c r="V332">
        <f t="shared" ca="1" si="5"/>
        <v>8</v>
      </c>
    </row>
    <row r="333" spans="1:22" x14ac:dyDescent="0.2">
      <c r="A333" t="s">
        <v>345</v>
      </c>
      <c r="B333" s="3">
        <v>45325</v>
      </c>
      <c r="C333" s="3">
        <v>45337</v>
      </c>
      <c r="D333">
        <f ca="1">IF(ISBLANK(Table14[[#This Row],[Discharge Date]]),TODAY()-Table14[[#This Row],[Admission Date]], Table14[[#This Row],[Discharge Date]]-Table14[[#This Row],[Admission Date]])</f>
        <v>12</v>
      </c>
      <c r="E333" s="6" t="str">
        <f>IF(Table14[[#This Row],[Discharge Date]]="","Still Admitted","Patient Discharged")</f>
        <v>Patient Discharged</v>
      </c>
      <c r="F333" s="6" t="str">
        <f>IF(WEEKDAY(Table14[[#This Row],[Admission Date]],2)&gt;5,"Weekend","Weekday")</f>
        <v>Weekend</v>
      </c>
      <c r="G333" t="s">
        <v>12</v>
      </c>
      <c r="H333">
        <v>24</v>
      </c>
      <c r="I333" t="str" cm="1">
        <f t="array" ref="I333">_xlfn.IFS(Table14[[#This Row],[Age]]&lt;18,"Children",Table14[[#This Row],[Age]]&lt;50,"Adult",Table14[[#This Row],[Age]]&gt;=50,"Elderly")</f>
        <v>Adult</v>
      </c>
      <c r="J333" t="s">
        <v>546</v>
      </c>
      <c r="K333" s="7">
        <v>331570</v>
      </c>
      <c r="L333" s="2" t="str" cm="1">
        <f t="array" ref="L333">_xlfn.IFS(Table14[[#This Row],[Treatment Cost]]&lt;50000,"Low Billing",Table14[[#This Row],[Treatment Cost]]&lt;200000,"Moderate Billing",Table14[[#This Row],[Treatment Cost]]&gt;=200000,"High Billing")</f>
        <v>High Billing</v>
      </c>
      <c r="M333" t="s">
        <v>8</v>
      </c>
      <c r="N333" t="str">
        <f>IF(AND(Table14[[#This Row],[Outcome]]="Follow-up",Table14[[#This Row],[Admission Status]]="Patient Discharged"),"High Risk Patient","Low Risk Patient")</f>
        <v>High Risk Patient</v>
      </c>
      <c r="O333" t="str">
        <f>IFERROR(VLOOKUP(Table14[[#This Row],[Department]],Doctor_Info!A:D,2,FALSE), "")</f>
        <v>Dr. Temi</v>
      </c>
      <c r="P333" t="str">
        <f>IF(COUNTIF(A:A,Table14[[#This Row],[Patient ID]]&gt;1),"Returning Patient","New Patient")</f>
        <v>New Patient</v>
      </c>
      <c r="Q333" t="str">
        <f>_xlfn.XLOOKUP(Table14[[#This Row],[Department]], Doctor_Info!A:A, Doctor_Info!C:C, "")&amp;""</f>
        <v>502</v>
      </c>
      <c r="R333" t="str">
        <f>TEXT(Table14[[#This Row],[Admission Date]],"ddd")</f>
        <v>Sat</v>
      </c>
      <c r="S333" t="str">
        <f>TEXT(Table14[[#This Row],[Admission Date]],"mmm")</f>
        <v>Feb</v>
      </c>
      <c r="T333" t="str">
        <f>TEXT(Table14[[#This Row],[Admission Date]],"yyyy")</f>
        <v>2024</v>
      </c>
      <c r="U333" t="str">
        <f>TEXT(Table14[[#This Row],[Admission Date]],"mmm-yyyy")</f>
        <v>Feb-2024</v>
      </c>
      <c r="V333">
        <f t="shared" ca="1" si="5"/>
        <v>8</v>
      </c>
    </row>
    <row r="334" spans="1:22" x14ac:dyDescent="0.2">
      <c r="A334" t="s">
        <v>346</v>
      </c>
      <c r="B334" s="3">
        <v>45327</v>
      </c>
      <c r="C334" s="3">
        <v>45328</v>
      </c>
      <c r="D334">
        <f ca="1">IF(ISBLANK(Table14[[#This Row],[Discharge Date]]),TODAY()-Table14[[#This Row],[Admission Date]], Table14[[#This Row],[Discharge Date]]-Table14[[#This Row],[Admission Date]])</f>
        <v>1</v>
      </c>
      <c r="E334" s="6" t="str">
        <f>IF(Table14[[#This Row],[Discharge Date]]="","Still Admitted","Patient Discharged")</f>
        <v>Patient Discharged</v>
      </c>
      <c r="F334" s="6" t="str">
        <f>IF(WEEKDAY(Table14[[#This Row],[Admission Date]],2)&gt;5,"Weekend","Weekday")</f>
        <v>Weekday</v>
      </c>
      <c r="G334" t="s">
        <v>528</v>
      </c>
      <c r="H334">
        <v>26</v>
      </c>
      <c r="I334" t="str" cm="1">
        <f t="array" ref="I334">_xlfn.IFS(Table14[[#This Row],[Age]]&lt;18,"Children",Table14[[#This Row],[Age]]&lt;50,"Adult",Table14[[#This Row],[Age]]&gt;=50,"Elderly")</f>
        <v>Adult</v>
      </c>
      <c r="J334" t="s">
        <v>547</v>
      </c>
      <c r="K334" s="7">
        <v>332540</v>
      </c>
      <c r="L334" s="2" t="str" cm="1">
        <f t="array" ref="L334">_xlfn.IFS(Table14[[#This Row],[Treatment Cost]]&lt;50000,"Low Billing",Table14[[#This Row],[Treatment Cost]]&lt;200000,"Moderate Billing",Table14[[#This Row],[Treatment Cost]]&gt;=200000,"High Billing")</f>
        <v>High Billing</v>
      </c>
      <c r="M334" t="s">
        <v>6</v>
      </c>
      <c r="N334" t="str">
        <f>IF(AND(Table14[[#This Row],[Outcome]]="Follow-up",Table14[[#This Row],[Admission Status]]="Patient Discharged"),"High Risk Patient","Low Risk Patient")</f>
        <v>Low Risk Patient</v>
      </c>
      <c r="O334" t="str">
        <f>IFERROR(VLOOKUP(Table14[[#This Row],[Department]],Doctor_Info!A:D,2,FALSE), "")</f>
        <v>Dr. Kofi</v>
      </c>
      <c r="P334" t="str">
        <f>IF(COUNTIF(A:A,Table14[[#This Row],[Patient ID]]&gt;1),"Returning Patient","New Patient")</f>
        <v>New Patient</v>
      </c>
      <c r="Q334" t="str">
        <f>_xlfn.XLOOKUP(Table14[[#This Row],[Department]], Doctor_Info!A:A, Doctor_Info!C:C, "")&amp;""</f>
        <v>102</v>
      </c>
      <c r="R334" t="str">
        <f>TEXT(Table14[[#This Row],[Admission Date]],"ddd")</f>
        <v>Mon</v>
      </c>
      <c r="S334" t="str">
        <f>TEXT(Table14[[#This Row],[Admission Date]],"mmm")</f>
        <v>Feb</v>
      </c>
      <c r="T334" t="str">
        <f>TEXT(Table14[[#This Row],[Admission Date]],"yyyy")</f>
        <v>2024</v>
      </c>
      <c r="U334" t="str">
        <f>TEXT(Table14[[#This Row],[Admission Date]],"mmm-yyyy")</f>
        <v>Feb-2024</v>
      </c>
      <c r="V334">
        <f t="shared" ca="1" si="5"/>
        <v>8</v>
      </c>
    </row>
    <row r="335" spans="1:22" x14ac:dyDescent="0.2">
      <c r="A335" t="s">
        <v>347</v>
      </c>
      <c r="B335" s="3">
        <v>45332</v>
      </c>
      <c r="D335">
        <f ca="1">IF(ISBLANK(Table14[[#This Row],[Discharge Date]]),TODAY()-Table14[[#This Row],[Admission Date]], Table14[[#This Row],[Discharge Date]]-Table14[[#This Row],[Admission Date]])</f>
        <v>806</v>
      </c>
      <c r="E335" s="6" t="str">
        <f>IF(Table14[[#This Row],[Discharge Date]]="","Still Admitted","Patient Discharged")</f>
        <v>Still Admitted</v>
      </c>
      <c r="F335" s="6" t="str">
        <f>IF(WEEKDAY(Table14[[#This Row],[Admission Date]],2)&gt;5,"Weekend","Weekday")</f>
        <v>Weekend</v>
      </c>
      <c r="G335" t="s">
        <v>10</v>
      </c>
      <c r="H335">
        <v>28</v>
      </c>
      <c r="I335" t="str" cm="1">
        <f t="array" ref="I335">_xlfn.IFS(Table14[[#This Row],[Age]]&lt;18,"Children",Table14[[#This Row],[Age]]&lt;50,"Adult",Table14[[#This Row],[Age]]&gt;=50,"Elderly")</f>
        <v>Adult</v>
      </c>
      <c r="J335" t="s">
        <v>547</v>
      </c>
      <c r="K335" s="7">
        <v>333510</v>
      </c>
      <c r="L335" s="2" t="str" cm="1">
        <f t="array" ref="L335">_xlfn.IFS(Table14[[#This Row],[Treatment Cost]]&lt;50000,"Low Billing",Table14[[#This Row],[Treatment Cost]]&lt;200000,"Moderate Billing",Table14[[#This Row],[Treatment Cost]]&gt;=200000,"High Billing")</f>
        <v>High Billing</v>
      </c>
      <c r="M335" t="s">
        <v>403</v>
      </c>
      <c r="N335" t="str">
        <f>IF(AND(Table14[[#This Row],[Outcome]]="Follow-up",Table14[[#This Row],[Admission Status]]="Patient Discharged"),"High Risk Patient","Low Risk Patient")</f>
        <v>Low Risk Patient</v>
      </c>
      <c r="O335" t="str">
        <f>IFERROR(VLOOKUP(Table14[[#This Row],[Department]],Doctor_Info!A:D,2,FALSE), "")</f>
        <v>Dr. George</v>
      </c>
      <c r="P335" t="str">
        <f>IF(COUNTIF(A:A,Table14[[#This Row],[Patient ID]]&gt;1),"Returning Patient","New Patient")</f>
        <v>New Patient</v>
      </c>
      <c r="Q335" t="str">
        <f>_xlfn.XLOOKUP(Table14[[#This Row],[Department]], Doctor_Info!A:A, Doctor_Info!C:C, "")&amp;""</f>
        <v>405</v>
      </c>
      <c r="R335" t="str">
        <f>TEXT(Table14[[#This Row],[Admission Date]],"ddd")</f>
        <v>Sat</v>
      </c>
      <c r="S335" t="str">
        <f>TEXT(Table14[[#This Row],[Admission Date]],"mmm")</f>
        <v>Feb</v>
      </c>
      <c r="T335" t="str">
        <f>TEXT(Table14[[#This Row],[Admission Date]],"yyyy")</f>
        <v>2024</v>
      </c>
      <c r="U335" t="str">
        <f>TEXT(Table14[[#This Row],[Admission Date]],"mmm-yyyy")</f>
        <v>Feb-2024</v>
      </c>
      <c r="V335">
        <f t="shared" ca="1" si="5"/>
        <v>8</v>
      </c>
    </row>
    <row r="336" spans="1:22" x14ac:dyDescent="0.2">
      <c r="A336" t="s">
        <v>348</v>
      </c>
      <c r="B336" s="3">
        <v>45319</v>
      </c>
      <c r="C336" s="3">
        <v>45327</v>
      </c>
      <c r="D336">
        <f ca="1">IF(ISBLANK(Table14[[#This Row],[Discharge Date]]),TODAY()-Table14[[#This Row],[Admission Date]], Table14[[#This Row],[Discharge Date]]-Table14[[#This Row],[Admission Date]])</f>
        <v>8</v>
      </c>
      <c r="E336" s="6" t="str">
        <f>IF(Table14[[#This Row],[Discharge Date]]="","Still Admitted","Patient Discharged")</f>
        <v>Patient Discharged</v>
      </c>
      <c r="F336" s="6" t="str">
        <f>IF(WEEKDAY(Table14[[#This Row],[Admission Date]],2)&gt;5,"Weekend","Weekday")</f>
        <v>Weekend</v>
      </c>
      <c r="G336" t="s">
        <v>7</v>
      </c>
      <c r="H336">
        <v>30</v>
      </c>
      <c r="I336" t="str" cm="1">
        <f t="array" ref="I336">_xlfn.IFS(Table14[[#This Row],[Age]]&lt;18,"Children",Table14[[#This Row],[Age]]&lt;50,"Adult",Table14[[#This Row],[Age]]&gt;=50,"Elderly")</f>
        <v>Adult</v>
      </c>
      <c r="J336" t="s">
        <v>546</v>
      </c>
      <c r="K336" s="7">
        <v>334480</v>
      </c>
      <c r="L336" s="2" t="str" cm="1">
        <f t="array" ref="L336">_xlfn.IFS(Table14[[#This Row],[Treatment Cost]]&lt;50000,"Low Billing",Table14[[#This Row],[Treatment Cost]]&lt;200000,"Moderate Billing",Table14[[#This Row],[Treatment Cost]]&gt;=200000,"High Billing")</f>
        <v>High Billing</v>
      </c>
      <c r="M336" t="s">
        <v>8</v>
      </c>
      <c r="N336" t="str">
        <f>IF(AND(Table14[[#This Row],[Outcome]]="Follow-up",Table14[[#This Row],[Admission Status]]="Patient Discharged"),"High Risk Patient","Low Risk Patient")</f>
        <v>High Risk Patient</v>
      </c>
      <c r="O336" t="str">
        <f>IFERROR(VLOOKUP(Table14[[#This Row],[Department]],Doctor_Info!A:D,2,FALSE), "")</f>
        <v>Dr. Ada</v>
      </c>
      <c r="P336" t="str">
        <f>IF(COUNTIF(A:A,Table14[[#This Row],[Patient ID]]&gt;1),"Returning Patient","New Patient")</f>
        <v>New Patient</v>
      </c>
      <c r="Q336" t="str">
        <f>_xlfn.XLOOKUP(Table14[[#This Row],[Department]], Doctor_Info!A:A, Doctor_Info!C:C, "")&amp;""</f>
        <v>301</v>
      </c>
      <c r="R336" t="str">
        <f>TEXT(Table14[[#This Row],[Admission Date]],"ddd")</f>
        <v>Sun</v>
      </c>
      <c r="S336" t="str">
        <f>TEXT(Table14[[#This Row],[Admission Date]],"mmm")</f>
        <v>Jan</v>
      </c>
      <c r="T336" t="str">
        <f>TEXT(Table14[[#This Row],[Admission Date]],"yyyy")</f>
        <v>2024</v>
      </c>
      <c r="U336" t="str">
        <f>TEXT(Table14[[#This Row],[Admission Date]],"mmm-yyyy")</f>
        <v>Jan-2024</v>
      </c>
      <c r="V336">
        <f t="shared" ca="1" si="5"/>
        <v>8</v>
      </c>
    </row>
    <row r="337" spans="1:22" x14ac:dyDescent="0.2">
      <c r="A337" t="s">
        <v>349</v>
      </c>
      <c r="B337" s="3">
        <v>45323</v>
      </c>
      <c r="C337" s="3">
        <v>45324</v>
      </c>
      <c r="D337">
        <f ca="1">IF(ISBLANK(Table14[[#This Row],[Discharge Date]]),TODAY()-Table14[[#This Row],[Admission Date]], Table14[[#This Row],[Discharge Date]]-Table14[[#This Row],[Admission Date]])</f>
        <v>1</v>
      </c>
      <c r="E337" s="6" t="str">
        <f>IF(Table14[[#This Row],[Discharge Date]]="","Still Admitted","Patient Discharged")</f>
        <v>Patient Discharged</v>
      </c>
      <c r="F337" s="6" t="str">
        <f>IF(WEEKDAY(Table14[[#This Row],[Admission Date]],2)&gt;5,"Weekend","Weekday")</f>
        <v>Weekday</v>
      </c>
      <c r="G337" t="s">
        <v>528</v>
      </c>
      <c r="H337">
        <v>32</v>
      </c>
      <c r="I337" t="str" cm="1">
        <f t="array" ref="I337">_xlfn.IFS(Table14[[#This Row],[Age]]&lt;18,"Children",Table14[[#This Row],[Age]]&lt;50,"Adult",Table14[[#This Row],[Age]]&gt;=50,"Elderly")</f>
        <v>Adult</v>
      </c>
      <c r="J337" t="s">
        <v>547</v>
      </c>
      <c r="K337" s="7">
        <v>335450</v>
      </c>
      <c r="L337" s="2" t="str" cm="1">
        <f t="array" ref="L337">_xlfn.IFS(Table14[[#This Row],[Treatment Cost]]&lt;50000,"Low Billing",Table14[[#This Row],[Treatment Cost]]&lt;200000,"Moderate Billing",Table14[[#This Row],[Treatment Cost]]&gt;=200000,"High Billing")</f>
        <v>High Billing</v>
      </c>
      <c r="M337" t="s">
        <v>6</v>
      </c>
      <c r="N337" t="str">
        <f>IF(AND(Table14[[#This Row],[Outcome]]="Follow-up",Table14[[#This Row],[Admission Status]]="Patient Discharged"),"High Risk Patient","Low Risk Patient")</f>
        <v>Low Risk Patient</v>
      </c>
      <c r="O337" t="str">
        <f>IFERROR(VLOOKUP(Table14[[#This Row],[Department]],Doctor_Info!A:D,2,FALSE), "")</f>
        <v>Dr. Kofi</v>
      </c>
      <c r="P337" t="str">
        <f>IF(COUNTIF(A:A,Table14[[#This Row],[Patient ID]]&gt;1),"Returning Patient","New Patient")</f>
        <v>New Patient</v>
      </c>
      <c r="Q337" t="str">
        <f>_xlfn.XLOOKUP(Table14[[#This Row],[Department]], Doctor_Info!A:A, Doctor_Info!C:C, "")&amp;""</f>
        <v>102</v>
      </c>
      <c r="R337" t="str">
        <f>TEXT(Table14[[#This Row],[Admission Date]],"ddd")</f>
        <v>Thu</v>
      </c>
      <c r="S337" t="str">
        <f>TEXT(Table14[[#This Row],[Admission Date]],"mmm")</f>
        <v>Feb</v>
      </c>
      <c r="T337" t="str">
        <f>TEXT(Table14[[#This Row],[Admission Date]],"yyyy")</f>
        <v>2024</v>
      </c>
      <c r="U337" t="str">
        <f>TEXT(Table14[[#This Row],[Admission Date]],"mmm-yyyy")</f>
        <v>Feb-2024</v>
      </c>
      <c r="V337">
        <f t="shared" ca="1" si="5"/>
        <v>8</v>
      </c>
    </row>
    <row r="338" spans="1:22" x14ac:dyDescent="0.2">
      <c r="A338" t="s">
        <v>350</v>
      </c>
      <c r="B338" s="3">
        <v>45325</v>
      </c>
      <c r="C338" s="3">
        <v>45337</v>
      </c>
      <c r="D338">
        <f ca="1">IF(ISBLANK(Table14[[#This Row],[Discharge Date]]),TODAY()-Table14[[#This Row],[Admission Date]], Table14[[#This Row],[Discharge Date]]-Table14[[#This Row],[Admission Date]])</f>
        <v>12</v>
      </c>
      <c r="E338" s="6" t="str">
        <f>IF(Table14[[#This Row],[Discharge Date]]="","Still Admitted","Patient Discharged")</f>
        <v>Patient Discharged</v>
      </c>
      <c r="F338" s="6" t="str">
        <f>IF(WEEKDAY(Table14[[#This Row],[Admission Date]],2)&gt;5,"Weekend","Weekday")</f>
        <v>Weekend</v>
      </c>
      <c r="G338" t="s">
        <v>12</v>
      </c>
      <c r="H338">
        <v>34</v>
      </c>
      <c r="I338" t="str" cm="1">
        <f t="array" ref="I338">_xlfn.IFS(Table14[[#This Row],[Age]]&lt;18,"Children",Table14[[#This Row],[Age]]&lt;50,"Adult",Table14[[#This Row],[Age]]&gt;=50,"Elderly")</f>
        <v>Adult</v>
      </c>
      <c r="J338" t="s">
        <v>546</v>
      </c>
      <c r="K338" s="7">
        <v>336420</v>
      </c>
      <c r="L338" s="2" t="str" cm="1">
        <f t="array" ref="L338">_xlfn.IFS(Table14[[#This Row],[Treatment Cost]]&lt;50000,"Low Billing",Table14[[#This Row],[Treatment Cost]]&lt;200000,"Moderate Billing",Table14[[#This Row],[Treatment Cost]]&gt;=200000,"High Billing")</f>
        <v>High Billing</v>
      </c>
      <c r="M338" t="s">
        <v>8</v>
      </c>
      <c r="N338" t="str">
        <f>IF(AND(Table14[[#This Row],[Outcome]]="Follow-up",Table14[[#This Row],[Admission Status]]="Patient Discharged"),"High Risk Patient","Low Risk Patient")</f>
        <v>High Risk Patient</v>
      </c>
      <c r="O338" t="str">
        <f>IFERROR(VLOOKUP(Table14[[#This Row],[Department]],Doctor_Info!A:D,2,FALSE), "")</f>
        <v>Dr. Temi</v>
      </c>
      <c r="P338" t="str">
        <f>IF(COUNTIF(A:A,Table14[[#This Row],[Patient ID]]&gt;1),"Returning Patient","New Patient")</f>
        <v>New Patient</v>
      </c>
      <c r="Q338" t="str">
        <f>_xlfn.XLOOKUP(Table14[[#This Row],[Department]], Doctor_Info!A:A, Doctor_Info!C:C, "")&amp;""</f>
        <v>502</v>
      </c>
      <c r="R338" t="str">
        <f>TEXT(Table14[[#This Row],[Admission Date]],"ddd")</f>
        <v>Sat</v>
      </c>
      <c r="S338" t="str">
        <f>TEXT(Table14[[#This Row],[Admission Date]],"mmm")</f>
        <v>Feb</v>
      </c>
      <c r="T338" t="str">
        <f>TEXT(Table14[[#This Row],[Admission Date]],"yyyy")</f>
        <v>2024</v>
      </c>
      <c r="U338" t="str">
        <f>TEXT(Table14[[#This Row],[Admission Date]],"mmm-yyyy")</f>
        <v>Feb-2024</v>
      </c>
      <c r="V338">
        <f t="shared" ca="1" si="5"/>
        <v>8</v>
      </c>
    </row>
    <row r="339" spans="1:22" x14ac:dyDescent="0.2">
      <c r="A339" t="s">
        <v>351</v>
      </c>
      <c r="B339" s="3">
        <v>45327</v>
      </c>
      <c r="C339" s="3">
        <v>45328</v>
      </c>
      <c r="D339">
        <f ca="1">IF(ISBLANK(Table14[[#This Row],[Discharge Date]]),TODAY()-Table14[[#This Row],[Admission Date]], Table14[[#This Row],[Discharge Date]]-Table14[[#This Row],[Admission Date]])</f>
        <v>1</v>
      </c>
      <c r="E339" s="6" t="str">
        <f>IF(Table14[[#This Row],[Discharge Date]]="","Still Admitted","Patient Discharged")</f>
        <v>Patient Discharged</v>
      </c>
      <c r="F339" s="6" t="str">
        <f>IF(WEEKDAY(Table14[[#This Row],[Admission Date]],2)&gt;5,"Weekend","Weekday")</f>
        <v>Weekday</v>
      </c>
      <c r="G339" t="s">
        <v>528</v>
      </c>
      <c r="H339">
        <v>36</v>
      </c>
      <c r="I339" t="str" cm="1">
        <f t="array" ref="I339">_xlfn.IFS(Table14[[#This Row],[Age]]&lt;18,"Children",Table14[[#This Row],[Age]]&lt;50,"Adult",Table14[[#This Row],[Age]]&gt;=50,"Elderly")</f>
        <v>Adult</v>
      </c>
      <c r="J339" t="s">
        <v>547</v>
      </c>
      <c r="K339" s="7">
        <v>337390</v>
      </c>
      <c r="L339" s="2" t="str" cm="1">
        <f t="array" ref="L339">_xlfn.IFS(Table14[[#This Row],[Treatment Cost]]&lt;50000,"Low Billing",Table14[[#This Row],[Treatment Cost]]&lt;200000,"Moderate Billing",Table14[[#This Row],[Treatment Cost]]&gt;=200000,"High Billing")</f>
        <v>High Billing</v>
      </c>
      <c r="M339" t="s">
        <v>6</v>
      </c>
      <c r="N339" t="str">
        <f>IF(AND(Table14[[#This Row],[Outcome]]="Follow-up",Table14[[#This Row],[Admission Status]]="Patient Discharged"),"High Risk Patient","Low Risk Patient")</f>
        <v>Low Risk Patient</v>
      </c>
      <c r="O339" t="str">
        <f>IFERROR(VLOOKUP(Table14[[#This Row],[Department]],Doctor_Info!A:D,2,FALSE), "")</f>
        <v>Dr. Kofi</v>
      </c>
      <c r="P339" t="str">
        <f>IF(COUNTIF(A:A,Table14[[#This Row],[Patient ID]]&gt;1),"Returning Patient","New Patient")</f>
        <v>New Patient</v>
      </c>
      <c r="Q339" t="str">
        <f>_xlfn.XLOOKUP(Table14[[#This Row],[Department]], Doctor_Info!A:A, Doctor_Info!C:C, "")&amp;""</f>
        <v>102</v>
      </c>
      <c r="R339" t="str">
        <f>TEXT(Table14[[#This Row],[Admission Date]],"ddd")</f>
        <v>Mon</v>
      </c>
      <c r="S339" t="str">
        <f>TEXT(Table14[[#This Row],[Admission Date]],"mmm")</f>
        <v>Feb</v>
      </c>
      <c r="T339" t="str">
        <f>TEXT(Table14[[#This Row],[Admission Date]],"yyyy")</f>
        <v>2024</v>
      </c>
      <c r="U339" t="str">
        <f>TEXT(Table14[[#This Row],[Admission Date]],"mmm-yyyy")</f>
        <v>Feb-2024</v>
      </c>
      <c r="V339">
        <f t="shared" ca="1" si="5"/>
        <v>8</v>
      </c>
    </row>
    <row r="340" spans="1:22" x14ac:dyDescent="0.2">
      <c r="A340" t="s">
        <v>352</v>
      </c>
      <c r="B340" s="3">
        <v>45332</v>
      </c>
      <c r="D340">
        <f ca="1">IF(ISBLANK(Table14[[#This Row],[Discharge Date]]),TODAY()-Table14[[#This Row],[Admission Date]], Table14[[#This Row],[Discharge Date]]-Table14[[#This Row],[Admission Date]])</f>
        <v>806</v>
      </c>
      <c r="E340" s="6" t="str">
        <f>IF(Table14[[#This Row],[Discharge Date]]="","Still Admitted","Patient Discharged")</f>
        <v>Still Admitted</v>
      </c>
      <c r="F340" s="6" t="str">
        <f>IF(WEEKDAY(Table14[[#This Row],[Admission Date]],2)&gt;5,"Weekend","Weekday")</f>
        <v>Weekend</v>
      </c>
      <c r="G340" t="s">
        <v>10</v>
      </c>
      <c r="H340">
        <v>38</v>
      </c>
      <c r="I340" t="str" cm="1">
        <f t="array" ref="I340">_xlfn.IFS(Table14[[#This Row],[Age]]&lt;18,"Children",Table14[[#This Row],[Age]]&lt;50,"Adult",Table14[[#This Row],[Age]]&gt;=50,"Elderly")</f>
        <v>Adult</v>
      </c>
      <c r="J340" t="s">
        <v>547</v>
      </c>
      <c r="K340" s="7">
        <v>338360</v>
      </c>
      <c r="L340" s="2" t="str" cm="1">
        <f t="array" ref="L340">_xlfn.IFS(Table14[[#This Row],[Treatment Cost]]&lt;50000,"Low Billing",Table14[[#This Row],[Treatment Cost]]&lt;200000,"Moderate Billing",Table14[[#This Row],[Treatment Cost]]&gt;=200000,"High Billing")</f>
        <v>High Billing</v>
      </c>
      <c r="M340" t="s">
        <v>403</v>
      </c>
      <c r="N340" t="str">
        <f>IF(AND(Table14[[#This Row],[Outcome]]="Follow-up",Table14[[#This Row],[Admission Status]]="Patient Discharged"),"High Risk Patient","Low Risk Patient")</f>
        <v>Low Risk Patient</v>
      </c>
      <c r="O340" t="str">
        <f>IFERROR(VLOOKUP(Table14[[#This Row],[Department]],Doctor_Info!A:D,2,FALSE), "")</f>
        <v>Dr. George</v>
      </c>
      <c r="P340" t="str">
        <f>IF(COUNTIF(A:A,Table14[[#This Row],[Patient ID]]&gt;1),"Returning Patient","New Patient")</f>
        <v>New Patient</v>
      </c>
      <c r="Q340" t="str">
        <f>_xlfn.XLOOKUP(Table14[[#This Row],[Department]], Doctor_Info!A:A, Doctor_Info!C:C, "")&amp;""</f>
        <v>405</v>
      </c>
      <c r="R340" t="str">
        <f>TEXT(Table14[[#This Row],[Admission Date]],"ddd")</f>
        <v>Sat</v>
      </c>
      <c r="S340" t="str">
        <f>TEXT(Table14[[#This Row],[Admission Date]],"mmm")</f>
        <v>Feb</v>
      </c>
      <c r="T340" t="str">
        <f>TEXT(Table14[[#This Row],[Admission Date]],"yyyy")</f>
        <v>2024</v>
      </c>
      <c r="U340" t="str">
        <f>TEXT(Table14[[#This Row],[Admission Date]],"mmm-yyyy")</f>
        <v>Feb-2024</v>
      </c>
      <c r="V340">
        <f t="shared" ca="1" si="5"/>
        <v>8</v>
      </c>
    </row>
    <row r="341" spans="1:22" x14ac:dyDescent="0.2">
      <c r="A341" t="s">
        <v>353</v>
      </c>
      <c r="B341" s="3">
        <v>45319</v>
      </c>
      <c r="C341" s="3">
        <v>45327</v>
      </c>
      <c r="D341">
        <f ca="1">IF(ISBLANK(Table14[[#This Row],[Discharge Date]]),TODAY()-Table14[[#This Row],[Admission Date]], Table14[[#This Row],[Discharge Date]]-Table14[[#This Row],[Admission Date]])</f>
        <v>8</v>
      </c>
      <c r="E341" s="6" t="str">
        <f>IF(Table14[[#This Row],[Discharge Date]]="","Still Admitted","Patient Discharged")</f>
        <v>Patient Discharged</v>
      </c>
      <c r="F341" s="6" t="str">
        <f>IF(WEEKDAY(Table14[[#This Row],[Admission Date]],2)&gt;5,"Weekend","Weekday")</f>
        <v>Weekend</v>
      </c>
      <c r="G341" t="s">
        <v>7</v>
      </c>
      <c r="H341">
        <v>40</v>
      </c>
      <c r="I341" t="str" cm="1">
        <f t="array" ref="I341">_xlfn.IFS(Table14[[#This Row],[Age]]&lt;18,"Children",Table14[[#This Row],[Age]]&lt;50,"Adult",Table14[[#This Row],[Age]]&gt;=50,"Elderly")</f>
        <v>Adult</v>
      </c>
      <c r="J341" t="s">
        <v>546</v>
      </c>
      <c r="K341" s="7">
        <v>339330</v>
      </c>
      <c r="L341" s="2" t="str" cm="1">
        <f t="array" ref="L341">_xlfn.IFS(Table14[[#This Row],[Treatment Cost]]&lt;50000,"Low Billing",Table14[[#This Row],[Treatment Cost]]&lt;200000,"Moderate Billing",Table14[[#This Row],[Treatment Cost]]&gt;=200000,"High Billing")</f>
        <v>High Billing</v>
      </c>
      <c r="M341" t="s">
        <v>8</v>
      </c>
      <c r="N341" t="str">
        <f>IF(AND(Table14[[#This Row],[Outcome]]="Follow-up",Table14[[#This Row],[Admission Status]]="Patient Discharged"),"High Risk Patient","Low Risk Patient")</f>
        <v>High Risk Patient</v>
      </c>
      <c r="O341" t="str">
        <f>IFERROR(VLOOKUP(Table14[[#This Row],[Department]],Doctor_Info!A:D,2,FALSE), "")</f>
        <v>Dr. Ada</v>
      </c>
      <c r="P341" t="str">
        <f>IF(COUNTIF(A:A,Table14[[#This Row],[Patient ID]]&gt;1),"Returning Patient","New Patient")</f>
        <v>New Patient</v>
      </c>
      <c r="Q341" t="str">
        <f>_xlfn.XLOOKUP(Table14[[#This Row],[Department]], Doctor_Info!A:A, Doctor_Info!C:C, "")&amp;""</f>
        <v>301</v>
      </c>
      <c r="R341" t="str">
        <f>TEXT(Table14[[#This Row],[Admission Date]],"ddd")</f>
        <v>Sun</v>
      </c>
      <c r="S341" t="str">
        <f>TEXT(Table14[[#This Row],[Admission Date]],"mmm")</f>
        <v>Jan</v>
      </c>
      <c r="T341" t="str">
        <f>TEXT(Table14[[#This Row],[Admission Date]],"yyyy")</f>
        <v>2024</v>
      </c>
      <c r="U341" t="str">
        <f>TEXT(Table14[[#This Row],[Admission Date]],"mmm-yyyy")</f>
        <v>Jan-2024</v>
      </c>
      <c r="V341">
        <f t="shared" ca="1" si="5"/>
        <v>8</v>
      </c>
    </row>
    <row r="342" spans="1:22" x14ac:dyDescent="0.2">
      <c r="A342" t="s">
        <v>354</v>
      </c>
      <c r="B342" s="3">
        <v>45323</v>
      </c>
      <c r="C342" s="3">
        <v>45324</v>
      </c>
      <c r="D342">
        <f ca="1">IF(ISBLANK(Table14[[#This Row],[Discharge Date]]),TODAY()-Table14[[#This Row],[Admission Date]], Table14[[#This Row],[Discharge Date]]-Table14[[#This Row],[Admission Date]])</f>
        <v>1</v>
      </c>
      <c r="E342" s="6" t="str">
        <f>IF(Table14[[#This Row],[Discharge Date]]="","Still Admitted","Patient Discharged")</f>
        <v>Patient Discharged</v>
      </c>
      <c r="F342" s="6" t="str">
        <f>IF(WEEKDAY(Table14[[#This Row],[Admission Date]],2)&gt;5,"Weekend","Weekday")</f>
        <v>Weekday</v>
      </c>
      <c r="G342" t="s">
        <v>528</v>
      </c>
      <c r="H342">
        <v>42</v>
      </c>
      <c r="I342" t="str" cm="1">
        <f t="array" ref="I342">_xlfn.IFS(Table14[[#This Row],[Age]]&lt;18,"Children",Table14[[#This Row],[Age]]&lt;50,"Adult",Table14[[#This Row],[Age]]&gt;=50,"Elderly")</f>
        <v>Adult</v>
      </c>
      <c r="J342" t="s">
        <v>547</v>
      </c>
      <c r="K342" s="7">
        <v>340300</v>
      </c>
      <c r="L342" s="2" t="str" cm="1">
        <f t="array" ref="L342">_xlfn.IFS(Table14[[#This Row],[Treatment Cost]]&lt;50000,"Low Billing",Table14[[#This Row],[Treatment Cost]]&lt;200000,"Moderate Billing",Table14[[#This Row],[Treatment Cost]]&gt;=200000,"High Billing")</f>
        <v>High Billing</v>
      </c>
      <c r="M342" t="s">
        <v>6</v>
      </c>
      <c r="N342" t="str">
        <f>IF(AND(Table14[[#This Row],[Outcome]]="Follow-up",Table14[[#This Row],[Admission Status]]="Patient Discharged"),"High Risk Patient","Low Risk Patient")</f>
        <v>Low Risk Patient</v>
      </c>
      <c r="O342" t="str">
        <f>IFERROR(VLOOKUP(Table14[[#This Row],[Department]],Doctor_Info!A:D,2,FALSE), "")</f>
        <v>Dr. Kofi</v>
      </c>
      <c r="P342" t="str">
        <f>IF(COUNTIF(A:A,Table14[[#This Row],[Patient ID]]&gt;1),"Returning Patient","New Patient")</f>
        <v>New Patient</v>
      </c>
      <c r="Q342" t="str">
        <f>_xlfn.XLOOKUP(Table14[[#This Row],[Department]], Doctor_Info!A:A, Doctor_Info!C:C, "")&amp;""</f>
        <v>102</v>
      </c>
      <c r="R342" t="str">
        <f>TEXT(Table14[[#This Row],[Admission Date]],"ddd")</f>
        <v>Thu</v>
      </c>
      <c r="S342" t="str">
        <f>TEXT(Table14[[#This Row],[Admission Date]],"mmm")</f>
        <v>Feb</v>
      </c>
      <c r="T342" t="str">
        <f>TEXT(Table14[[#This Row],[Admission Date]],"yyyy")</f>
        <v>2024</v>
      </c>
      <c r="U342" t="str">
        <f>TEXT(Table14[[#This Row],[Admission Date]],"mmm-yyyy")</f>
        <v>Feb-2024</v>
      </c>
      <c r="V342">
        <f t="shared" ca="1" si="5"/>
        <v>8</v>
      </c>
    </row>
    <row r="343" spans="1:22" x14ac:dyDescent="0.2">
      <c r="A343" t="s">
        <v>355</v>
      </c>
      <c r="B343" s="3">
        <v>45325</v>
      </c>
      <c r="C343" s="3">
        <v>45337</v>
      </c>
      <c r="D343">
        <f ca="1">IF(ISBLANK(Table14[[#This Row],[Discharge Date]]),TODAY()-Table14[[#This Row],[Admission Date]], Table14[[#This Row],[Discharge Date]]-Table14[[#This Row],[Admission Date]])</f>
        <v>12</v>
      </c>
      <c r="E343" s="6" t="str">
        <f>IF(Table14[[#This Row],[Discharge Date]]="","Still Admitted","Patient Discharged")</f>
        <v>Patient Discharged</v>
      </c>
      <c r="F343" s="6" t="str">
        <f>IF(WEEKDAY(Table14[[#This Row],[Admission Date]],2)&gt;5,"Weekend","Weekday")</f>
        <v>Weekend</v>
      </c>
      <c r="G343" t="s">
        <v>12</v>
      </c>
      <c r="H343">
        <v>44</v>
      </c>
      <c r="I343" t="str" cm="1">
        <f t="array" ref="I343">_xlfn.IFS(Table14[[#This Row],[Age]]&lt;18,"Children",Table14[[#This Row],[Age]]&lt;50,"Adult",Table14[[#This Row],[Age]]&gt;=50,"Elderly")</f>
        <v>Adult</v>
      </c>
      <c r="J343" t="s">
        <v>546</v>
      </c>
      <c r="K343" s="7">
        <v>341270</v>
      </c>
      <c r="L343" s="2" t="str" cm="1">
        <f t="array" ref="L343">_xlfn.IFS(Table14[[#This Row],[Treatment Cost]]&lt;50000,"Low Billing",Table14[[#This Row],[Treatment Cost]]&lt;200000,"Moderate Billing",Table14[[#This Row],[Treatment Cost]]&gt;=200000,"High Billing")</f>
        <v>High Billing</v>
      </c>
      <c r="M343" t="s">
        <v>8</v>
      </c>
      <c r="N343" t="str">
        <f>IF(AND(Table14[[#This Row],[Outcome]]="Follow-up",Table14[[#This Row],[Admission Status]]="Patient Discharged"),"High Risk Patient","Low Risk Patient")</f>
        <v>High Risk Patient</v>
      </c>
      <c r="O343" t="str">
        <f>IFERROR(VLOOKUP(Table14[[#This Row],[Department]],Doctor_Info!A:D,2,FALSE), "")</f>
        <v>Dr. Temi</v>
      </c>
      <c r="P343" t="str">
        <f>IF(COUNTIF(A:A,Table14[[#This Row],[Patient ID]]&gt;1),"Returning Patient","New Patient")</f>
        <v>New Patient</v>
      </c>
      <c r="Q343" t="str">
        <f>_xlfn.XLOOKUP(Table14[[#This Row],[Department]], Doctor_Info!A:A, Doctor_Info!C:C, "")&amp;""</f>
        <v>502</v>
      </c>
      <c r="R343" t="str">
        <f>TEXT(Table14[[#This Row],[Admission Date]],"ddd")</f>
        <v>Sat</v>
      </c>
      <c r="S343" t="str">
        <f>TEXT(Table14[[#This Row],[Admission Date]],"mmm")</f>
        <v>Feb</v>
      </c>
      <c r="T343" t="str">
        <f>TEXT(Table14[[#This Row],[Admission Date]],"yyyy")</f>
        <v>2024</v>
      </c>
      <c r="U343" t="str">
        <f>TEXT(Table14[[#This Row],[Admission Date]],"mmm-yyyy")</f>
        <v>Feb-2024</v>
      </c>
      <c r="V343">
        <f t="shared" ca="1" si="5"/>
        <v>8</v>
      </c>
    </row>
    <row r="344" spans="1:22" x14ac:dyDescent="0.2">
      <c r="A344" t="s">
        <v>356</v>
      </c>
      <c r="B344" s="3">
        <v>45327</v>
      </c>
      <c r="C344" s="3">
        <v>45328</v>
      </c>
      <c r="D344">
        <f ca="1">IF(ISBLANK(Table14[[#This Row],[Discharge Date]]),TODAY()-Table14[[#This Row],[Admission Date]], Table14[[#This Row],[Discharge Date]]-Table14[[#This Row],[Admission Date]])</f>
        <v>1</v>
      </c>
      <c r="E344" s="6" t="str">
        <f>IF(Table14[[#This Row],[Discharge Date]]="","Still Admitted","Patient Discharged")</f>
        <v>Patient Discharged</v>
      </c>
      <c r="F344" s="6" t="str">
        <f>IF(WEEKDAY(Table14[[#This Row],[Admission Date]],2)&gt;5,"Weekend","Weekday")</f>
        <v>Weekday</v>
      </c>
      <c r="G344" t="s">
        <v>528</v>
      </c>
      <c r="H344">
        <v>46</v>
      </c>
      <c r="I344" t="str" cm="1">
        <f t="array" ref="I344">_xlfn.IFS(Table14[[#This Row],[Age]]&lt;18,"Children",Table14[[#This Row],[Age]]&lt;50,"Adult",Table14[[#This Row],[Age]]&gt;=50,"Elderly")</f>
        <v>Adult</v>
      </c>
      <c r="J344" t="s">
        <v>547</v>
      </c>
      <c r="K344" s="7">
        <v>342240</v>
      </c>
      <c r="L344" s="2" t="str" cm="1">
        <f t="array" ref="L344">_xlfn.IFS(Table14[[#This Row],[Treatment Cost]]&lt;50000,"Low Billing",Table14[[#This Row],[Treatment Cost]]&lt;200000,"Moderate Billing",Table14[[#This Row],[Treatment Cost]]&gt;=200000,"High Billing")</f>
        <v>High Billing</v>
      </c>
      <c r="M344" t="s">
        <v>6</v>
      </c>
      <c r="N344" t="str">
        <f>IF(AND(Table14[[#This Row],[Outcome]]="Follow-up",Table14[[#This Row],[Admission Status]]="Patient Discharged"),"High Risk Patient","Low Risk Patient")</f>
        <v>Low Risk Patient</v>
      </c>
      <c r="O344" t="str">
        <f>IFERROR(VLOOKUP(Table14[[#This Row],[Department]],Doctor_Info!A:D,2,FALSE), "")</f>
        <v>Dr. Kofi</v>
      </c>
      <c r="P344" t="str">
        <f>IF(COUNTIF(A:A,Table14[[#This Row],[Patient ID]]&gt;1),"Returning Patient","New Patient")</f>
        <v>New Patient</v>
      </c>
      <c r="Q344" t="str">
        <f>_xlfn.XLOOKUP(Table14[[#This Row],[Department]], Doctor_Info!A:A, Doctor_Info!C:C, "")&amp;""</f>
        <v>102</v>
      </c>
      <c r="R344" t="str">
        <f>TEXT(Table14[[#This Row],[Admission Date]],"ddd")</f>
        <v>Mon</v>
      </c>
      <c r="S344" t="str">
        <f>TEXT(Table14[[#This Row],[Admission Date]],"mmm")</f>
        <v>Feb</v>
      </c>
      <c r="T344" t="str">
        <f>TEXT(Table14[[#This Row],[Admission Date]],"yyyy")</f>
        <v>2024</v>
      </c>
      <c r="U344" t="str">
        <f>TEXT(Table14[[#This Row],[Admission Date]],"mmm-yyyy")</f>
        <v>Feb-2024</v>
      </c>
      <c r="V344">
        <f t="shared" ca="1" si="5"/>
        <v>8</v>
      </c>
    </row>
    <row r="345" spans="1:22" x14ac:dyDescent="0.2">
      <c r="A345" t="s">
        <v>357</v>
      </c>
      <c r="B345" s="3">
        <v>45332</v>
      </c>
      <c r="D345">
        <f ca="1">IF(ISBLANK(Table14[[#This Row],[Discharge Date]]),TODAY()-Table14[[#This Row],[Admission Date]], Table14[[#This Row],[Discharge Date]]-Table14[[#This Row],[Admission Date]])</f>
        <v>806</v>
      </c>
      <c r="E345" s="6" t="str">
        <f>IF(Table14[[#This Row],[Discharge Date]]="","Still Admitted","Patient Discharged")</f>
        <v>Still Admitted</v>
      </c>
      <c r="F345" s="6" t="str">
        <f>IF(WEEKDAY(Table14[[#This Row],[Admission Date]],2)&gt;5,"Weekend","Weekday")</f>
        <v>Weekend</v>
      </c>
      <c r="G345" t="s">
        <v>10</v>
      </c>
      <c r="H345">
        <v>48</v>
      </c>
      <c r="I345" t="str" cm="1">
        <f t="array" ref="I345">_xlfn.IFS(Table14[[#This Row],[Age]]&lt;18,"Children",Table14[[#This Row],[Age]]&lt;50,"Adult",Table14[[#This Row],[Age]]&gt;=50,"Elderly")</f>
        <v>Adult</v>
      </c>
      <c r="J345" t="s">
        <v>547</v>
      </c>
      <c r="K345" s="7">
        <v>343210</v>
      </c>
      <c r="L345" s="2" t="str" cm="1">
        <f t="array" ref="L345">_xlfn.IFS(Table14[[#This Row],[Treatment Cost]]&lt;50000,"Low Billing",Table14[[#This Row],[Treatment Cost]]&lt;200000,"Moderate Billing",Table14[[#This Row],[Treatment Cost]]&gt;=200000,"High Billing")</f>
        <v>High Billing</v>
      </c>
      <c r="M345" t="s">
        <v>403</v>
      </c>
      <c r="N345" t="str">
        <f>IF(AND(Table14[[#This Row],[Outcome]]="Follow-up",Table14[[#This Row],[Admission Status]]="Patient Discharged"),"High Risk Patient","Low Risk Patient")</f>
        <v>Low Risk Patient</v>
      </c>
      <c r="O345" t="str">
        <f>IFERROR(VLOOKUP(Table14[[#This Row],[Department]],Doctor_Info!A:D,2,FALSE), "")</f>
        <v>Dr. George</v>
      </c>
      <c r="P345" t="str">
        <f>IF(COUNTIF(A:A,Table14[[#This Row],[Patient ID]]&gt;1),"Returning Patient","New Patient")</f>
        <v>New Patient</v>
      </c>
      <c r="Q345" t="str">
        <f>_xlfn.XLOOKUP(Table14[[#This Row],[Department]], Doctor_Info!A:A, Doctor_Info!C:C, "")&amp;""</f>
        <v>405</v>
      </c>
      <c r="R345" t="str">
        <f>TEXT(Table14[[#This Row],[Admission Date]],"ddd")</f>
        <v>Sat</v>
      </c>
      <c r="S345" t="str">
        <f>TEXT(Table14[[#This Row],[Admission Date]],"mmm")</f>
        <v>Feb</v>
      </c>
      <c r="T345" t="str">
        <f>TEXT(Table14[[#This Row],[Admission Date]],"yyyy")</f>
        <v>2024</v>
      </c>
      <c r="U345" t="str">
        <f>TEXT(Table14[[#This Row],[Admission Date]],"mmm-yyyy")</f>
        <v>Feb-2024</v>
      </c>
      <c r="V345">
        <f t="shared" ca="1" si="5"/>
        <v>8</v>
      </c>
    </row>
    <row r="346" spans="1:22" x14ac:dyDescent="0.2">
      <c r="A346" t="s">
        <v>358</v>
      </c>
      <c r="B346" s="3">
        <v>45319</v>
      </c>
      <c r="C346" s="3">
        <v>45327</v>
      </c>
      <c r="D346">
        <f ca="1">IF(ISBLANK(Table14[[#This Row],[Discharge Date]]),TODAY()-Table14[[#This Row],[Admission Date]], Table14[[#This Row],[Discharge Date]]-Table14[[#This Row],[Admission Date]])</f>
        <v>8</v>
      </c>
      <c r="E346" s="6" t="str">
        <f>IF(Table14[[#This Row],[Discharge Date]]="","Still Admitted","Patient Discharged")</f>
        <v>Patient Discharged</v>
      </c>
      <c r="F346" s="6" t="str">
        <f>IF(WEEKDAY(Table14[[#This Row],[Admission Date]],2)&gt;5,"Weekend","Weekday")</f>
        <v>Weekend</v>
      </c>
      <c r="G346" t="s">
        <v>7</v>
      </c>
      <c r="H346">
        <v>50</v>
      </c>
      <c r="I346" t="str" cm="1">
        <f t="array" ref="I346">_xlfn.IFS(Table14[[#This Row],[Age]]&lt;18,"Children",Table14[[#This Row],[Age]]&lt;50,"Adult",Table14[[#This Row],[Age]]&gt;=50,"Elderly")</f>
        <v>Elderly</v>
      </c>
      <c r="J346" t="s">
        <v>546</v>
      </c>
      <c r="K346" s="7">
        <v>344180</v>
      </c>
      <c r="L346" s="2" t="str" cm="1">
        <f t="array" ref="L346">_xlfn.IFS(Table14[[#This Row],[Treatment Cost]]&lt;50000,"Low Billing",Table14[[#This Row],[Treatment Cost]]&lt;200000,"Moderate Billing",Table14[[#This Row],[Treatment Cost]]&gt;=200000,"High Billing")</f>
        <v>High Billing</v>
      </c>
      <c r="M346" t="s">
        <v>8</v>
      </c>
      <c r="N346" t="str">
        <f>IF(AND(Table14[[#This Row],[Outcome]]="Follow-up",Table14[[#This Row],[Admission Status]]="Patient Discharged"),"High Risk Patient","Low Risk Patient")</f>
        <v>High Risk Patient</v>
      </c>
      <c r="O346" t="str">
        <f>IFERROR(VLOOKUP(Table14[[#This Row],[Department]],Doctor_Info!A:D,2,FALSE), "")</f>
        <v>Dr. Ada</v>
      </c>
      <c r="P346" t="str">
        <f>IF(COUNTIF(A:A,Table14[[#This Row],[Patient ID]]&gt;1),"Returning Patient","New Patient")</f>
        <v>New Patient</v>
      </c>
      <c r="Q346" t="str">
        <f>_xlfn.XLOOKUP(Table14[[#This Row],[Department]], Doctor_Info!A:A, Doctor_Info!C:C, "")&amp;""</f>
        <v>301</v>
      </c>
      <c r="R346" t="str">
        <f>TEXT(Table14[[#This Row],[Admission Date]],"ddd")</f>
        <v>Sun</v>
      </c>
      <c r="S346" t="str">
        <f>TEXT(Table14[[#This Row],[Admission Date]],"mmm")</f>
        <v>Jan</v>
      </c>
      <c r="T346" t="str">
        <f>TEXT(Table14[[#This Row],[Admission Date]],"yyyy")</f>
        <v>2024</v>
      </c>
      <c r="U346" t="str">
        <f>TEXT(Table14[[#This Row],[Admission Date]],"mmm-yyyy")</f>
        <v>Jan-2024</v>
      </c>
      <c r="V346">
        <f t="shared" ca="1" si="5"/>
        <v>8</v>
      </c>
    </row>
    <row r="347" spans="1:22" x14ac:dyDescent="0.2">
      <c r="A347" t="s">
        <v>359</v>
      </c>
      <c r="B347" s="3">
        <v>45323</v>
      </c>
      <c r="C347" s="3">
        <v>45324</v>
      </c>
      <c r="D347">
        <f ca="1">IF(ISBLANK(Table14[[#This Row],[Discharge Date]]),TODAY()-Table14[[#This Row],[Admission Date]], Table14[[#This Row],[Discharge Date]]-Table14[[#This Row],[Admission Date]])</f>
        <v>1</v>
      </c>
      <c r="E347" s="6" t="str">
        <f>IF(Table14[[#This Row],[Discharge Date]]="","Still Admitted","Patient Discharged")</f>
        <v>Patient Discharged</v>
      </c>
      <c r="F347" s="6" t="str">
        <f>IF(WEEKDAY(Table14[[#This Row],[Admission Date]],2)&gt;5,"Weekend","Weekday")</f>
        <v>Weekday</v>
      </c>
      <c r="G347" t="s">
        <v>528</v>
      </c>
      <c r="H347">
        <v>52</v>
      </c>
      <c r="I347" t="str" cm="1">
        <f t="array" ref="I347">_xlfn.IFS(Table14[[#This Row],[Age]]&lt;18,"Children",Table14[[#This Row],[Age]]&lt;50,"Adult",Table14[[#This Row],[Age]]&gt;=50,"Elderly")</f>
        <v>Elderly</v>
      </c>
      <c r="J347" t="s">
        <v>547</v>
      </c>
      <c r="K347" s="7">
        <v>345150</v>
      </c>
      <c r="L347" s="2" t="str" cm="1">
        <f t="array" ref="L347">_xlfn.IFS(Table14[[#This Row],[Treatment Cost]]&lt;50000,"Low Billing",Table14[[#This Row],[Treatment Cost]]&lt;200000,"Moderate Billing",Table14[[#This Row],[Treatment Cost]]&gt;=200000,"High Billing")</f>
        <v>High Billing</v>
      </c>
      <c r="M347" t="s">
        <v>6</v>
      </c>
      <c r="N347" t="str">
        <f>IF(AND(Table14[[#This Row],[Outcome]]="Follow-up",Table14[[#This Row],[Admission Status]]="Patient Discharged"),"High Risk Patient","Low Risk Patient")</f>
        <v>Low Risk Patient</v>
      </c>
      <c r="O347" t="str">
        <f>IFERROR(VLOOKUP(Table14[[#This Row],[Department]],Doctor_Info!A:D,2,FALSE), "")</f>
        <v>Dr. Kofi</v>
      </c>
      <c r="P347" t="str">
        <f>IF(COUNTIF(A:A,Table14[[#This Row],[Patient ID]]&gt;1),"Returning Patient","New Patient")</f>
        <v>New Patient</v>
      </c>
      <c r="Q347" t="str">
        <f>_xlfn.XLOOKUP(Table14[[#This Row],[Department]], Doctor_Info!A:A, Doctor_Info!C:C, "")&amp;""</f>
        <v>102</v>
      </c>
      <c r="R347" t="str">
        <f>TEXT(Table14[[#This Row],[Admission Date]],"ddd")</f>
        <v>Thu</v>
      </c>
      <c r="S347" t="str">
        <f>TEXT(Table14[[#This Row],[Admission Date]],"mmm")</f>
        <v>Feb</v>
      </c>
      <c r="T347" t="str">
        <f>TEXT(Table14[[#This Row],[Admission Date]],"yyyy")</f>
        <v>2024</v>
      </c>
      <c r="U347" t="str">
        <f>TEXT(Table14[[#This Row],[Admission Date]],"mmm-yyyy")</f>
        <v>Feb-2024</v>
      </c>
      <c r="V347">
        <f t="shared" ca="1" si="5"/>
        <v>8</v>
      </c>
    </row>
    <row r="348" spans="1:22" x14ac:dyDescent="0.2">
      <c r="A348" t="s">
        <v>360</v>
      </c>
      <c r="B348" s="3">
        <v>45325</v>
      </c>
      <c r="C348" s="3">
        <v>45337</v>
      </c>
      <c r="D348">
        <f ca="1">IF(ISBLANK(Table14[[#This Row],[Discharge Date]]),TODAY()-Table14[[#This Row],[Admission Date]], Table14[[#This Row],[Discharge Date]]-Table14[[#This Row],[Admission Date]])</f>
        <v>12</v>
      </c>
      <c r="E348" s="6" t="str">
        <f>IF(Table14[[#This Row],[Discharge Date]]="","Still Admitted","Patient Discharged")</f>
        <v>Patient Discharged</v>
      </c>
      <c r="F348" s="6" t="str">
        <f>IF(WEEKDAY(Table14[[#This Row],[Admission Date]],2)&gt;5,"Weekend","Weekday")</f>
        <v>Weekend</v>
      </c>
      <c r="G348" t="s">
        <v>12</v>
      </c>
      <c r="H348">
        <v>54</v>
      </c>
      <c r="I348" t="str" cm="1">
        <f t="array" ref="I348">_xlfn.IFS(Table14[[#This Row],[Age]]&lt;18,"Children",Table14[[#This Row],[Age]]&lt;50,"Adult",Table14[[#This Row],[Age]]&gt;=50,"Elderly")</f>
        <v>Elderly</v>
      </c>
      <c r="J348" t="s">
        <v>546</v>
      </c>
      <c r="K348" s="7">
        <v>346120</v>
      </c>
      <c r="L348" s="2" t="str" cm="1">
        <f t="array" ref="L348">_xlfn.IFS(Table14[[#This Row],[Treatment Cost]]&lt;50000,"Low Billing",Table14[[#This Row],[Treatment Cost]]&lt;200000,"Moderate Billing",Table14[[#This Row],[Treatment Cost]]&gt;=200000,"High Billing")</f>
        <v>High Billing</v>
      </c>
      <c r="M348" t="s">
        <v>8</v>
      </c>
      <c r="N348" t="str">
        <f>IF(AND(Table14[[#This Row],[Outcome]]="Follow-up",Table14[[#This Row],[Admission Status]]="Patient Discharged"),"High Risk Patient","Low Risk Patient")</f>
        <v>High Risk Patient</v>
      </c>
      <c r="O348" t="str">
        <f>IFERROR(VLOOKUP(Table14[[#This Row],[Department]],Doctor_Info!A:D,2,FALSE), "")</f>
        <v>Dr. Temi</v>
      </c>
      <c r="P348" t="str">
        <f>IF(COUNTIF(A:A,Table14[[#This Row],[Patient ID]]&gt;1),"Returning Patient","New Patient")</f>
        <v>New Patient</v>
      </c>
      <c r="Q348" t="str">
        <f>_xlfn.XLOOKUP(Table14[[#This Row],[Department]], Doctor_Info!A:A, Doctor_Info!C:C, "")&amp;""</f>
        <v>502</v>
      </c>
      <c r="R348" t="str">
        <f>TEXT(Table14[[#This Row],[Admission Date]],"ddd")</f>
        <v>Sat</v>
      </c>
      <c r="S348" t="str">
        <f>TEXT(Table14[[#This Row],[Admission Date]],"mmm")</f>
        <v>Feb</v>
      </c>
      <c r="T348" t="str">
        <f>TEXT(Table14[[#This Row],[Admission Date]],"yyyy")</f>
        <v>2024</v>
      </c>
      <c r="U348" t="str">
        <f>TEXT(Table14[[#This Row],[Admission Date]],"mmm-yyyy")</f>
        <v>Feb-2024</v>
      </c>
      <c r="V348">
        <f t="shared" ca="1" si="5"/>
        <v>8</v>
      </c>
    </row>
    <row r="349" spans="1:22" x14ac:dyDescent="0.2">
      <c r="A349" t="s">
        <v>361</v>
      </c>
      <c r="B349" s="3">
        <v>45327</v>
      </c>
      <c r="C349" s="3">
        <v>45328</v>
      </c>
      <c r="D349">
        <f ca="1">IF(ISBLANK(Table14[[#This Row],[Discharge Date]]),TODAY()-Table14[[#This Row],[Admission Date]], Table14[[#This Row],[Discharge Date]]-Table14[[#This Row],[Admission Date]])</f>
        <v>1</v>
      </c>
      <c r="E349" s="6" t="str">
        <f>IF(Table14[[#This Row],[Discharge Date]]="","Still Admitted","Patient Discharged")</f>
        <v>Patient Discharged</v>
      </c>
      <c r="F349" s="6" t="str">
        <f>IF(WEEKDAY(Table14[[#This Row],[Admission Date]],2)&gt;5,"Weekend","Weekday")</f>
        <v>Weekday</v>
      </c>
      <c r="G349" t="s">
        <v>528</v>
      </c>
      <c r="H349">
        <v>56</v>
      </c>
      <c r="I349" t="str" cm="1">
        <f t="array" ref="I349">_xlfn.IFS(Table14[[#This Row],[Age]]&lt;18,"Children",Table14[[#This Row],[Age]]&lt;50,"Adult",Table14[[#This Row],[Age]]&gt;=50,"Elderly")</f>
        <v>Elderly</v>
      </c>
      <c r="J349" t="s">
        <v>547</v>
      </c>
      <c r="K349" s="7">
        <v>347090</v>
      </c>
      <c r="L349" s="2" t="str" cm="1">
        <f t="array" ref="L349">_xlfn.IFS(Table14[[#This Row],[Treatment Cost]]&lt;50000,"Low Billing",Table14[[#This Row],[Treatment Cost]]&lt;200000,"Moderate Billing",Table14[[#This Row],[Treatment Cost]]&gt;=200000,"High Billing")</f>
        <v>High Billing</v>
      </c>
      <c r="M349" t="s">
        <v>6</v>
      </c>
      <c r="N349" t="str">
        <f>IF(AND(Table14[[#This Row],[Outcome]]="Follow-up",Table14[[#This Row],[Admission Status]]="Patient Discharged"),"High Risk Patient","Low Risk Patient")</f>
        <v>Low Risk Patient</v>
      </c>
      <c r="O349" t="str">
        <f>IFERROR(VLOOKUP(Table14[[#This Row],[Department]],Doctor_Info!A:D,2,FALSE), "")</f>
        <v>Dr. Kofi</v>
      </c>
      <c r="P349" t="str">
        <f>IF(COUNTIF(A:A,Table14[[#This Row],[Patient ID]]&gt;1),"Returning Patient","New Patient")</f>
        <v>New Patient</v>
      </c>
      <c r="Q349" t="str">
        <f>_xlfn.XLOOKUP(Table14[[#This Row],[Department]], Doctor_Info!A:A, Doctor_Info!C:C, "")&amp;""</f>
        <v>102</v>
      </c>
      <c r="R349" t="str">
        <f>TEXT(Table14[[#This Row],[Admission Date]],"ddd")</f>
        <v>Mon</v>
      </c>
      <c r="S349" t="str">
        <f>TEXT(Table14[[#This Row],[Admission Date]],"mmm")</f>
        <v>Feb</v>
      </c>
      <c r="T349" t="str">
        <f>TEXT(Table14[[#This Row],[Admission Date]],"yyyy")</f>
        <v>2024</v>
      </c>
      <c r="U349" t="str">
        <f>TEXT(Table14[[#This Row],[Admission Date]],"mmm-yyyy")</f>
        <v>Feb-2024</v>
      </c>
      <c r="V349">
        <f t="shared" ca="1" si="5"/>
        <v>8</v>
      </c>
    </row>
    <row r="350" spans="1:22" x14ac:dyDescent="0.2">
      <c r="A350" t="s">
        <v>362</v>
      </c>
      <c r="B350" s="3">
        <v>45332</v>
      </c>
      <c r="D350">
        <f ca="1">IF(ISBLANK(Table14[[#This Row],[Discharge Date]]),TODAY()-Table14[[#This Row],[Admission Date]], Table14[[#This Row],[Discharge Date]]-Table14[[#This Row],[Admission Date]])</f>
        <v>806</v>
      </c>
      <c r="E350" s="6" t="str">
        <f>IF(Table14[[#This Row],[Discharge Date]]="","Still Admitted","Patient Discharged")</f>
        <v>Still Admitted</v>
      </c>
      <c r="F350" s="6" t="str">
        <f>IF(WEEKDAY(Table14[[#This Row],[Admission Date]],2)&gt;5,"Weekend","Weekday")</f>
        <v>Weekend</v>
      </c>
      <c r="G350" t="s">
        <v>10</v>
      </c>
      <c r="H350">
        <v>58</v>
      </c>
      <c r="I350" t="str" cm="1">
        <f t="array" ref="I350">_xlfn.IFS(Table14[[#This Row],[Age]]&lt;18,"Children",Table14[[#This Row],[Age]]&lt;50,"Adult",Table14[[#This Row],[Age]]&gt;=50,"Elderly")</f>
        <v>Elderly</v>
      </c>
      <c r="J350" t="s">
        <v>547</v>
      </c>
      <c r="K350" s="7">
        <v>348060</v>
      </c>
      <c r="L350" s="2" t="str" cm="1">
        <f t="array" ref="L350">_xlfn.IFS(Table14[[#This Row],[Treatment Cost]]&lt;50000,"Low Billing",Table14[[#This Row],[Treatment Cost]]&lt;200000,"Moderate Billing",Table14[[#This Row],[Treatment Cost]]&gt;=200000,"High Billing")</f>
        <v>High Billing</v>
      </c>
      <c r="M350" t="s">
        <v>403</v>
      </c>
      <c r="N350" t="str">
        <f>IF(AND(Table14[[#This Row],[Outcome]]="Follow-up",Table14[[#This Row],[Admission Status]]="Patient Discharged"),"High Risk Patient","Low Risk Patient")</f>
        <v>Low Risk Patient</v>
      </c>
      <c r="O350" t="str">
        <f>IFERROR(VLOOKUP(Table14[[#This Row],[Department]],Doctor_Info!A:D,2,FALSE), "")</f>
        <v>Dr. George</v>
      </c>
      <c r="P350" t="str">
        <f>IF(COUNTIF(A:A,Table14[[#This Row],[Patient ID]]&gt;1),"Returning Patient","New Patient")</f>
        <v>New Patient</v>
      </c>
      <c r="Q350" t="str">
        <f>_xlfn.XLOOKUP(Table14[[#This Row],[Department]], Doctor_Info!A:A, Doctor_Info!C:C, "")&amp;""</f>
        <v>405</v>
      </c>
      <c r="R350" t="str">
        <f>TEXT(Table14[[#This Row],[Admission Date]],"ddd")</f>
        <v>Sat</v>
      </c>
      <c r="S350" t="str">
        <f>TEXT(Table14[[#This Row],[Admission Date]],"mmm")</f>
        <v>Feb</v>
      </c>
      <c r="T350" t="str">
        <f>TEXT(Table14[[#This Row],[Admission Date]],"yyyy")</f>
        <v>2024</v>
      </c>
      <c r="U350" t="str">
        <f>TEXT(Table14[[#This Row],[Admission Date]],"mmm-yyyy")</f>
        <v>Feb-2024</v>
      </c>
      <c r="V350">
        <f t="shared" ca="1" si="5"/>
        <v>8</v>
      </c>
    </row>
    <row r="351" spans="1:22" x14ac:dyDescent="0.2">
      <c r="A351" t="s">
        <v>363</v>
      </c>
      <c r="B351" s="3">
        <v>45319</v>
      </c>
      <c r="C351" s="3">
        <v>45327</v>
      </c>
      <c r="D351">
        <f ca="1">IF(ISBLANK(Table14[[#This Row],[Discharge Date]]),TODAY()-Table14[[#This Row],[Admission Date]], Table14[[#This Row],[Discharge Date]]-Table14[[#This Row],[Admission Date]])</f>
        <v>8</v>
      </c>
      <c r="E351" s="6" t="str">
        <f>IF(Table14[[#This Row],[Discharge Date]]="","Still Admitted","Patient Discharged")</f>
        <v>Patient Discharged</v>
      </c>
      <c r="F351" s="6" t="str">
        <f>IF(WEEKDAY(Table14[[#This Row],[Admission Date]],2)&gt;5,"Weekend","Weekday")</f>
        <v>Weekend</v>
      </c>
      <c r="G351" t="s">
        <v>7</v>
      </c>
      <c r="H351">
        <v>60</v>
      </c>
      <c r="I351" t="str" cm="1">
        <f t="array" ref="I351">_xlfn.IFS(Table14[[#This Row],[Age]]&lt;18,"Children",Table14[[#This Row],[Age]]&lt;50,"Adult",Table14[[#This Row],[Age]]&gt;=50,"Elderly")</f>
        <v>Elderly</v>
      </c>
      <c r="J351" t="s">
        <v>546</v>
      </c>
      <c r="K351" s="7">
        <v>349030</v>
      </c>
      <c r="L351" s="2" t="str" cm="1">
        <f t="array" ref="L351">_xlfn.IFS(Table14[[#This Row],[Treatment Cost]]&lt;50000,"Low Billing",Table14[[#This Row],[Treatment Cost]]&lt;200000,"Moderate Billing",Table14[[#This Row],[Treatment Cost]]&gt;=200000,"High Billing")</f>
        <v>High Billing</v>
      </c>
      <c r="M351" t="s">
        <v>8</v>
      </c>
      <c r="N351" t="str">
        <f>IF(AND(Table14[[#This Row],[Outcome]]="Follow-up",Table14[[#This Row],[Admission Status]]="Patient Discharged"),"High Risk Patient","Low Risk Patient")</f>
        <v>High Risk Patient</v>
      </c>
      <c r="O351" t="str">
        <f>IFERROR(VLOOKUP(Table14[[#This Row],[Department]],Doctor_Info!A:D,2,FALSE), "")</f>
        <v>Dr. Ada</v>
      </c>
      <c r="P351" t="str">
        <f>IF(COUNTIF(A:A,Table14[[#This Row],[Patient ID]]&gt;1),"Returning Patient","New Patient")</f>
        <v>New Patient</v>
      </c>
      <c r="Q351" t="str">
        <f>_xlfn.XLOOKUP(Table14[[#This Row],[Department]], Doctor_Info!A:A, Doctor_Info!C:C, "")&amp;""</f>
        <v>301</v>
      </c>
      <c r="R351" t="str">
        <f>TEXT(Table14[[#This Row],[Admission Date]],"ddd")</f>
        <v>Sun</v>
      </c>
      <c r="S351" t="str">
        <f>TEXT(Table14[[#This Row],[Admission Date]],"mmm")</f>
        <v>Jan</v>
      </c>
      <c r="T351" t="str">
        <f>TEXT(Table14[[#This Row],[Admission Date]],"yyyy")</f>
        <v>2024</v>
      </c>
      <c r="U351" t="str">
        <f>TEXT(Table14[[#This Row],[Admission Date]],"mmm-yyyy")</f>
        <v>Jan-2024</v>
      </c>
      <c r="V351">
        <f t="shared" ca="1" si="5"/>
        <v>8</v>
      </c>
    </row>
    <row r="352" spans="1:22" x14ac:dyDescent="0.2">
      <c r="A352" t="s">
        <v>364</v>
      </c>
      <c r="B352" s="3">
        <v>45323</v>
      </c>
      <c r="C352" s="3">
        <v>45324</v>
      </c>
      <c r="D352">
        <f ca="1">IF(ISBLANK(Table14[[#This Row],[Discharge Date]]),TODAY()-Table14[[#This Row],[Admission Date]], Table14[[#This Row],[Discharge Date]]-Table14[[#This Row],[Admission Date]])</f>
        <v>1</v>
      </c>
      <c r="E352" s="6" t="str">
        <f>IF(Table14[[#This Row],[Discharge Date]]="","Still Admitted","Patient Discharged")</f>
        <v>Patient Discharged</v>
      </c>
      <c r="F352" s="6" t="str">
        <f>IF(WEEKDAY(Table14[[#This Row],[Admission Date]],2)&gt;5,"Weekend","Weekday")</f>
        <v>Weekday</v>
      </c>
      <c r="G352" t="s">
        <v>528</v>
      </c>
      <c r="H352">
        <v>62</v>
      </c>
      <c r="I352" t="str" cm="1">
        <f t="array" ref="I352">_xlfn.IFS(Table14[[#This Row],[Age]]&lt;18,"Children",Table14[[#This Row],[Age]]&lt;50,"Adult",Table14[[#This Row],[Age]]&gt;=50,"Elderly")</f>
        <v>Elderly</v>
      </c>
      <c r="J352" t="s">
        <v>547</v>
      </c>
      <c r="K352" s="7">
        <v>350000</v>
      </c>
      <c r="L352" s="2" t="str" cm="1">
        <f t="array" ref="L352">_xlfn.IFS(Table14[[#This Row],[Treatment Cost]]&lt;50000,"Low Billing",Table14[[#This Row],[Treatment Cost]]&lt;200000,"Moderate Billing",Table14[[#This Row],[Treatment Cost]]&gt;=200000,"High Billing")</f>
        <v>High Billing</v>
      </c>
      <c r="M352" t="s">
        <v>6</v>
      </c>
      <c r="N352" t="str">
        <f>IF(AND(Table14[[#This Row],[Outcome]]="Follow-up",Table14[[#This Row],[Admission Status]]="Patient Discharged"),"High Risk Patient","Low Risk Patient")</f>
        <v>Low Risk Patient</v>
      </c>
      <c r="O352" t="str">
        <f>IFERROR(VLOOKUP(Table14[[#This Row],[Department]],Doctor_Info!A:D,2,FALSE), "")</f>
        <v>Dr. Kofi</v>
      </c>
      <c r="P352" t="str">
        <f>IF(COUNTIF(A:A,Table14[[#This Row],[Patient ID]]&gt;1),"Returning Patient","New Patient")</f>
        <v>New Patient</v>
      </c>
      <c r="Q352" t="str">
        <f>_xlfn.XLOOKUP(Table14[[#This Row],[Department]], Doctor_Info!A:A, Doctor_Info!C:C, "")&amp;""</f>
        <v>102</v>
      </c>
      <c r="R352" t="str">
        <f>TEXT(Table14[[#This Row],[Admission Date]],"ddd")</f>
        <v>Thu</v>
      </c>
      <c r="S352" t="str">
        <f>TEXT(Table14[[#This Row],[Admission Date]],"mmm")</f>
        <v>Feb</v>
      </c>
      <c r="T352" t="str">
        <f>TEXT(Table14[[#This Row],[Admission Date]],"yyyy")</f>
        <v>2024</v>
      </c>
      <c r="U352" t="str">
        <f>TEXT(Table14[[#This Row],[Admission Date]],"mmm-yyyy")</f>
        <v>Feb-2024</v>
      </c>
      <c r="V352">
        <f t="shared" ca="1" si="5"/>
        <v>8</v>
      </c>
    </row>
    <row r="353" spans="1:22" x14ac:dyDescent="0.2">
      <c r="A353" t="s">
        <v>365</v>
      </c>
      <c r="B353" s="3">
        <v>45325</v>
      </c>
      <c r="C353" s="3">
        <v>45337</v>
      </c>
      <c r="D353">
        <f ca="1">IF(ISBLANK(Table14[[#This Row],[Discharge Date]]),TODAY()-Table14[[#This Row],[Admission Date]], Table14[[#This Row],[Discharge Date]]-Table14[[#This Row],[Admission Date]])</f>
        <v>12</v>
      </c>
      <c r="E353" s="6" t="str">
        <f>IF(Table14[[#This Row],[Discharge Date]]="","Still Admitted","Patient Discharged")</f>
        <v>Patient Discharged</v>
      </c>
      <c r="F353" s="6" t="str">
        <f>IF(WEEKDAY(Table14[[#This Row],[Admission Date]],2)&gt;5,"Weekend","Weekday")</f>
        <v>Weekend</v>
      </c>
      <c r="G353" t="s">
        <v>12</v>
      </c>
      <c r="H353">
        <v>64</v>
      </c>
      <c r="I353" t="str" cm="1">
        <f t="array" ref="I353">_xlfn.IFS(Table14[[#This Row],[Age]]&lt;18,"Children",Table14[[#This Row],[Age]]&lt;50,"Adult",Table14[[#This Row],[Age]]&gt;=50,"Elderly")</f>
        <v>Elderly</v>
      </c>
      <c r="J353" t="s">
        <v>546</v>
      </c>
      <c r="K353" s="7">
        <v>350970</v>
      </c>
      <c r="L353" s="2" t="str" cm="1">
        <f t="array" ref="L353">_xlfn.IFS(Table14[[#This Row],[Treatment Cost]]&lt;50000,"Low Billing",Table14[[#This Row],[Treatment Cost]]&lt;200000,"Moderate Billing",Table14[[#This Row],[Treatment Cost]]&gt;=200000,"High Billing")</f>
        <v>High Billing</v>
      </c>
      <c r="M353" t="s">
        <v>8</v>
      </c>
      <c r="N353" t="str">
        <f>IF(AND(Table14[[#This Row],[Outcome]]="Follow-up",Table14[[#This Row],[Admission Status]]="Patient Discharged"),"High Risk Patient","Low Risk Patient")</f>
        <v>High Risk Patient</v>
      </c>
      <c r="O353" t="str">
        <f>IFERROR(VLOOKUP(Table14[[#This Row],[Department]],Doctor_Info!A:D,2,FALSE), "")</f>
        <v>Dr. Temi</v>
      </c>
      <c r="P353" t="str">
        <f>IF(COUNTIF(A:A,Table14[[#This Row],[Patient ID]]&gt;1),"Returning Patient","New Patient")</f>
        <v>New Patient</v>
      </c>
      <c r="Q353" t="str">
        <f>_xlfn.XLOOKUP(Table14[[#This Row],[Department]], Doctor_Info!A:A, Doctor_Info!C:C, "")&amp;""</f>
        <v>502</v>
      </c>
      <c r="R353" t="str">
        <f>TEXT(Table14[[#This Row],[Admission Date]],"ddd")</f>
        <v>Sat</v>
      </c>
      <c r="S353" t="str">
        <f>TEXT(Table14[[#This Row],[Admission Date]],"mmm")</f>
        <v>Feb</v>
      </c>
      <c r="T353" t="str">
        <f>TEXT(Table14[[#This Row],[Admission Date]],"yyyy")</f>
        <v>2024</v>
      </c>
      <c r="U353" t="str">
        <f>TEXT(Table14[[#This Row],[Admission Date]],"mmm-yyyy")</f>
        <v>Feb-2024</v>
      </c>
      <c r="V353">
        <f t="shared" ca="1" si="5"/>
        <v>8</v>
      </c>
    </row>
    <row r="354" spans="1:22" x14ac:dyDescent="0.2">
      <c r="A354" t="s">
        <v>366</v>
      </c>
      <c r="B354" s="3">
        <v>45327</v>
      </c>
      <c r="C354" s="3">
        <v>45328</v>
      </c>
      <c r="D354">
        <f ca="1">IF(ISBLANK(Table14[[#This Row],[Discharge Date]]),TODAY()-Table14[[#This Row],[Admission Date]], Table14[[#This Row],[Discharge Date]]-Table14[[#This Row],[Admission Date]])</f>
        <v>1</v>
      </c>
      <c r="E354" s="6" t="str">
        <f>IF(Table14[[#This Row],[Discharge Date]]="","Still Admitted","Patient Discharged")</f>
        <v>Patient Discharged</v>
      </c>
      <c r="F354" s="6" t="str">
        <f>IF(WEEKDAY(Table14[[#This Row],[Admission Date]],2)&gt;5,"Weekend","Weekday")</f>
        <v>Weekday</v>
      </c>
      <c r="G354" t="s">
        <v>528</v>
      </c>
      <c r="H354">
        <v>66</v>
      </c>
      <c r="I354" t="str" cm="1">
        <f t="array" ref="I354">_xlfn.IFS(Table14[[#This Row],[Age]]&lt;18,"Children",Table14[[#This Row],[Age]]&lt;50,"Adult",Table14[[#This Row],[Age]]&gt;=50,"Elderly")</f>
        <v>Elderly</v>
      </c>
      <c r="J354" t="s">
        <v>547</v>
      </c>
      <c r="K354" s="7">
        <v>351940</v>
      </c>
      <c r="L354" s="2" t="str" cm="1">
        <f t="array" ref="L354">_xlfn.IFS(Table14[[#This Row],[Treatment Cost]]&lt;50000,"Low Billing",Table14[[#This Row],[Treatment Cost]]&lt;200000,"Moderate Billing",Table14[[#This Row],[Treatment Cost]]&gt;=200000,"High Billing")</f>
        <v>High Billing</v>
      </c>
      <c r="M354" t="s">
        <v>6</v>
      </c>
      <c r="N354" t="str">
        <f>IF(AND(Table14[[#This Row],[Outcome]]="Follow-up",Table14[[#This Row],[Admission Status]]="Patient Discharged"),"High Risk Patient","Low Risk Patient")</f>
        <v>Low Risk Patient</v>
      </c>
      <c r="O354" t="str">
        <f>IFERROR(VLOOKUP(Table14[[#This Row],[Department]],Doctor_Info!A:D,2,FALSE), "")</f>
        <v>Dr. Kofi</v>
      </c>
      <c r="P354" t="str">
        <f>IF(COUNTIF(A:A,Table14[[#This Row],[Patient ID]]&gt;1),"Returning Patient","New Patient")</f>
        <v>New Patient</v>
      </c>
      <c r="Q354" t="str">
        <f>_xlfn.XLOOKUP(Table14[[#This Row],[Department]], Doctor_Info!A:A, Doctor_Info!C:C, "")&amp;""</f>
        <v>102</v>
      </c>
      <c r="R354" t="str">
        <f>TEXT(Table14[[#This Row],[Admission Date]],"ddd")</f>
        <v>Mon</v>
      </c>
      <c r="S354" t="str">
        <f>TEXT(Table14[[#This Row],[Admission Date]],"mmm")</f>
        <v>Feb</v>
      </c>
      <c r="T354" t="str">
        <f>TEXT(Table14[[#This Row],[Admission Date]],"yyyy")</f>
        <v>2024</v>
      </c>
      <c r="U354" t="str">
        <f>TEXT(Table14[[#This Row],[Admission Date]],"mmm-yyyy")</f>
        <v>Feb-2024</v>
      </c>
      <c r="V354">
        <f t="shared" ca="1" si="5"/>
        <v>8</v>
      </c>
    </row>
    <row r="355" spans="1:22" x14ac:dyDescent="0.2">
      <c r="A355" t="s">
        <v>367</v>
      </c>
      <c r="B355" s="3">
        <v>45332</v>
      </c>
      <c r="D355">
        <f ca="1">IF(ISBLANK(Table14[[#This Row],[Discharge Date]]),TODAY()-Table14[[#This Row],[Admission Date]], Table14[[#This Row],[Discharge Date]]-Table14[[#This Row],[Admission Date]])</f>
        <v>806</v>
      </c>
      <c r="E355" s="6" t="str">
        <f>IF(Table14[[#This Row],[Discharge Date]]="","Still Admitted","Patient Discharged")</f>
        <v>Still Admitted</v>
      </c>
      <c r="F355" s="6" t="str">
        <f>IF(WEEKDAY(Table14[[#This Row],[Admission Date]],2)&gt;5,"Weekend","Weekday")</f>
        <v>Weekend</v>
      </c>
      <c r="G355" t="s">
        <v>10</v>
      </c>
      <c r="H355">
        <v>68</v>
      </c>
      <c r="I355" t="str" cm="1">
        <f t="array" ref="I355">_xlfn.IFS(Table14[[#This Row],[Age]]&lt;18,"Children",Table14[[#This Row],[Age]]&lt;50,"Adult",Table14[[#This Row],[Age]]&gt;=50,"Elderly")</f>
        <v>Elderly</v>
      </c>
      <c r="J355" t="s">
        <v>547</v>
      </c>
      <c r="K355" s="7">
        <v>352910</v>
      </c>
      <c r="L355" s="2" t="str" cm="1">
        <f t="array" ref="L355">_xlfn.IFS(Table14[[#This Row],[Treatment Cost]]&lt;50000,"Low Billing",Table14[[#This Row],[Treatment Cost]]&lt;200000,"Moderate Billing",Table14[[#This Row],[Treatment Cost]]&gt;=200000,"High Billing")</f>
        <v>High Billing</v>
      </c>
      <c r="M355" t="s">
        <v>403</v>
      </c>
      <c r="N355" t="str">
        <f>IF(AND(Table14[[#This Row],[Outcome]]="Follow-up",Table14[[#This Row],[Admission Status]]="Patient Discharged"),"High Risk Patient","Low Risk Patient")</f>
        <v>Low Risk Patient</v>
      </c>
      <c r="O355" t="str">
        <f>IFERROR(VLOOKUP(Table14[[#This Row],[Department]],Doctor_Info!A:D,2,FALSE), "")</f>
        <v>Dr. George</v>
      </c>
      <c r="P355" t="str">
        <f>IF(COUNTIF(A:A,Table14[[#This Row],[Patient ID]]&gt;1),"Returning Patient","New Patient")</f>
        <v>New Patient</v>
      </c>
      <c r="Q355" t="str">
        <f>_xlfn.XLOOKUP(Table14[[#This Row],[Department]], Doctor_Info!A:A, Doctor_Info!C:C, "")&amp;""</f>
        <v>405</v>
      </c>
      <c r="R355" t="str">
        <f>TEXT(Table14[[#This Row],[Admission Date]],"ddd")</f>
        <v>Sat</v>
      </c>
      <c r="S355" t="str">
        <f>TEXT(Table14[[#This Row],[Admission Date]],"mmm")</f>
        <v>Feb</v>
      </c>
      <c r="T355" t="str">
        <f>TEXT(Table14[[#This Row],[Admission Date]],"yyyy")</f>
        <v>2024</v>
      </c>
      <c r="U355" t="str">
        <f>TEXT(Table14[[#This Row],[Admission Date]],"mmm-yyyy")</f>
        <v>Feb-2024</v>
      </c>
      <c r="V355">
        <f t="shared" ca="1" si="5"/>
        <v>8</v>
      </c>
    </row>
    <row r="356" spans="1:22" x14ac:dyDescent="0.2">
      <c r="A356" t="s">
        <v>368</v>
      </c>
      <c r="B356" s="3">
        <v>45319</v>
      </c>
      <c r="C356" s="3">
        <v>45327</v>
      </c>
      <c r="D356">
        <f ca="1">IF(ISBLANK(Table14[[#This Row],[Discharge Date]]),TODAY()-Table14[[#This Row],[Admission Date]], Table14[[#This Row],[Discharge Date]]-Table14[[#This Row],[Admission Date]])</f>
        <v>8</v>
      </c>
      <c r="E356" s="6" t="str">
        <f>IF(Table14[[#This Row],[Discharge Date]]="","Still Admitted","Patient Discharged")</f>
        <v>Patient Discharged</v>
      </c>
      <c r="F356" s="6" t="str">
        <f>IF(WEEKDAY(Table14[[#This Row],[Admission Date]],2)&gt;5,"Weekend","Weekday")</f>
        <v>Weekend</v>
      </c>
      <c r="G356" t="s">
        <v>7</v>
      </c>
      <c r="H356">
        <v>70</v>
      </c>
      <c r="I356" t="str" cm="1">
        <f t="array" ref="I356">_xlfn.IFS(Table14[[#This Row],[Age]]&lt;18,"Children",Table14[[#This Row],[Age]]&lt;50,"Adult",Table14[[#This Row],[Age]]&gt;=50,"Elderly")</f>
        <v>Elderly</v>
      </c>
      <c r="J356" t="s">
        <v>546</v>
      </c>
      <c r="K356" s="7">
        <v>353880</v>
      </c>
      <c r="L356" s="2" t="str" cm="1">
        <f t="array" ref="L356">_xlfn.IFS(Table14[[#This Row],[Treatment Cost]]&lt;50000,"Low Billing",Table14[[#This Row],[Treatment Cost]]&lt;200000,"Moderate Billing",Table14[[#This Row],[Treatment Cost]]&gt;=200000,"High Billing")</f>
        <v>High Billing</v>
      </c>
      <c r="M356" t="s">
        <v>8</v>
      </c>
      <c r="N356" t="str">
        <f>IF(AND(Table14[[#This Row],[Outcome]]="Follow-up",Table14[[#This Row],[Admission Status]]="Patient Discharged"),"High Risk Patient","Low Risk Patient")</f>
        <v>High Risk Patient</v>
      </c>
      <c r="O356" t="str">
        <f>IFERROR(VLOOKUP(Table14[[#This Row],[Department]],Doctor_Info!A:D,2,FALSE), "")</f>
        <v>Dr. Ada</v>
      </c>
      <c r="P356" t="str">
        <f>IF(COUNTIF(A:A,Table14[[#This Row],[Patient ID]]&gt;1),"Returning Patient","New Patient")</f>
        <v>New Patient</v>
      </c>
      <c r="Q356" t="str">
        <f>_xlfn.XLOOKUP(Table14[[#This Row],[Department]], Doctor_Info!A:A, Doctor_Info!C:C, "")&amp;""</f>
        <v>301</v>
      </c>
      <c r="R356" t="str">
        <f>TEXT(Table14[[#This Row],[Admission Date]],"ddd")</f>
        <v>Sun</v>
      </c>
      <c r="S356" t="str">
        <f>TEXT(Table14[[#This Row],[Admission Date]],"mmm")</f>
        <v>Jan</v>
      </c>
      <c r="T356" t="str">
        <f>TEXT(Table14[[#This Row],[Admission Date]],"yyyy")</f>
        <v>2024</v>
      </c>
      <c r="U356" t="str">
        <f>TEXT(Table14[[#This Row],[Admission Date]],"mmm-yyyy")</f>
        <v>Jan-2024</v>
      </c>
      <c r="V356">
        <f t="shared" ca="1" si="5"/>
        <v>8</v>
      </c>
    </row>
    <row r="357" spans="1:22" x14ac:dyDescent="0.2">
      <c r="A357" t="s">
        <v>369</v>
      </c>
      <c r="B357" s="3">
        <v>45323</v>
      </c>
      <c r="C357" s="3">
        <v>45324</v>
      </c>
      <c r="D357">
        <f ca="1">IF(ISBLANK(Table14[[#This Row],[Discharge Date]]),TODAY()-Table14[[#This Row],[Admission Date]], Table14[[#This Row],[Discharge Date]]-Table14[[#This Row],[Admission Date]])</f>
        <v>1</v>
      </c>
      <c r="E357" s="6" t="str">
        <f>IF(Table14[[#This Row],[Discharge Date]]="","Still Admitted","Patient Discharged")</f>
        <v>Patient Discharged</v>
      </c>
      <c r="F357" s="6" t="str">
        <f>IF(WEEKDAY(Table14[[#This Row],[Admission Date]],2)&gt;5,"Weekend","Weekday")</f>
        <v>Weekday</v>
      </c>
      <c r="G357" t="s">
        <v>528</v>
      </c>
      <c r="H357">
        <v>72</v>
      </c>
      <c r="I357" t="str" cm="1">
        <f t="array" ref="I357">_xlfn.IFS(Table14[[#This Row],[Age]]&lt;18,"Children",Table14[[#This Row],[Age]]&lt;50,"Adult",Table14[[#This Row],[Age]]&gt;=50,"Elderly")</f>
        <v>Elderly</v>
      </c>
      <c r="J357" t="s">
        <v>547</v>
      </c>
      <c r="K357" s="7">
        <v>354850</v>
      </c>
      <c r="L357" s="2" t="str" cm="1">
        <f t="array" ref="L357">_xlfn.IFS(Table14[[#This Row],[Treatment Cost]]&lt;50000,"Low Billing",Table14[[#This Row],[Treatment Cost]]&lt;200000,"Moderate Billing",Table14[[#This Row],[Treatment Cost]]&gt;=200000,"High Billing")</f>
        <v>High Billing</v>
      </c>
      <c r="M357" t="s">
        <v>6</v>
      </c>
      <c r="N357" t="str">
        <f>IF(AND(Table14[[#This Row],[Outcome]]="Follow-up",Table14[[#This Row],[Admission Status]]="Patient Discharged"),"High Risk Patient","Low Risk Patient")</f>
        <v>Low Risk Patient</v>
      </c>
      <c r="O357" t="str">
        <f>IFERROR(VLOOKUP(Table14[[#This Row],[Department]],Doctor_Info!A:D,2,FALSE), "")</f>
        <v>Dr. Kofi</v>
      </c>
      <c r="P357" t="str">
        <f>IF(COUNTIF(A:A,Table14[[#This Row],[Patient ID]]&gt;1),"Returning Patient","New Patient")</f>
        <v>New Patient</v>
      </c>
      <c r="Q357" t="str">
        <f>_xlfn.XLOOKUP(Table14[[#This Row],[Department]], Doctor_Info!A:A, Doctor_Info!C:C, "")&amp;""</f>
        <v>102</v>
      </c>
      <c r="R357" t="str">
        <f>TEXT(Table14[[#This Row],[Admission Date]],"ddd")</f>
        <v>Thu</v>
      </c>
      <c r="S357" t="str">
        <f>TEXT(Table14[[#This Row],[Admission Date]],"mmm")</f>
        <v>Feb</v>
      </c>
      <c r="T357" t="str">
        <f>TEXT(Table14[[#This Row],[Admission Date]],"yyyy")</f>
        <v>2024</v>
      </c>
      <c r="U357" t="str">
        <f>TEXT(Table14[[#This Row],[Admission Date]],"mmm-yyyy")</f>
        <v>Feb-2024</v>
      </c>
      <c r="V357">
        <f t="shared" ca="1" si="5"/>
        <v>8</v>
      </c>
    </row>
    <row r="358" spans="1:22" x14ac:dyDescent="0.2">
      <c r="A358" t="s">
        <v>370</v>
      </c>
      <c r="B358" s="3">
        <v>45325</v>
      </c>
      <c r="C358" s="3">
        <v>45337</v>
      </c>
      <c r="D358">
        <f ca="1">IF(ISBLANK(Table14[[#This Row],[Discharge Date]]),TODAY()-Table14[[#This Row],[Admission Date]], Table14[[#This Row],[Discharge Date]]-Table14[[#This Row],[Admission Date]])</f>
        <v>12</v>
      </c>
      <c r="E358" s="6" t="str">
        <f>IF(Table14[[#This Row],[Discharge Date]]="","Still Admitted","Patient Discharged")</f>
        <v>Patient Discharged</v>
      </c>
      <c r="F358" s="6" t="str">
        <f>IF(WEEKDAY(Table14[[#This Row],[Admission Date]],2)&gt;5,"Weekend","Weekday")</f>
        <v>Weekend</v>
      </c>
      <c r="G358" t="s">
        <v>12</v>
      </c>
      <c r="H358">
        <v>74</v>
      </c>
      <c r="I358" t="str" cm="1">
        <f t="array" ref="I358">_xlfn.IFS(Table14[[#This Row],[Age]]&lt;18,"Children",Table14[[#This Row],[Age]]&lt;50,"Adult",Table14[[#This Row],[Age]]&gt;=50,"Elderly")</f>
        <v>Elderly</v>
      </c>
      <c r="J358" t="s">
        <v>546</v>
      </c>
      <c r="K358" s="7">
        <v>355820</v>
      </c>
      <c r="L358" s="2" t="str" cm="1">
        <f t="array" ref="L358">_xlfn.IFS(Table14[[#This Row],[Treatment Cost]]&lt;50000,"Low Billing",Table14[[#This Row],[Treatment Cost]]&lt;200000,"Moderate Billing",Table14[[#This Row],[Treatment Cost]]&gt;=200000,"High Billing")</f>
        <v>High Billing</v>
      </c>
      <c r="M358" t="s">
        <v>8</v>
      </c>
      <c r="N358" t="str">
        <f>IF(AND(Table14[[#This Row],[Outcome]]="Follow-up",Table14[[#This Row],[Admission Status]]="Patient Discharged"),"High Risk Patient","Low Risk Patient")</f>
        <v>High Risk Patient</v>
      </c>
      <c r="O358" t="str">
        <f>IFERROR(VLOOKUP(Table14[[#This Row],[Department]],Doctor_Info!A:D,2,FALSE), "")</f>
        <v>Dr. Temi</v>
      </c>
      <c r="P358" t="str">
        <f>IF(COUNTIF(A:A,Table14[[#This Row],[Patient ID]]&gt;1),"Returning Patient","New Patient")</f>
        <v>New Patient</v>
      </c>
      <c r="Q358" t="str">
        <f>_xlfn.XLOOKUP(Table14[[#This Row],[Department]], Doctor_Info!A:A, Doctor_Info!C:C, "")&amp;""</f>
        <v>502</v>
      </c>
      <c r="R358" t="str">
        <f>TEXT(Table14[[#This Row],[Admission Date]],"ddd")</f>
        <v>Sat</v>
      </c>
      <c r="S358" t="str">
        <f>TEXT(Table14[[#This Row],[Admission Date]],"mmm")</f>
        <v>Feb</v>
      </c>
      <c r="T358" t="str">
        <f>TEXT(Table14[[#This Row],[Admission Date]],"yyyy")</f>
        <v>2024</v>
      </c>
      <c r="U358" t="str">
        <f>TEXT(Table14[[#This Row],[Admission Date]],"mmm-yyyy")</f>
        <v>Feb-2024</v>
      </c>
      <c r="V358">
        <f t="shared" ca="1" si="5"/>
        <v>8</v>
      </c>
    </row>
    <row r="359" spans="1:22" x14ac:dyDescent="0.2">
      <c r="A359" t="s">
        <v>371</v>
      </c>
      <c r="B359" s="3">
        <v>45327</v>
      </c>
      <c r="C359" s="3">
        <v>45328</v>
      </c>
      <c r="D359">
        <f ca="1">IF(ISBLANK(Table14[[#This Row],[Discharge Date]]),TODAY()-Table14[[#This Row],[Admission Date]], Table14[[#This Row],[Discharge Date]]-Table14[[#This Row],[Admission Date]])</f>
        <v>1</v>
      </c>
      <c r="E359" s="6" t="str">
        <f>IF(Table14[[#This Row],[Discharge Date]]="","Still Admitted","Patient Discharged")</f>
        <v>Patient Discharged</v>
      </c>
      <c r="F359" s="6" t="str">
        <f>IF(WEEKDAY(Table14[[#This Row],[Admission Date]],2)&gt;5,"Weekend","Weekday")</f>
        <v>Weekday</v>
      </c>
      <c r="G359" t="s">
        <v>528</v>
      </c>
      <c r="H359">
        <v>76</v>
      </c>
      <c r="I359" t="str" cm="1">
        <f t="array" ref="I359">_xlfn.IFS(Table14[[#This Row],[Age]]&lt;18,"Children",Table14[[#This Row],[Age]]&lt;50,"Adult",Table14[[#This Row],[Age]]&gt;=50,"Elderly")</f>
        <v>Elderly</v>
      </c>
      <c r="J359" t="s">
        <v>547</v>
      </c>
      <c r="K359" s="7">
        <v>356790</v>
      </c>
      <c r="L359" s="2" t="str" cm="1">
        <f t="array" ref="L359">_xlfn.IFS(Table14[[#This Row],[Treatment Cost]]&lt;50000,"Low Billing",Table14[[#This Row],[Treatment Cost]]&lt;200000,"Moderate Billing",Table14[[#This Row],[Treatment Cost]]&gt;=200000,"High Billing")</f>
        <v>High Billing</v>
      </c>
      <c r="M359" t="s">
        <v>6</v>
      </c>
      <c r="N359" t="str">
        <f>IF(AND(Table14[[#This Row],[Outcome]]="Follow-up",Table14[[#This Row],[Admission Status]]="Patient Discharged"),"High Risk Patient","Low Risk Patient")</f>
        <v>Low Risk Patient</v>
      </c>
      <c r="O359" t="str">
        <f>IFERROR(VLOOKUP(Table14[[#This Row],[Department]],Doctor_Info!A:D,2,FALSE), "")</f>
        <v>Dr. Kofi</v>
      </c>
      <c r="P359" t="str">
        <f>IF(COUNTIF(A:A,Table14[[#This Row],[Patient ID]]&gt;1),"Returning Patient","New Patient")</f>
        <v>New Patient</v>
      </c>
      <c r="Q359" t="str">
        <f>_xlfn.XLOOKUP(Table14[[#This Row],[Department]], Doctor_Info!A:A, Doctor_Info!C:C, "")&amp;""</f>
        <v>102</v>
      </c>
      <c r="R359" t="str">
        <f>TEXT(Table14[[#This Row],[Admission Date]],"ddd")</f>
        <v>Mon</v>
      </c>
      <c r="S359" t="str">
        <f>TEXT(Table14[[#This Row],[Admission Date]],"mmm")</f>
        <v>Feb</v>
      </c>
      <c r="T359" t="str">
        <f>TEXT(Table14[[#This Row],[Admission Date]],"yyyy")</f>
        <v>2024</v>
      </c>
      <c r="U359" t="str">
        <f>TEXT(Table14[[#This Row],[Admission Date]],"mmm-yyyy")</f>
        <v>Feb-2024</v>
      </c>
      <c r="V359">
        <f t="shared" ca="1" si="5"/>
        <v>8</v>
      </c>
    </row>
    <row r="360" spans="1:22" x14ac:dyDescent="0.2">
      <c r="A360" t="s">
        <v>372</v>
      </c>
      <c r="B360" s="3">
        <v>45332</v>
      </c>
      <c r="D360">
        <f ca="1">IF(ISBLANK(Table14[[#This Row],[Discharge Date]]),TODAY()-Table14[[#This Row],[Admission Date]], Table14[[#This Row],[Discharge Date]]-Table14[[#This Row],[Admission Date]])</f>
        <v>806</v>
      </c>
      <c r="E360" s="6" t="str">
        <f>IF(Table14[[#This Row],[Discharge Date]]="","Still Admitted","Patient Discharged")</f>
        <v>Still Admitted</v>
      </c>
      <c r="F360" s="6" t="str">
        <f>IF(WEEKDAY(Table14[[#This Row],[Admission Date]],2)&gt;5,"Weekend","Weekday")</f>
        <v>Weekend</v>
      </c>
      <c r="G360" t="s">
        <v>10</v>
      </c>
      <c r="H360">
        <v>78</v>
      </c>
      <c r="I360" t="str" cm="1">
        <f t="array" ref="I360">_xlfn.IFS(Table14[[#This Row],[Age]]&lt;18,"Children",Table14[[#This Row],[Age]]&lt;50,"Adult",Table14[[#This Row],[Age]]&gt;=50,"Elderly")</f>
        <v>Elderly</v>
      </c>
      <c r="J360" t="s">
        <v>547</v>
      </c>
      <c r="K360" s="7">
        <v>357760</v>
      </c>
      <c r="L360" s="2" t="str" cm="1">
        <f t="array" ref="L360">_xlfn.IFS(Table14[[#This Row],[Treatment Cost]]&lt;50000,"Low Billing",Table14[[#This Row],[Treatment Cost]]&lt;200000,"Moderate Billing",Table14[[#This Row],[Treatment Cost]]&gt;=200000,"High Billing")</f>
        <v>High Billing</v>
      </c>
      <c r="M360" t="s">
        <v>403</v>
      </c>
      <c r="N360" t="str">
        <f>IF(AND(Table14[[#This Row],[Outcome]]="Follow-up",Table14[[#This Row],[Admission Status]]="Patient Discharged"),"High Risk Patient","Low Risk Patient")</f>
        <v>Low Risk Patient</v>
      </c>
      <c r="O360" t="str">
        <f>IFERROR(VLOOKUP(Table14[[#This Row],[Department]],Doctor_Info!A:D,2,FALSE), "")</f>
        <v>Dr. George</v>
      </c>
      <c r="P360" t="str">
        <f>IF(COUNTIF(A:A,Table14[[#This Row],[Patient ID]]&gt;1),"Returning Patient","New Patient")</f>
        <v>New Patient</v>
      </c>
      <c r="Q360" t="str">
        <f>_xlfn.XLOOKUP(Table14[[#This Row],[Department]], Doctor_Info!A:A, Doctor_Info!C:C, "")&amp;""</f>
        <v>405</v>
      </c>
      <c r="R360" t="str">
        <f>TEXT(Table14[[#This Row],[Admission Date]],"ddd")</f>
        <v>Sat</v>
      </c>
      <c r="S360" t="str">
        <f>TEXT(Table14[[#This Row],[Admission Date]],"mmm")</f>
        <v>Feb</v>
      </c>
      <c r="T360" t="str">
        <f>TEXT(Table14[[#This Row],[Admission Date]],"yyyy")</f>
        <v>2024</v>
      </c>
      <c r="U360" t="str">
        <f>TEXT(Table14[[#This Row],[Admission Date]],"mmm-yyyy")</f>
        <v>Feb-2024</v>
      </c>
      <c r="V360">
        <f t="shared" ca="1" si="5"/>
        <v>8</v>
      </c>
    </row>
    <row r="361" spans="1:22" x14ac:dyDescent="0.2">
      <c r="A361" t="s">
        <v>373</v>
      </c>
      <c r="B361" s="3">
        <v>45319</v>
      </c>
      <c r="C361" s="3">
        <v>45327</v>
      </c>
      <c r="D361">
        <f ca="1">IF(ISBLANK(Table14[[#This Row],[Discharge Date]]),TODAY()-Table14[[#This Row],[Admission Date]], Table14[[#This Row],[Discharge Date]]-Table14[[#This Row],[Admission Date]])</f>
        <v>8</v>
      </c>
      <c r="E361" s="6" t="str">
        <f>IF(Table14[[#This Row],[Discharge Date]]="","Still Admitted","Patient Discharged")</f>
        <v>Patient Discharged</v>
      </c>
      <c r="F361" s="6" t="str">
        <f>IF(WEEKDAY(Table14[[#This Row],[Admission Date]],2)&gt;5,"Weekend","Weekday")</f>
        <v>Weekend</v>
      </c>
      <c r="G361" t="s">
        <v>7</v>
      </c>
      <c r="H361">
        <v>80</v>
      </c>
      <c r="I361" t="str" cm="1">
        <f t="array" ref="I361">_xlfn.IFS(Table14[[#This Row],[Age]]&lt;18,"Children",Table14[[#This Row],[Age]]&lt;50,"Adult",Table14[[#This Row],[Age]]&gt;=50,"Elderly")</f>
        <v>Elderly</v>
      </c>
      <c r="J361" t="s">
        <v>546</v>
      </c>
      <c r="K361" s="7">
        <v>358730</v>
      </c>
      <c r="L361" s="2" t="str" cm="1">
        <f t="array" ref="L361">_xlfn.IFS(Table14[[#This Row],[Treatment Cost]]&lt;50000,"Low Billing",Table14[[#This Row],[Treatment Cost]]&lt;200000,"Moderate Billing",Table14[[#This Row],[Treatment Cost]]&gt;=200000,"High Billing")</f>
        <v>High Billing</v>
      </c>
      <c r="M361" t="s">
        <v>8</v>
      </c>
      <c r="N361" t="str">
        <f>IF(AND(Table14[[#This Row],[Outcome]]="Follow-up",Table14[[#This Row],[Admission Status]]="Patient Discharged"),"High Risk Patient","Low Risk Patient")</f>
        <v>High Risk Patient</v>
      </c>
      <c r="O361" t="str">
        <f>IFERROR(VLOOKUP(Table14[[#This Row],[Department]],Doctor_Info!A:D,2,FALSE), "")</f>
        <v>Dr. Ada</v>
      </c>
      <c r="P361" t="str">
        <f>IF(COUNTIF(A:A,Table14[[#This Row],[Patient ID]]&gt;1),"Returning Patient","New Patient")</f>
        <v>New Patient</v>
      </c>
      <c r="Q361" t="str">
        <f>_xlfn.XLOOKUP(Table14[[#This Row],[Department]], Doctor_Info!A:A, Doctor_Info!C:C, "")&amp;""</f>
        <v>301</v>
      </c>
      <c r="R361" t="str">
        <f>TEXT(Table14[[#This Row],[Admission Date]],"ddd")</f>
        <v>Sun</v>
      </c>
      <c r="S361" t="str">
        <f>TEXT(Table14[[#This Row],[Admission Date]],"mmm")</f>
        <v>Jan</v>
      </c>
      <c r="T361" t="str">
        <f>TEXT(Table14[[#This Row],[Admission Date]],"yyyy")</f>
        <v>2024</v>
      </c>
      <c r="U361" t="str">
        <f>TEXT(Table14[[#This Row],[Admission Date]],"mmm-yyyy")</f>
        <v>Jan-2024</v>
      </c>
      <c r="V361">
        <f t="shared" ca="1" si="5"/>
        <v>8</v>
      </c>
    </row>
    <row r="362" spans="1:22" x14ac:dyDescent="0.2">
      <c r="A362" t="s">
        <v>374</v>
      </c>
      <c r="B362" s="3">
        <v>45323</v>
      </c>
      <c r="C362" s="3">
        <v>45324</v>
      </c>
      <c r="D362">
        <f ca="1">IF(ISBLANK(Table14[[#This Row],[Discharge Date]]),TODAY()-Table14[[#This Row],[Admission Date]], Table14[[#This Row],[Discharge Date]]-Table14[[#This Row],[Admission Date]])</f>
        <v>1</v>
      </c>
      <c r="E362" s="6" t="str">
        <f>IF(Table14[[#This Row],[Discharge Date]]="","Still Admitted","Patient Discharged")</f>
        <v>Patient Discharged</v>
      </c>
      <c r="F362" s="6" t="str">
        <f>IF(WEEKDAY(Table14[[#This Row],[Admission Date]],2)&gt;5,"Weekend","Weekday")</f>
        <v>Weekday</v>
      </c>
      <c r="G362" t="s">
        <v>528</v>
      </c>
      <c r="H362">
        <v>82</v>
      </c>
      <c r="I362" t="str" cm="1">
        <f t="array" ref="I362">_xlfn.IFS(Table14[[#This Row],[Age]]&lt;18,"Children",Table14[[#This Row],[Age]]&lt;50,"Adult",Table14[[#This Row],[Age]]&gt;=50,"Elderly")</f>
        <v>Elderly</v>
      </c>
      <c r="J362" t="s">
        <v>547</v>
      </c>
      <c r="K362" s="7">
        <v>359700</v>
      </c>
      <c r="L362" s="2" t="str" cm="1">
        <f t="array" ref="L362">_xlfn.IFS(Table14[[#This Row],[Treatment Cost]]&lt;50000,"Low Billing",Table14[[#This Row],[Treatment Cost]]&lt;200000,"Moderate Billing",Table14[[#This Row],[Treatment Cost]]&gt;=200000,"High Billing")</f>
        <v>High Billing</v>
      </c>
      <c r="M362" t="s">
        <v>6</v>
      </c>
      <c r="N362" t="str">
        <f>IF(AND(Table14[[#This Row],[Outcome]]="Follow-up",Table14[[#This Row],[Admission Status]]="Patient Discharged"),"High Risk Patient","Low Risk Patient")</f>
        <v>Low Risk Patient</v>
      </c>
      <c r="O362" t="str">
        <f>IFERROR(VLOOKUP(Table14[[#This Row],[Department]],Doctor_Info!A:D,2,FALSE), "")</f>
        <v>Dr. Kofi</v>
      </c>
      <c r="P362" t="str">
        <f>IF(COUNTIF(A:A,Table14[[#This Row],[Patient ID]]&gt;1),"Returning Patient","New Patient")</f>
        <v>New Patient</v>
      </c>
      <c r="Q362" t="str">
        <f>_xlfn.XLOOKUP(Table14[[#This Row],[Department]], Doctor_Info!A:A, Doctor_Info!C:C, "")&amp;""</f>
        <v>102</v>
      </c>
      <c r="R362" t="str">
        <f>TEXT(Table14[[#This Row],[Admission Date]],"ddd")</f>
        <v>Thu</v>
      </c>
      <c r="S362" t="str">
        <f>TEXT(Table14[[#This Row],[Admission Date]],"mmm")</f>
        <v>Feb</v>
      </c>
      <c r="T362" t="str">
        <f>TEXT(Table14[[#This Row],[Admission Date]],"yyyy")</f>
        <v>2024</v>
      </c>
      <c r="U362" t="str">
        <f>TEXT(Table14[[#This Row],[Admission Date]],"mmm-yyyy")</f>
        <v>Feb-2024</v>
      </c>
      <c r="V362">
        <f t="shared" ca="1" si="5"/>
        <v>8</v>
      </c>
    </row>
    <row r="363" spans="1:22" x14ac:dyDescent="0.2">
      <c r="A363" t="s">
        <v>375</v>
      </c>
      <c r="B363" s="3">
        <v>45325</v>
      </c>
      <c r="C363" s="3">
        <v>45337</v>
      </c>
      <c r="D363">
        <f ca="1">IF(ISBLANK(Table14[[#This Row],[Discharge Date]]),TODAY()-Table14[[#This Row],[Admission Date]], Table14[[#This Row],[Discharge Date]]-Table14[[#This Row],[Admission Date]])</f>
        <v>12</v>
      </c>
      <c r="E363" s="6" t="str">
        <f>IF(Table14[[#This Row],[Discharge Date]]="","Still Admitted","Patient Discharged")</f>
        <v>Patient Discharged</v>
      </c>
      <c r="F363" s="6" t="str">
        <f>IF(WEEKDAY(Table14[[#This Row],[Admission Date]],2)&gt;5,"Weekend","Weekday")</f>
        <v>Weekend</v>
      </c>
      <c r="G363" t="s">
        <v>12</v>
      </c>
      <c r="H363">
        <v>84</v>
      </c>
      <c r="I363" t="str" cm="1">
        <f t="array" ref="I363">_xlfn.IFS(Table14[[#This Row],[Age]]&lt;18,"Children",Table14[[#This Row],[Age]]&lt;50,"Adult",Table14[[#This Row],[Age]]&gt;=50,"Elderly")</f>
        <v>Elderly</v>
      </c>
      <c r="J363" t="s">
        <v>546</v>
      </c>
      <c r="K363" s="7">
        <v>360670</v>
      </c>
      <c r="L363" s="2" t="str" cm="1">
        <f t="array" ref="L363">_xlfn.IFS(Table14[[#This Row],[Treatment Cost]]&lt;50000,"Low Billing",Table14[[#This Row],[Treatment Cost]]&lt;200000,"Moderate Billing",Table14[[#This Row],[Treatment Cost]]&gt;=200000,"High Billing")</f>
        <v>High Billing</v>
      </c>
      <c r="M363" t="s">
        <v>8</v>
      </c>
      <c r="N363" t="str">
        <f>IF(AND(Table14[[#This Row],[Outcome]]="Follow-up",Table14[[#This Row],[Admission Status]]="Patient Discharged"),"High Risk Patient","Low Risk Patient")</f>
        <v>High Risk Patient</v>
      </c>
      <c r="O363" t="str">
        <f>IFERROR(VLOOKUP(Table14[[#This Row],[Department]],Doctor_Info!A:D,2,FALSE), "")</f>
        <v>Dr. Temi</v>
      </c>
      <c r="P363" t="str">
        <f>IF(COUNTIF(A:A,Table14[[#This Row],[Patient ID]]&gt;1),"Returning Patient","New Patient")</f>
        <v>New Patient</v>
      </c>
      <c r="Q363" t="str">
        <f>_xlfn.XLOOKUP(Table14[[#This Row],[Department]], Doctor_Info!A:A, Doctor_Info!C:C, "")&amp;""</f>
        <v>502</v>
      </c>
      <c r="R363" t="str">
        <f>TEXT(Table14[[#This Row],[Admission Date]],"ddd")</f>
        <v>Sat</v>
      </c>
      <c r="S363" t="str">
        <f>TEXT(Table14[[#This Row],[Admission Date]],"mmm")</f>
        <v>Feb</v>
      </c>
      <c r="T363" t="str">
        <f>TEXT(Table14[[#This Row],[Admission Date]],"yyyy")</f>
        <v>2024</v>
      </c>
      <c r="U363" t="str">
        <f>TEXT(Table14[[#This Row],[Admission Date]],"mmm-yyyy")</f>
        <v>Feb-2024</v>
      </c>
      <c r="V363">
        <f t="shared" ca="1" si="5"/>
        <v>8</v>
      </c>
    </row>
    <row r="364" spans="1:22" x14ac:dyDescent="0.2">
      <c r="A364" t="s">
        <v>376</v>
      </c>
      <c r="B364" s="3">
        <v>45327</v>
      </c>
      <c r="C364" s="3">
        <v>45328</v>
      </c>
      <c r="D364">
        <f ca="1">IF(ISBLANK(Table14[[#This Row],[Discharge Date]]),TODAY()-Table14[[#This Row],[Admission Date]], Table14[[#This Row],[Discharge Date]]-Table14[[#This Row],[Admission Date]])</f>
        <v>1</v>
      </c>
      <c r="E364" s="6" t="str">
        <f>IF(Table14[[#This Row],[Discharge Date]]="","Still Admitted","Patient Discharged")</f>
        <v>Patient Discharged</v>
      </c>
      <c r="F364" s="6" t="str">
        <f>IF(WEEKDAY(Table14[[#This Row],[Admission Date]],2)&gt;5,"Weekend","Weekday")</f>
        <v>Weekday</v>
      </c>
      <c r="G364" t="s">
        <v>528</v>
      </c>
      <c r="H364">
        <v>86</v>
      </c>
      <c r="I364" t="str" cm="1">
        <f t="array" ref="I364">_xlfn.IFS(Table14[[#This Row],[Age]]&lt;18,"Children",Table14[[#This Row],[Age]]&lt;50,"Adult",Table14[[#This Row],[Age]]&gt;=50,"Elderly")</f>
        <v>Elderly</v>
      </c>
      <c r="J364" t="s">
        <v>547</v>
      </c>
      <c r="K364" s="7">
        <v>361640</v>
      </c>
      <c r="L364" s="2" t="str" cm="1">
        <f t="array" ref="L364">_xlfn.IFS(Table14[[#This Row],[Treatment Cost]]&lt;50000,"Low Billing",Table14[[#This Row],[Treatment Cost]]&lt;200000,"Moderate Billing",Table14[[#This Row],[Treatment Cost]]&gt;=200000,"High Billing")</f>
        <v>High Billing</v>
      </c>
      <c r="M364" t="s">
        <v>6</v>
      </c>
      <c r="N364" t="str">
        <f>IF(AND(Table14[[#This Row],[Outcome]]="Follow-up",Table14[[#This Row],[Admission Status]]="Patient Discharged"),"High Risk Patient","Low Risk Patient")</f>
        <v>Low Risk Patient</v>
      </c>
      <c r="O364" t="str">
        <f>IFERROR(VLOOKUP(Table14[[#This Row],[Department]],Doctor_Info!A:D,2,FALSE), "")</f>
        <v>Dr. Kofi</v>
      </c>
      <c r="P364" t="str">
        <f>IF(COUNTIF(A:A,Table14[[#This Row],[Patient ID]]&gt;1),"Returning Patient","New Patient")</f>
        <v>New Patient</v>
      </c>
      <c r="Q364" t="str">
        <f>_xlfn.XLOOKUP(Table14[[#This Row],[Department]], Doctor_Info!A:A, Doctor_Info!C:C, "")&amp;""</f>
        <v>102</v>
      </c>
      <c r="R364" t="str">
        <f>TEXT(Table14[[#This Row],[Admission Date]],"ddd")</f>
        <v>Mon</v>
      </c>
      <c r="S364" t="str">
        <f>TEXT(Table14[[#This Row],[Admission Date]],"mmm")</f>
        <v>Feb</v>
      </c>
      <c r="T364" t="str">
        <f>TEXT(Table14[[#This Row],[Admission Date]],"yyyy")</f>
        <v>2024</v>
      </c>
      <c r="U364" t="str">
        <f>TEXT(Table14[[#This Row],[Admission Date]],"mmm-yyyy")</f>
        <v>Feb-2024</v>
      </c>
      <c r="V364">
        <f t="shared" ca="1" si="5"/>
        <v>8</v>
      </c>
    </row>
    <row r="365" spans="1:22" x14ac:dyDescent="0.2">
      <c r="A365" t="s">
        <v>377</v>
      </c>
      <c r="B365" s="3">
        <v>45332</v>
      </c>
      <c r="D365">
        <f ca="1">IF(ISBLANK(Table14[[#This Row],[Discharge Date]]),TODAY()-Table14[[#This Row],[Admission Date]], Table14[[#This Row],[Discharge Date]]-Table14[[#This Row],[Admission Date]])</f>
        <v>806</v>
      </c>
      <c r="E365" s="6" t="str">
        <f>IF(Table14[[#This Row],[Discharge Date]]="","Still Admitted","Patient Discharged")</f>
        <v>Still Admitted</v>
      </c>
      <c r="F365" s="6" t="str">
        <f>IF(WEEKDAY(Table14[[#This Row],[Admission Date]],2)&gt;5,"Weekend","Weekday")</f>
        <v>Weekend</v>
      </c>
      <c r="G365" t="s">
        <v>10</v>
      </c>
      <c r="H365">
        <v>88</v>
      </c>
      <c r="I365" t="str" cm="1">
        <f t="array" ref="I365">_xlfn.IFS(Table14[[#This Row],[Age]]&lt;18,"Children",Table14[[#This Row],[Age]]&lt;50,"Adult",Table14[[#This Row],[Age]]&gt;=50,"Elderly")</f>
        <v>Elderly</v>
      </c>
      <c r="J365" t="s">
        <v>547</v>
      </c>
      <c r="K365" s="7">
        <v>362610</v>
      </c>
      <c r="L365" s="2" t="str" cm="1">
        <f t="array" ref="L365">_xlfn.IFS(Table14[[#This Row],[Treatment Cost]]&lt;50000,"Low Billing",Table14[[#This Row],[Treatment Cost]]&lt;200000,"Moderate Billing",Table14[[#This Row],[Treatment Cost]]&gt;=200000,"High Billing")</f>
        <v>High Billing</v>
      </c>
      <c r="M365" t="s">
        <v>403</v>
      </c>
      <c r="N365" t="str">
        <f>IF(AND(Table14[[#This Row],[Outcome]]="Follow-up",Table14[[#This Row],[Admission Status]]="Patient Discharged"),"High Risk Patient","Low Risk Patient")</f>
        <v>Low Risk Patient</v>
      </c>
      <c r="O365" t="str">
        <f>IFERROR(VLOOKUP(Table14[[#This Row],[Department]],Doctor_Info!A:D,2,FALSE), "")</f>
        <v>Dr. George</v>
      </c>
      <c r="P365" t="str">
        <f>IF(COUNTIF(A:A,Table14[[#This Row],[Patient ID]]&gt;1),"Returning Patient","New Patient")</f>
        <v>New Patient</v>
      </c>
      <c r="Q365" t="str">
        <f>_xlfn.XLOOKUP(Table14[[#This Row],[Department]], Doctor_Info!A:A, Doctor_Info!C:C, "")&amp;""</f>
        <v>405</v>
      </c>
      <c r="R365" t="str">
        <f>TEXT(Table14[[#This Row],[Admission Date]],"ddd")</f>
        <v>Sat</v>
      </c>
      <c r="S365" t="str">
        <f>TEXT(Table14[[#This Row],[Admission Date]],"mmm")</f>
        <v>Feb</v>
      </c>
      <c r="T365" t="str">
        <f>TEXT(Table14[[#This Row],[Admission Date]],"yyyy")</f>
        <v>2024</v>
      </c>
      <c r="U365" t="str">
        <f>TEXT(Table14[[#This Row],[Admission Date]],"mmm-yyyy")</f>
        <v>Feb-2024</v>
      </c>
      <c r="V365">
        <f t="shared" ca="1" si="5"/>
        <v>8</v>
      </c>
    </row>
    <row r="366" spans="1:22" x14ac:dyDescent="0.2">
      <c r="A366" t="s">
        <v>378</v>
      </c>
      <c r="B366" s="3">
        <v>45319</v>
      </c>
      <c r="C366" s="3">
        <v>45327</v>
      </c>
      <c r="D366">
        <f ca="1">IF(ISBLANK(Table14[[#This Row],[Discharge Date]]),TODAY()-Table14[[#This Row],[Admission Date]], Table14[[#This Row],[Discharge Date]]-Table14[[#This Row],[Admission Date]])</f>
        <v>8</v>
      </c>
      <c r="E366" s="6" t="str">
        <f>IF(Table14[[#This Row],[Discharge Date]]="","Still Admitted","Patient Discharged")</f>
        <v>Patient Discharged</v>
      </c>
      <c r="F366" s="6" t="str">
        <f>IF(WEEKDAY(Table14[[#This Row],[Admission Date]],2)&gt;5,"Weekend","Weekday")</f>
        <v>Weekend</v>
      </c>
      <c r="G366" t="s">
        <v>7</v>
      </c>
      <c r="H366">
        <v>90</v>
      </c>
      <c r="I366" t="str" cm="1">
        <f t="array" ref="I366">_xlfn.IFS(Table14[[#This Row],[Age]]&lt;18,"Children",Table14[[#This Row],[Age]]&lt;50,"Adult",Table14[[#This Row],[Age]]&gt;=50,"Elderly")</f>
        <v>Elderly</v>
      </c>
      <c r="J366" t="s">
        <v>546</v>
      </c>
      <c r="K366" s="7">
        <v>363580</v>
      </c>
      <c r="L366" s="2" t="str" cm="1">
        <f t="array" ref="L366">_xlfn.IFS(Table14[[#This Row],[Treatment Cost]]&lt;50000,"Low Billing",Table14[[#This Row],[Treatment Cost]]&lt;200000,"Moderate Billing",Table14[[#This Row],[Treatment Cost]]&gt;=200000,"High Billing")</f>
        <v>High Billing</v>
      </c>
      <c r="M366" t="s">
        <v>8</v>
      </c>
      <c r="N366" t="str">
        <f>IF(AND(Table14[[#This Row],[Outcome]]="Follow-up",Table14[[#This Row],[Admission Status]]="Patient Discharged"),"High Risk Patient","Low Risk Patient")</f>
        <v>High Risk Patient</v>
      </c>
      <c r="O366" t="str">
        <f>IFERROR(VLOOKUP(Table14[[#This Row],[Department]],Doctor_Info!A:D,2,FALSE), "")</f>
        <v>Dr. Ada</v>
      </c>
      <c r="P366" t="str">
        <f>IF(COUNTIF(A:A,Table14[[#This Row],[Patient ID]]&gt;1),"Returning Patient","New Patient")</f>
        <v>New Patient</v>
      </c>
      <c r="Q366" t="str">
        <f>_xlfn.XLOOKUP(Table14[[#This Row],[Department]], Doctor_Info!A:A, Doctor_Info!C:C, "")&amp;""</f>
        <v>301</v>
      </c>
      <c r="R366" t="str">
        <f>TEXT(Table14[[#This Row],[Admission Date]],"ddd")</f>
        <v>Sun</v>
      </c>
      <c r="S366" t="str">
        <f>TEXT(Table14[[#This Row],[Admission Date]],"mmm")</f>
        <v>Jan</v>
      </c>
      <c r="T366" t="str">
        <f>TEXT(Table14[[#This Row],[Admission Date]],"yyyy")</f>
        <v>2024</v>
      </c>
      <c r="U366" t="str">
        <f>TEXT(Table14[[#This Row],[Admission Date]],"mmm-yyyy")</f>
        <v>Jan-2024</v>
      </c>
      <c r="V366">
        <f t="shared" ca="1" si="5"/>
        <v>8</v>
      </c>
    </row>
    <row r="367" spans="1:22" x14ac:dyDescent="0.2">
      <c r="A367" t="s">
        <v>379</v>
      </c>
      <c r="B367" s="3">
        <v>45323</v>
      </c>
      <c r="C367" s="3">
        <v>45324</v>
      </c>
      <c r="D367">
        <f ca="1">IF(ISBLANK(Table14[[#This Row],[Discharge Date]]),TODAY()-Table14[[#This Row],[Admission Date]], Table14[[#This Row],[Discharge Date]]-Table14[[#This Row],[Admission Date]])</f>
        <v>1</v>
      </c>
      <c r="E367" s="6" t="str">
        <f>IF(Table14[[#This Row],[Discharge Date]]="","Still Admitted","Patient Discharged")</f>
        <v>Patient Discharged</v>
      </c>
      <c r="F367" s="6" t="str">
        <f>IF(WEEKDAY(Table14[[#This Row],[Admission Date]],2)&gt;5,"Weekend","Weekday")</f>
        <v>Weekday</v>
      </c>
      <c r="G367" t="s">
        <v>528</v>
      </c>
      <c r="H367">
        <v>92</v>
      </c>
      <c r="I367" t="str" cm="1">
        <f t="array" ref="I367">_xlfn.IFS(Table14[[#This Row],[Age]]&lt;18,"Children",Table14[[#This Row],[Age]]&lt;50,"Adult",Table14[[#This Row],[Age]]&gt;=50,"Elderly")</f>
        <v>Elderly</v>
      </c>
      <c r="J367" t="s">
        <v>547</v>
      </c>
      <c r="K367" s="7">
        <v>364550</v>
      </c>
      <c r="L367" s="2" t="str" cm="1">
        <f t="array" ref="L367">_xlfn.IFS(Table14[[#This Row],[Treatment Cost]]&lt;50000,"Low Billing",Table14[[#This Row],[Treatment Cost]]&lt;200000,"Moderate Billing",Table14[[#This Row],[Treatment Cost]]&gt;=200000,"High Billing")</f>
        <v>High Billing</v>
      </c>
      <c r="M367" t="s">
        <v>6</v>
      </c>
      <c r="N367" t="str">
        <f>IF(AND(Table14[[#This Row],[Outcome]]="Follow-up",Table14[[#This Row],[Admission Status]]="Patient Discharged"),"High Risk Patient","Low Risk Patient")</f>
        <v>Low Risk Patient</v>
      </c>
      <c r="O367" t="str">
        <f>IFERROR(VLOOKUP(Table14[[#This Row],[Department]],Doctor_Info!A:D,2,FALSE), "")</f>
        <v>Dr. Kofi</v>
      </c>
      <c r="P367" t="str">
        <f>IF(COUNTIF(A:A,Table14[[#This Row],[Patient ID]]&gt;1),"Returning Patient","New Patient")</f>
        <v>New Patient</v>
      </c>
      <c r="Q367" t="str">
        <f>_xlfn.XLOOKUP(Table14[[#This Row],[Department]], Doctor_Info!A:A, Doctor_Info!C:C, "")&amp;""</f>
        <v>102</v>
      </c>
      <c r="R367" t="str">
        <f>TEXT(Table14[[#This Row],[Admission Date]],"ddd")</f>
        <v>Thu</v>
      </c>
      <c r="S367" t="str">
        <f>TEXT(Table14[[#This Row],[Admission Date]],"mmm")</f>
        <v>Feb</v>
      </c>
      <c r="T367" t="str">
        <f>TEXT(Table14[[#This Row],[Admission Date]],"yyyy")</f>
        <v>2024</v>
      </c>
      <c r="U367" t="str">
        <f>TEXT(Table14[[#This Row],[Admission Date]],"mmm-yyyy")</f>
        <v>Feb-2024</v>
      </c>
      <c r="V367">
        <f t="shared" ca="1" si="5"/>
        <v>8</v>
      </c>
    </row>
    <row r="368" spans="1:22" x14ac:dyDescent="0.2">
      <c r="A368" t="s">
        <v>380</v>
      </c>
      <c r="B368" s="3">
        <v>45325</v>
      </c>
      <c r="C368" s="3">
        <v>45337</v>
      </c>
      <c r="D368">
        <f ca="1">IF(ISBLANK(Table14[[#This Row],[Discharge Date]]),TODAY()-Table14[[#This Row],[Admission Date]], Table14[[#This Row],[Discharge Date]]-Table14[[#This Row],[Admission Date]])</f>
        <v>12</v>
      </c>
      <c r="E368" s="6" t="str">
        <f>IF(Table14[[#This Row],[Discharge Date]]="","Still Admitted","Patient Discharged")</f>
        <v>Patient Discharged</v>
      </c>
      <c r="F368" s="6" t="str">
        <f>IF(WEEKDAY(Table14[[#This Row],[Admission Date]],2)&gt;5,"Weekend","Weekday")</f>
        <v>Weekend</v>
      </c>
      <c r="G368" t="s">
        <v>12</v>
      </c>
      <c r="H368">
        <v>94</v>
      </c>
      <c r="I368" t="str" cm="1">
        <f t="array" ref="I368">_xlfn.IFS(Table14[[#This Row],[Age]]&lt;18,"Children",Table14[[#This Row],[Age]]&lt;50,"Adult",Table14[[#This Row],[Age]]&gt;=50,"Elderly")</f>
        <v>Elderly</v>
      </c>
      <c r="J368" t="s">
        <v>546</v>
      </c>
      <c r="K368" s="7">
        <v>365520</v>
      </c>
      <c r="L368" s="2" t="str" cm="1">
        <f t="array" ref="L368">_xlfn.IFS(Table14[[#This Row],[Treatment Cost]]&lt;50000,"Low Billing",Table14[[#This Row],[Treatment Cost]]&lt;200000,"Moderate Billing",Table14[[#This Row],[Treatment Cost]]&gt;=200000,"High Billing")</f>
        <v>High Billing</v>
      </c>
      <c r="M368" t="s">
        <v>8</v>
      </c>
      <c r="N368" t="str">
        <f>IF(AND(Table14[[#This Row],[Outcome]]="Follow-up",Table14[[#This Row],[Admission Status]]="Patient Discharged"),"High Risk Patient","Low Risk Patient")</f>
        <v>High Risk Patient</v>
      </c>
      <c r="O368" t="str">
        <f>IFERROR(VLOOKUP(Table14[[#This Row],[Department]],Doctor_Info!A:D,2,FALSE), "")</f>
        <v>Dr. Temi</v>
      </c>
      <c r="P368" t="str">
        <f>IF(COUNTIF(A:A,Table14[[#This Row],[Patient ID]]&gt;1),"Returning Patient","New Patient")</f>
        <v>New Patient</v>
      </c>
      <c r="Q368" t="str">
        <f>_xlfn.XLOOKUP(Table14[[#This Row],[Department]], Doctor_Info!A:A, Doctor_Info!C:C, "")&amp;""</f>
        <v>502</v>
      </c>
      <c r="R368" t="str">
        <f>TEXT(Table14[[#This Row],[Admission Date]],"ddd")</f>
        <v>Sat</v>
      </c>
      <c r="S368" t="str">
        <f>TEXT(Table14[[#This Row],[Admission Date]],"mmm")</f>
        <v>Feb</v>
      </c>
      <c r="T368" t="str">
        <f>TEXT(Table14[[#This Row],[Admission Date]],"yyyy")</f>
        <v>2024</v>
      </c>
      <c r="U368" t="str">
        <f>TEXT(Table14[[#This Row],[Admission Date]],"mmm-yyyy")</f>
        <v>Feb-2024</v>
      </c>
      <c r="V368">
        <f t="shared" ca="1" si="5"/>
        <v>8</v>
      </c>
    </row>
    <row r="369" spans="1:22" x14ac:dyDescent="0.2">
      <c r="A369" t="s">
        <v>381</v>
      </c>
      <c r="B369" s="3">
        <v>45327</v>
      </c>
      <c r="C369" s="3">
        <v>45328</v>
      </c>
      <c r="D369">
        <f ca="1">IF(ISBLANK(Table14[[#This Row],[Discharge Date]]),TODAY()-Table14[[#This Row],[Admission Date]], Table14[[#This Row],[Discharge Date]]-Table14[[#This Row],[Admission Date]])</f>
        <v>1</v>
      </c>
      <c r="E369" s="6" t="str">
        <f>IF(Table14[[#This Row],[Discharge Date]]="","Still Admitted","Patient Discharged")</f>
        <v>Patient Discharged</v>
      </c>
      <c r="F369" s="6" t="str">
        <f>IF(WEEKDAY(Table14[[#This Row],[Admission Date]],2)&gt;5,"Weekend","Weekday")</f>
        <v>Weekday</v>
      </c>
      <c r="G369" t="s">
        <v>528</v>
      </c>
      <c r="H369">
        <v>96</v>
      </c>
      <c r="I369" t="str" cm="1">
        <f t="array" ref="I369">_xlfn.IFS(Table14[[#This Row],[Age]]&lt;18,"Children",Table14[[#This Row],[Age]]&lt;50,"Adult",Table14[[#This Row],[Age]]&gt;=50,"Elderly")</f>
        <v>Elderly</v>
      </c>
      <c r="J369" t="s">
        <v>547</v>
      </c>
      <c r="K369" s="7">
        <v>366490</v>
      </c>
      <c r="L369" s="2" t="str" cm="1">
        <f t="array" ref="L369">_xlfn.IFS(Table14[[#This Row],[Treatment Cost]]&lt;50000,"Low Billing",Table14[[#This Row],[Treatment Cost]]&lt;200000,"Moderate Billing",Table14[[#This Row],[Treatment Cost]]&gt;=200000,"High Billing")</f>
        <v>High Billing</v>
      </c>
      <c r="M369" t="s">
        <v>6</v>
      </c>
      <c r="N369" t="str">
        <f>IF(AND(Table14[[#This Row],[Outcome]]="Follow-up",Table14[[#This Row],[Admission Status]]="Patient Discharged"),"High Risk Patient","Low Risk Patient")</f>
        <v>Low Risk Patient</v>
      </c>
      <c r="O369" t="str">
        <f>IFERROR(VLOOKUP(Table14[[#This Row],[Department]],Doctor_Info!A:D,2,FALSE), "")</f>
        <v>Dr. Kofi</v>
      </c>
      <c r="P369" t="str">
        <f>IF(COUNTIF(A:A,Table14[[#This Row],[Patient ID]]&gt;1),"Returning Patient","New Patient")</f>
        <v>New Patient</v>
      </c>
      <c r="Q369" t="str">
        <f>_xlfn.XLOOKUP(Table14[[#This Row],[Department]], Doctor_Info!A:A, Doctor_Info!C:C, "")&amp;""</f>
        <v>102</v>
      </c>
      <c r="R369" t="str">
        <f>TEXT(Table14[[#This Row],[Admission Date]],"ddd")</f>
        <v>Mon</v>
      </c>
      <c r="S369" t="str">
        <f>TEXT(Table14[[#This Row],[Admission Date]],"mmm")</f>
        <v>Feb</v>
      </c>
      <c r="T369" t="str">
        <f>TEXT(Table14[[#This Row],[Admission Date]],"yyyy")</f>
        <v>2024</v>
      </c>
      <c r="U369" t="str">
        <f>TEXT(Table14[[#This Row],[Admission Date]],"mmm-yyyy")</f>
        <v>Feb-2024</v>
      </c>
      <c r="V369">
        <f t="shared" ca="1" si="5"/>
        <v>8</v>
      </c>
    </row>
    <row r="370" spans="1:22" x14ac:dyDescent="0.2">
      <c r="A370" t="s">
        <v>382</v>
      </c>
      <c r="B370" s="3">
        <v>45332</v>
      </c>
      <c r="D370">
        <f ca="1">IF(ISBLANK(Table14[[#This Row],[Discharge Date]]),TODAY()-Table14[[#This Row],[Admission Date]], Table14[[#This Row],[Discharge Date]]-Table14[[#This Row],[Admission Date]])</f>
        <v>806</v>
      </c>
      <c r="E370" s="6" t="str">
        <f>IF(Table14[[#This Row],[Discharge Date]]="","Still Admitted","Patient Discharged")</f>
        <v>Still Admitted</v>
      </c>
      <c r="F370" s="6" t="str">
        <f>IF(WEEKDAY(Table14[[#This Row],[Admission Date]],2)&gt;5,"Weekend","Weekday")</f>
        <v>Weekend</v>
      </c>
      <c r="G370" t="s">
        <v>10</v>
      </c>
      <c r="H370">
        <v>98</v>
      </c>
      <c r="I370" t="str" cm="1">
        <f t="array" ref="I370">_xlfn.IFS(Table14[[#This Row],[Age]]&lt;18,"Children",Table14[[#This Row],[Age]]&lt;50,"Adult",Table14[[#This Row],[Age]]&gt;=50,"Elderly")</f>
        <v>Elderly</v>
      </c>
      <c r="J370" t="s">
        <v>547</v>
      </c>
      <c r="K370" s="7">
        <v>367460</v>
      </c>
      <c r="L370" s="2" t="str" cm="1">
        <f t="array" ref="L370">_xlfn.IFS(Table14[[#This Row],[Treatment Cost]]&lt;50000,"Low Billing",Table14[[#This Row],[Treatment Cost]]&lt;200000,"Moderate Billing",Table14[[#This Row],[Treatment Cost]]&gt;=200000,"High Billing")</f>
        <v>High Billing</v>
      </c>
      <c r="M370" t="s">
        <v>403</v>
      </c>
      <c r="N370" t="str">
        <f>IF(AND(Table14[[#This Row],[Outcome]]="Follow-up",Table14[[#This Row],[Admission Status]]="Patient Discharged"),"High Risk Patient","Low Risk Patient")</f>
        <v>Low Risk Patient</v>
      </c>
      <c r="O370" t="str">
        <f>IFERROR(VLOOKUP(Table14[[#This Row],[Department]],Doctor_Info!A:D,2,FALSE), "")</f>
        <v>Dr. George</v>
      </c>
      <c r="P370" t="str">
        <f>IF(COUNTIF(A:A,Table14[[#This Row],[Patient ID]]&gt;1),"Returning Patient","New Patient")</f>
        <v>New Patient</v>
      </c>
      <c r="Q370" t="str">
        <f>_xlfn.XLOOKUP(Table14[[#This Row],[Department]], Doctor_Info!A:A, Doctor_Info!C:C, "")&amp;""</f>
        <v>405</v>
      </c>
      <c r="R370" t="str">
        <f>TEXT(Table14[[#This Row],[Admission Date]],"ddd")</f>
        <v>Sat</v>
      </c>
      <c r="S370" t="str">
        <f>TEXT(Table14[[#This Row],[Admission Date]],"mmm")</f>
        <v>Feb</v>
      </c>
      <c r="T370" t="str">
        <f>TEXT(Table14[[#This Row],[Admission Date]],"yyyy")</f>
        <v>2024</v>
      </c>
      <c r="U370" t="str">
        <f>TEXT(Table14[[#This Row],[Admission Date]],"mmm-yyyy")</f>
        <v>Feb-2024</v>
      </c>
      <c r="V370">
        <f t="shared" ca="1" si="5"/>
        <v>8</v>
      </c>
    </row>
    <row r="371" spans="1:22" x14ac:dyDescent="0.2">
      <c r="A371" t="s">
        <v>383</v>
      </c>
      <c r="B371" s="3">
        <v>45319</v>
      </c>
      <c r="C371" s="3">
        <v>45327</v>
      </c>
      <c r="D371">
        <f ca="1">IF(ISBLANK(Table14[[#This Row],[Discharge Date]]),TODAY()-Table14[[#This Row],[Admission Date]], Table14[[#This Row],[Discharge Date]]-Table14[[#This Row],[Admission Date]])</f>
        <v>8</v>
      </c>
      <c r="E371" s="6" t="str">
        <f>IF(Table14[[#This Row],[Discharge Date]]="","Still Admitted","Patient Discharged")</f>
        <v>Patient Discharged</v>
      </c>
      <c r="F371" s="6" t="str">
        <f>IF(WEEKDAY(Table14[[#This Row],[Admission Date]],2)&gt;5,"Weekend","Weekday")</f>
        <v>Weekend</v>
      </c>
      <c r="G371" t="s">
        <v>7</v>
      </c>
      <c r="H371">
        <v>100</v>
      </c>
      <c r="I371" t="str" cm="1">
        <f t="array" ref="I371">_xlfn.IFS(Table14[[#This Row],[Age]]&lt;18,"Children",Table14[[#This Row],[Age]]&lt;50,"Adult",Table14[[#This Row],[Age]]&gt;=50,"Elderly")</f>
        <v>Elderly</v>
      </c>
      <c r="J371" t="s">
        <v>546</v>
      </c>
      <c r="K371" s="7">
        <v>368430</v>
      </c>
      <c r="L371" s="2" t="str" cm="1">
        <f t="array" ref="L371">_xlfn.IFS(Table14[[#This Row],[Treatment Cost]]&lt;50000,"Low Billing",Table14[[#This Row],[Treatment Cost]]&lt;200000,"Moderate Billing",Table14[[#This Row],[Treatment Cost]]&gt;=200000,"High Billing")</f>
        <v>High Billing</v>
      </c>
      <c r="M371" t="s">
        <v>8</v>
      </c>
      <c r="N371" t="str">
        <f>IF(AND(Table14[[#This Row],[Outcome]]="Follow-up",Table14[[#This Row],[Admission Status]]="Patient Discharged"),"High Risk Patient","Low Risk Patient")</f>
        <v>High Risk Patient</v>
      </c>
      <c r="O371" t="str">
        <f>IFERROR(VLOOKUP(Table14[[#This Row],[Department]],Doctor_Info!A:D,2,FALSE), "")</f>
        <v>Dr. Ada</v>
      </c>
      <c r="P371" t="str">
        <f>IF(COUNTIF(A:A,Table14[[#This Row],[Patient ID]]&gt;1),"Returning Patient","New Patient")</f>
        <v>New Patient</v>
      </c>
      <c r="Q371" t="str">
        <f>_xlfn.XLOOKUP(Table14[[#This Row],[Department]], Doctor_Info!A:A, Doctor_Info!C:C, "")&amp;""</f>
        <v>301</v>
      </c>
      <c r="R371" t="str">
        <f>TEXT(Table14[[#This Row],[Admission Date]],"ddd")</f>
        <v>Sun</v>
      </c>
      <c r="S371" t="str">
        <f>TEXT(Table14[[#This Row],[Admission Date]],"mmm")</f>
        <v>Jan</v>
      </c>
      <c r="T371" t="str">
        <f>TEXT(Table14[[#This Row],[Admission Date]],"yyyy")</f>
        <v>2024</v>
      </c>
      <c r="U371" t="str">
        <f>TEXT(Table14[[#This Row],[Admission Date]],"mmm-yyyy")</f>
        <v>Jan-2024</v>
      </c>
      <c r="V371">
        <f t="shared" ca="1" si="5"/>
        <v>8</v>
      </c>
    </row>
    <row r="372" spans="1:22" x14ac:dyDescent="0.2">
      <c r="A372" t="s">
        <v>384</v>
      </c>
      <c r="B372" s="3">
        <v>45323</v>
      </c>
      <c r="C372" s="3">
        <v>45324</v>
      </c>
      <c r="D372">
        <f ca="1">IF(ISBLANK(Table14[[#This Row],[Discharge Date]]),TODAY()-Table14[[#This Row],[Admission Date]], Table14[[#This Row],[Discharge Date]]-Table14[[#This Row],[Admission Date]])</f>
        <v>1</v>
      </c>
      <c r="E372" s="6" t="str">
        <f>IF(Table14[[#This Row],[Discharge Date]]="","Still Admitted","Patient Discharged")</f>
        <v>Patient Discharged</v>
      </c>
      <c r="F372" s="6" t="str">
        <f>IF(WEEKDAY(Table14[[#This Row],[Admission Date]],2)&gt;5,"Weekend","Weekday")</f>
        <v>Weekday</v>
      </c>
      <c r="G372" t="s">
        <v>528</v>
      </c>
      <c r="H372">
        <v>2</v>
      </c>
      <c r="I372" t="str" cm="1">
        <f t="array" ref="I372">_xlfn.IFS(Table14[[#This Row],[Age]]&lt;18,"Children",Table14[[#This Row],[Age]]&lt;50,"Adult",Table14[[#This Row],[Age]]&gt;=50,"Elderly")</f>
        <v>Children</v>
      </c>
      <c r="J372" t="s">
        <v>547</v>
      </c>
      <c r="K372" s="7">
        <v>369400</v>
      </c>
      <c r="L372" s="2" t="str" cm="1">
        <f t="array" ref="L372">_xlfn.IFS(Table14[[#This Row],[Treatment Cost]]&lt;50000,"Low Billing",Table14[[#This Row],[Treatment Cost]]&lt;200000,"Moderate Billing",Table14[[#This Row],[Treatment Cost]]&gt;=200000,"High Billing")</f>
        <v>High Billing</v>
      </c>
      <c r="M372" t="s">
        <v>6</v>
      </c>
      <c r="N372" t="str">
        <f>IF(AND(Table14[[#This Row],[Outcome]]="Follow-up",Table14[[#This Row],[Admission Status]]="Patient Discharged"),"High Risk Patient","Low Risk Patient")</f>
        <v>Low Risk Patient</v>
      </c>
      <c r="O372" t="str">
        <f>IFERROR(VLOOKUP(Table14[[#This Row],[Department]],Doctor_Info!A:D,2,FALSE), "")</f>
        <v>Dr. Kofi</v>
      </c>
      <c r="P372" t="str">
        <f>IF(COUNTIF(A:A,Table14[[#This Row],[Patient ID]]&gt;1),"Returning Patient","New Patient")</f>
        <v>New Patient</v>
      </c>
      <c r="Q372" t="str">
        <f>_xlfn.XLOOKUP(Table14[[#This Row],[Department]], Doctor_Info!A:A, Doctor_Info!C:C, "")&amp;""</f>
        <v>102</v>
      </c>
      <c r="R372" t="str">
        <f>TEXT(Table14[[#This Row],[Admission Date]],"ddd")</f>
        <v>Thu</v>
      </c>
      <c r="S372" t="str">
        <f>TEXT(Table14[[#This Row],[Admission Date]],"mmm")</f>
        <v>Feb</v>
      </c>
      <c r="T372" t="str">
        <f>TEXT(Table14[[#This Row],[Admission Date]],"yyyy")</f>
        <v>2024</v>
      </c>
      <c r="U372" t="str">
        <f>TEXT(Table14[[#This Row],[Admission Date]],"mmm-yyyy")</f>
        <v>Feb-2024</v>
      </c>
      <c r="V372">
        <f t="shared" ca="1" si="5"/>
        <v>8</v>
      </c>
    </row>
    <row r="373" spans="1:22" x14ac:dyDescent="0.2">
      <c r="A373" t="s">
        <v>385</v>
      </c>
      <c r="B373" s="3">
        <v>45325</v>
      </c>
      <c r="C373" s="3">
        <v>45337</v>
      </c>
      <c r="D373">
        <f ca="1">IF(ISBLANK(Table14[[#This Row],[Discharge Date]]),TODAY()-Table14[[#This Row],[Admission Date]], Table14[[#This Row],[Discharge Date]]-Table14[[#This Row],[Admission Date]])</f>
        <v>12</v>
      </c>
      <c r="E373" s="6" t="str">
        <f>IF(Table14[[#This Row],[Discharge Date]]="","Still Admitted","Patient Discharged")</f>
        <v>Patient Discharged</v>
      </c>
      <c r="F373" s="6" t="str">
        <f>IF(WEEKDAY(Table14[[#This Row],[Admission Date]],2)&gt;5,"Weekend","Weekday")</f>
        <v>Weekend</v>
      </c>
      <c r="G373" t="s">
        <v>12</v>
      </c>
      <c r="H373">
        <v>4</v>
      </c>
      <c r="I373" t="str" cm="1">
        <f t="array" ref="I373">_xlfn.IFS(Table14[[#This Row],[Age]]&lt;18,"Children",Table14[[#This Row],[Age]]&lt;50,"Adult",Table14[[#This Row],[Age]]&gt;=50,"Elderly")</f>
        <v>Children</v>
      </c>
      <c r="J373" t="s">
        <v>546</v>
      </c>
      <c r="K373" s="7">
        <v>370370</v>
      </c>
      <c r="L373" s="2" t="str" cm="1">
        <f t="array" ref="L373">_xlfn.IFS(Table14[[#This Row],[Treatment Cost]]&lt;50000,"Low Billing",Table14[[#This Row],[Treatment Cost]]&lt;200000,"Moderate Billing",Table14[[#This Row],[Treatment Cost]]&gt;=200000,"High Billing")</f>
        <v>High Billing</v>
      </c>
      <c r="M373" t="s">
        <v>8</v>
      </c>
      <c r="N373" t="str">
        <f>IF(AND(Table14[[#This Row],[Outcome]]="Follow-up",Table14[[#This Row],[Admission Status]]="Patient Discharged"),"High Risk Patient","Low Risk Patient")</f>
        <v>High Risk Patient</v>
      </c>
      <c r="O373" t="str">
        <f>IFERROR(VLOOKUP(Table14[[#This Row],[Department]],Doctor_Info!A:D,2,FALSE), "")</f>
        <v>Dr. Temi</v>
      </c>
      <c r="P373" t="str">
        <f>IF(COUNTIF(A:A,Table14[[#This Row],[Patient ID]]&gt;1),"Returning Patient","New Patient")</f>
        <v>New Patient</v>
      </c>
      <c r="Q373" t="str">
        <f>_xlfn.XLOOKUP(Table14[[#This Row],[Department]], Doctor_Info!A:A, Doctor_Info!C:C, "")&amp;""</f>
        <v>502</v>
      </c>
      <c r="R373" t="str">
        <f>TEXT(Table14[[#This Row],[Admission Date]],"ddd")</f>
        <v>Sat</v>
      </c>
      <c r="S373" t="str">
        <f>TEXT(Table14[[#This Row],[Admission Date]],"mmm")</f>
        <v>Feb</v>
      </c>
      <c r="T373" t="str">
        <f>TEXT(Table14[[#This Row],[Admission Date]],"yyyy")</f>
        <v>2024</v>
      </c>
      <c r="U373" t="str">
        <f>TEXT(Table14[[#This Row],[Admission Date]],"mmm-yyyy")</f>
        <v>Feb-2024</v>
      </c>
      <c r="V373">
        <f t="shared" ca="1" si="5"/>
        <v>8</v>
      </c>
    </row>
    <row r="374" spans="1:22" x14ac:dyDescent="0.2">
      <c r="A374" t="s">
        <v>386</v>
      </c>
      <c r="B374" s="3">
        <v>45327</v>
      </c>
      <c r="C374" s="3">
        <v>45328</v>
      </c>
      <c r="D374">
        <f ca="1">IF(ISBLANK(Table14[[#This Row],[Discharge Date]]),TODAY()-Table14[[#This Row],[Admission Date]], Table14[[#This Row],[Discharge Date]]-Table14[[#This Row],[Admission Date]])</f>
        <v>1</v>
      </c>
      <c r="E374" s="6" t="str">
        <f>IF(Table14[[#This Row],[Discharge Date]]="","Still Admitted","Patient Discharged")</f>
        <v>Patient Discharged</v>
      </c>
      <c r="F374" s="6" t="str">
        <f>IF(WEEKDAY(Table14[[#This Row],[Admission Date]],2)&gt;5,"Weekend","Weekday")</f>
        <v>Weekday</v>
      </c>
      <c r="G374" t="s">
        <v>528</v>
      </c>
      <c r="H374">
        <v>6</v>
      </c>
      <c r="I374" t="str" cm="1">
        <f t="array" ref="I374">_xlfn.IFS(Table14[[#This Row],[Age]]&lt;18,"Children",Table14[[#This Row],[Age]]&lt;50,"Adult",Table14[[#This Row],[Age]]&gt;=50,"Elderly")</f>
        <v>Children</v>
      </c>
      <c r="J374" t="s">
        <v>547</v>
      </c>
      <c r="K374" s="7">
        <v>371340</v>
      </c>
      <c r="L374" s="2" t="str" cm="1">
        <f t="array" ref="L374">_xlfn.IFS(Table14[[#This Row],[Treatment Cost]]&lt;50000,"Low Billing",Table14[[#This Row],[Treatment Cost]]&lt;200000,"Moderate Billing",Table14[[#This Row],[Treatment Cost]]&gt;=200000,"High Billing")</f>
        <v>High Billing</v>
      </c>
      <c r="M374" t="s">
        <v>6</v>
      </c>
      <c r="N374" t="str">
        <f>IF(AND(Table14[[#This Row],[Outcome]]="Follow-up",Table14[[#This Row],[Admission Status]]="Patient Discharged"),"High Risk Patient","Low Risk Patient")</f>
        <v>Low Risk Patient</v>
      </c>
      <c r="O374" t="str">
        <f>IFERROR(VLOOKUP(Table14[[#This Row],[Department]],Doctor_Info!A:D,2,FALSE), "")</f>
        <v>Dr. Kofi</v>
      </c>
      <c r="P374" t="str">
        <f>IF(COUNTIF(A:A,Table14[[#This Row],[Patient ID]]&gt;1),"Returning Patient","New Patient")</f>
        <v>New Patient</v>
      </c>
      <c r="Q374" t="str">
        <f>_xlfn.XLOOKUP(Table14[[#This Row],[Department]], Doctor_Info!A:A, Doctor_Info!C:C, "")&amp;""</f>
        <v>102</v>
      </c>
      <c r="R374" t="str">
        <f>TEXT(Table14[[#This Row],[Admission Date]],"ddd")</f>
        <v>Mon</v>
      </c>
      <c r="S374" t="str">
        <f>TEXT(Table14[[#This Row],[Admission Date]],"mmm")</f>
        <v>Feb</v>
      </c>
      <c r="T374" t="str">
        <f>TEXT(Table14[[#This Row],[Admission Date]],"yyyy")</f>
        <v>2024</v>
      </c>
      <c r="U374" t="str">
        <f>TEXT(Table14[[#This Row],[Admission Date]],"mmm-yyyy")</f>
        <v>Feb-2024</v>
      </c>
      <c r="V374">
        <f t="shared" ca="1" si="5"/>
        <v>8</v>
      </c>
    </row>
    <row r="375" spans="1:22" x14ac:dyDescent="0.2">
      <c r="A375" t="s">
        <v>387</v>
      </c>
      <c r="B375" s="3">
        <v>45332</v>
      </c>
      <c r="D375">
        <f ca="1">IF(ISBLANK(Table14[[#This Row],[Discharge Date]]),TODAY()-Table14[[#This Row],[Admission Date]], Table14[[#This Row],[Discharge Date]]-Table14[[#This Row],[Admission Date]])</f>
        <v>806</v>
      </c>
      <c r="E375" s="6" t="str">
        <f>IF(Table14[[#This Row],[Discharge Date]]="","Still Admitted","Patient Discharged")</f>
        <v>Still Admitted</v>
      </c>
      <c r="F375" s="6" t="str">
        <f>IF(WEEKDAY(Table14[[#This Row],[Admission Date]],2)&gt;5,"Weekend","Weekday")</f>
        <v>Weekend</v>
      </c>
      <c r="G375" t="s">
        <v>10</v>
      </c>
      <c r="H375">
        <v>8</v>
      </c>
      <c r="I375" t="str" cm="1">
        <f t="array" ref="I375">_xlfn.IFS(Table14[[#This Row],[Age]]&lt;18,"Children",Table14[[#This Row],[Age]]&lt;50,"Adult",Table14[[#This Row],[Age]]&gt;=50,"Elderly")</f>
        <v>Children</v>
      </c>
      <c r="J375" t="s">
        <v>547</v>
      </c>
      <c r="K375" s="7">
        <v>372310</v>
      </c>
      <c r="L375" s="2" t="str" cm="1">
        <f t="array" ref="L375">_xlfn.IFS(Table14[[#This Row],[Treatment Cost]]&lt;50000,"Low Billing",Table14[[#This Row],[Treatment Cost]]&lt;200000,"Moderate Billing",Table14[[#This Row],[Treatment Cost]]&gt;=200000,"High Billing")</f>
        <v>High Billing</v>
      </c>
      <c r="M375" t="s">
        <v>403</v>
      </c>
      <c r="N375" t="str">
        <f>IF(AND(Table14[[#This Row],[Outcome]]="Follow-up",Table14[[#This Row],[Admission Status]]="Patient Discharged"),"High Risk Patient","Low Risk Patient")</f>
        <v>Low Risk Patient</v>
      </c>
      <c r="O375" t="str">
        <f>IFERROR(VLOOKUP(Table14[[#This Row],[Department]],Doctor_Info!A:D,2,FALSE), "")</f>
        <v>Dr. George</v>
      </c>
      <c r="P375" t="str">
        <f>IF(COUNTIF(A:A,Table14[[#This Row],[Patient ID]]&gt;1),"Returning Patient","New Patient")</f>
        <v>New Patient</v>
      </c>
      <c r="Q375" t="str">
        <f>_xlfn.XLOOKUP(Table14[[#This Row],[Department]], Doctor_Info!A:A, Doctor_Info!C:C, "")&amp;""</f>
        <v>405</v>
      </c>
      <c r="R375" t="str">
        <f>TEXT(Table14[[#This Row],[Admission Date]],"ddd")</f>
        <v>Sat</v>
      </c>
      <c r="S375" t="str">
        <f>TEXT(Table14[[#This Row],[Admission Date]],"mmm")</f>
        <v>Feb</v>
      </c>
      <c r="T375" t="str">
        <f>TEXT(Table14[[#This Row],[Admission Date]],"yyyy")</f>
        <v>2024</v>
      </c>
      <c r="U375" t="str">
        <f>TEXT(Table14[[#This Row],[Admission Date]],"mmm-yyyy")</f>
        <v>Feb-2024</v>
      </c>
      <c r="V375">
        <f t="shared" ca="1" si="5"/>
        <v>8</v>
      </c>
    </row>
    <row r="376" spans="1:22" x14ac:dyDescent="0.2">
      <c r="A376" t="s">
        <v>388</v>
      </c>
      <c r="B376" s="3">
        <v>45319</v>
      </c>
      <c r="C376" s="3">
        <v>45327</v>
      </c>
      <c r="D376">
        <f ca="1">IF(ISBLANK(Table14[[#This Row],[Discharge Date]]),TODAY()-Table14[[#This Row],[Admission Date]], Table14[[#This Row],[Discharge Date]]-Table14[[#This Row],[Admission Date]])</f>
        <v>8</v>
      </c>
      <c r="E376" s="6" t="str">
        <f>IF(Table14[[#This Row],[Discharge Date]]="","Still Admitted","Patient Discharged")</f>
        <v>Patient Discharged</v>
      </c>
      <c r="F376" s="6" t="str">
        <f>IF(WEEKDAY(Table14[[#This Row],[Admission Date]],2)&gt;5,"Weekend","Weekday")</f>
        <v>Weekend</v>
      </c>
      <c r="G376" t="s">
        <v>7</v>
      </c>
      <c r="H376">
        <v>10</v>
      </c>
      <c r="I376" t="str" cm="1">
        <f t="array" ref="I376">_xlfn.IFS(Table14[[#This Row],[Age]]&lt;18,"Children",Table14[[#This Row],[Age]]&lt;50,"Adult",Table14[[#This Row],[Age]]&gt;=50,"Elderly")</f>
        <v>Children</v>
      </c>
      <c r="J376" t="s">
        <v>546</v>
      </c>
      <c r="K376" s="7">
        <v>373280</v>
      </c>
      <c r="L376" s="2" t="str" cm="1">
        <f t="array" ref="L376">_xlfn.IFS(Table14[[#This Row],[Treatment Cost]]&lt;50000,"Low Billing",Table14[[#This Row],[Treatment Cost]]&lt;200000,"Moderate Billing",Table14[[#This Row],[Treatment Cost]]&gt;=200000,"High Billing")</f>
        <v>High Billing</v>
      </c>
      <c r="M376" t="s">
        <v>8</v>
      </c>
      <c r="N376" t="str">
        <f>IF(AND(Table14[[#This Row],[Outcome]]="Follow-up",Table14[[#This Row],[Admission Status]]="Patient Discharged"),"High Risk Patient","Low Risk Patient")</f>
        <v>High Risk Patient</v>
      </c>
      <c r="O376" t="str">
        <f>IFERROR(VLOOKUP(Table14[[#This Row],[Department]],Doctor_Info!A:D,2,FALSE), "")</f>
        <v>Dr. Ada</v>
      </c>
      <c r="P376" t="str">
        <f>IF(COUNTIF(A:A,Table14[[#This Row],[Patient ID]]&gt;1),"Returning Patient","New Patient")</f>
        <v>New Patient</v>
      </c>
      <c r="Q376" t="str">
        <f>_xlfn.XLOOKUP(Table14[[#This Row],[Department]], Doctor_Info!A:A, Doctor_Info!C:C, "")&amp;""</f>
        <v>301</v>
      </c>
      <c r="R376" t="str">
        <f>TEXT(Table14[[#This Row],[Admission Date]],"ddd")</f>
        <v>Sun</v>
      </c>
      <c r="S376" t="str">
        <f>TEXT(Table14[[#This Row],[Admission Date]],"mmm")</f>
        <v>Jan</v>
      </c>
      <c r="T376" t="str">
        <f>TEXT(Table14[[#This Row],[Admission Date]],"yyyy")</f>
        <v>2024</v>
      </c>
      <c r="U376" t="str">
        <f>TEXT(Table14[[#This Row],[Admission Date]],"mmm-yyyy")</f>
        <v>Jan-2024</v>
      </c>
      <c r="V376">
        <f t="shared" ca="1" si="5"/>
        <v>8</v>
      </c>
    </row>
    <row r="377" spans="1:22" x14ac:dyDescent="0.2">
      <c r="A377" t="s">
        <v>389</v>
      </c>
      <c r="B377" s="3">
        <v>45323</v>
      </c>
      <c r="C377" s="3">
        <v>45324</v>
      </c>
      <c r="D377">
        <f ca="1">IF(ISBLANK(Table14[[#This Row],[Discharge Date]]),TODAY()-Table14[[#This Row],[Admission Date]], Table14[[#This Row],[Discharge Date]]-Table14[[#This Row],[Admission Date]])</f>
        <v>1</v>
      </c>
      <c r="E377" s="6" t="str">
        <f>IF(Table14[[#This Row],[Discharge Date]]="","Still Admitted","Patient Discharged")</f>
        <v>Patient Discharged</v>
      </c>
      <c r="F377" s="6" t="str">
        <f>IF(WEEKDAY(Table14[[#This Row],[Admission Date]],2)&gt;5,"Weekend","Weekday")</f>
        <v>Weekday</v>
      </c>
      <c r="G377" t="s">
        <v>528</v>
      </c>
      <c r="H377">
        <v>12</v>
      </c>
      <c r="I377" t="str" cm="1">
        <f t="array" ref="I377">_xlfn.IFS(Table14[[#This Row],[Age]]&lt;18,"Children",Table14[[#This Row],[Age]]&lt;50,"Adult",Table14[[#This Row],[Age]]&gt;=50,"Elderly")</f>
        <v>Children</v>
      </c>
      <c r="J377" t="s">
        <v>547</v>
      </c>
      <c r="K377" s="7">
        <v>374250</v>
      </c>
      <c r="L377" s="2" t="str" cm="1">
        <f t="array" ref="L377">_xlfn.IFS(Table14[[#This Row],[Treatment Cost]]&lt;50000,"Low Billing",Table14[[#This Row],[Treatment Cost]]&lt;200000,"Moderate Billing",Table14[[#This Row],[Treatment Cost]]&gt;=200000,"High Billing")</f>
        <v>High Billing</v>
      </c>
      <c r="M377" t="s">
        <v>6</v>
      </c>
      <c r="N377" t="str">
        <f>IF(AND(Table14[[#This Row],[Outcome]]="Follow-up",Table14[[#This Row],[Admission Status]]="Patient Discharged"),"High Risk Patient","Low Risk Patient")</f>
        <v>Low Risk Patient</v>
      </c>
      <c r="O377" t="str">
        <f>IFERROR(VLOOKUP(Table14[[#This Row],[Department]],Doctor_Info!A:D,2,FALSE), "")</f>
        <v>Dr. Kofi</v>
      </c>
      <c r="P377" t="str">
        <f>IF(COUNTIF(A:A,Table14[[#This Row],[Patient ID]]&gt;1),"Returning Patient","New Patient")</f>
        <v>New Patient</v>
      </c>
      <c r="Q377" t="str">
        <f>_xlfn.XLOOKUP(Table14[[#This Row],[Department]], Doctor_Info!A:A, Doctor_Info!C:C, "")&amp;""</f>
        <v>102</v>
      </c>
      <c r="R377" t="str">
        <f>TEXT(Table14[[#This Row],[Admission Date]],"ddd")</f>
        <v>Thu</v>
      </c>
      <c r="S377" t="str">
        <f>TEXT(Table14[[#This Row],[Admission Date]],"mmm")</f>
        <v>Feb</v>
      </c>
      <c r="T377" t="str">
        <f>TEXT(Table14[[#This Row],[Admission Date]],"yyyy")</f>
        <v>2024</v>
      </c>
      <c r="U377" t="str">
        <f>TEXT(Table14[[#This Row],[Admission Date]],"mmm-yyyy")</f>
        <v>Feb-2024</v>
      </c>
      <c r="V377">
        <f t="shared" ca="1" si="5"/>
        <v>8</v>
      </c>
    </row>
    <row r="378" spans="1:22" x14ac:dyDescent="0.2">
      <c r="A378" t="s">
        <v>390</v>
      </c>
      <c r="B378" s="3">
        <v>45325</v>
      </c>
      <c r="C378" s="3">
        <v>45337</v>
      </c>
      <c r="D378">
        <f ca="1">IF(ISBLANK(Table14[[#This Row],[Discharge Date]]),TODAY()-Table14[[#This Row],[Admission Date]], Table14[[#This Row],[Discharge Date]]-Table14[[#This Row],[Admission Date]])</f>
        <v>12</v>
      </c>
      <c r="E378" s="6" t="str">
        <f>IF(Table14[[#This Row],[Discharge Date]]="","Still Admitted","Patient Discharged")</f>
        <v>Patient Discharged</v>
      </c>
      <c r="F378" s="6" t="str">
        <f>IF(WEEKDAY(Table14[[#This Row],[Admission Date]],2)&gt;5,"Weekend","Weekday")</f>
        <v>Weekend</v>
      </c>
      <c r="G378" t="s">
        <v>12</v>
      </c>
      <c r="H378">
        <v>14</v>
      </c>
      <c r="I378" t="str" cm="1">
        <f t="array" ref="I378">_xlfn.IFS(Table14[[#This Row],[Age]]&lt;18,"Children",Table14[[#This Row],[Age]]&lt;50,"Adult",Table14[[#This Row],[Age]]&gt;=50,"Elderly")</f>
        <v>Children</v>
      </c>
      <c r="J378" t="s">
        <v>546</v>
      </c>
      <c r="K378" s="7">
        <v>375220</v>
      </c>
      <c r="L378" s="2" t="str" cm="1">
        <f t="array" ref="L378">_xlfn.IFS(Table14[[#This Row],[Treatment Cost]]&lt;50000,"Low Billing",Table14[[#This Row],[Treatment Cost]]&lt;200000,"Moderate Billing",Table14[[#This Row],[Treatment Cost]]&gt;=200000,"High Billing")</f>
        <v>High Billing</v>
      </c>
      <c r="M378" t="s">
        <v>8</v>
      </c>
      <c r="N378" t="str">
        <f>IF(AND(Table14[[#This Row],[Outcome]]="Follow-up",Table14[[#This Row],[Admission Status]]="Patient Discharged"),"High Risk Patient","Low Risk Patient")</f>
        <v>High Risk Patient</v>
      </c>
      <c r="O378" t="str">
        <f>IFERROR(VLOOKUP(Table14[[#This Row],[Department]],Doctor_Info!A:D,2,FALSE), "")</f>
        <v>Dr. Temi</v>
      </c>
      <c r="P378" t="str">
        <f>IF(COUNTIF(A:A,Table14[[#This Row],[Patient ID]]&gt;1),"Returning Patient","New Patient")</f>
        <v>New Patient</v>
      </c>
      <c r="Q378" t="str">
        <f>_xlfn.XLOOKUP(Table14[[#This Row],[Department]], Doctor_Info!A:A, Doctor_Info!C:C, "")&amp;""</f>
        <v>502</v>
      </c>
      <c r="R378" t="str">
        <f>TEXT(Table14[[#This Row],[Admission Date]],"ddd")</f>
        <v>Sat</v>
      </c>
      <c r="S378" t="str">
        <f>TEXT(Table14[[#This Row],[Admission Date]],"mmm")</f>
        <v>Feb</v>
      </c>
      <c r="T378" t="str">
        <f>TEXT(Table14[[#This Row],[Admission Date]],"yyyy")</f>
        <v>2024</v>
      </c>
      <c r="U378" t="str">
        <f>TEXT(Table14[[#This Row],[Admission Date]],"mmm-yyyy")</f>
        <v>Feb-2024</v>
      </c>
      <c r="V378">
        <f t="shared" ca="1" si="5"/>
        <v>8</v>
      </c>
    </row>
    <row r="379" spans="1:22" x14ac:dyDescent="0.2">
      <c r="A379" t="s">
        <v>391</v>
      </c>
      <c r="B379" s="3">
        <v>45327</v>
      </c>
      <c r="C379" s="3">
        <v>45328</v>
      </c>
      <c r="D379">
        <f ca="1">IF(ISBLANK(Table14[[#This Row],[Discharge Date]]),TODAY()-Table14[[#This Row],[Admission Date]], Table14[[#This Row],[Discharge Date]]-Table14[[#This Row],[Admission Date]])</f>
        <v>1</v>
      </c>
      <c r="E379" s="6" t="str">
        <f>IF(Table14[[#This Row],[Discharge Date]]="","Still Admitted","Patient Discharged")</f>
        <v>Patient Discharged</v>
      </c>
      <c r="F379" s="6" t="str">
        <f>IF(WEEKDAY(Table14[[#This Row],[Admission Date]],2)&gt;5,"Weekend","Weekday")</f>
        <v>Weekday</v>
      </c>
      <c r="G379" t="s">
        <v>528</v>
      </c>
      <c r="H379">
        <v>16</v>
      </c>
      <c r="I379" t="str" cm="1">
        <f t="array" ref="I379">_xlfn.IFS(Table14[[#This Row],[Age]]&lt;18,"Children",Table14[[#This Row],[Age]]&lt;50,"Adult",Table14[[#This Row],[Age]]&gt;=50,"Elderly")</f>
        <v>Children</v>
      </c>
      <c r="J379" t="s">
        <v>547</v>
      </c>
      <c r="K379" s="7">
        <v>376190</v>
      </c>
      <c r="L379" s="2" t="str" cm="1">
        <f t="array" ref="L379">_xlfn.IFS(Table14[[#This Row],[Treatment Cost]]&lt;50000,"Low Billing",Table14[[#This Row],[Treatment Cost]]&lt;200000,"Moderate Billing",Table14[[#This Row],[Treatment Cost]]&gt;=200000,"High Billing")</f>
        <v>High Billing</v>
      </c>
      <c r="M379" t="s">
        <v>6</v>
      </c>
      <c r="N379" t="str">
        <f>IF(AND(Table14[[#This Row],[Outcome]]="Follow-up",Table14[[#This Row],[Admission Status]]="Patient Discharged"),"High Risk Patient","Low Risk Patient")</f>
        <v>Low Risk Patient</v>
      </c>
      <c r="O379" t="str">
        <f>IFERROR(VLOOKUP(Table14[[#This Row],[Department]],Doctor_Info!A:D,2,FALSE), "")</f>
        <v>Dr. Kofi</v>
      </c>
      <c r="P379" t="str">
        <f>IF(COUNTIF(A:A,Table14[[#This Row],[Patient ID]]&gt;1),"Returning Patient","New Patient")</f>
        <v>New Patient</v>
      </c>
      <c r="Q379" t="str">
        <f>_xlfn.XLOOKUP(Table14[[#This Row],[Department]], Doctor_Info!A:A, Doctor_Info!C:C, "")&amp;""</f>
        <v>102</v>
      </c>
      <c r="R379" t="str">
        <f>TEXT(Table14[[#This Row],[Admission Date]],"ddd")</f>
        <v>Mon</v>
      </c>
      <c r="S379" t="str">
        <f>TEXT(Table14[[#This Row],[Admission Date]],"mmm")</f>
        <v>Feb</v>
      </c>
      <c r="T379" t="str">
        <f>TEXT(Table14[[#This Row],[Admission Date]],"yyyy")</f>
        <v>2024</v>
      </c>
      <c r="U379" t="str">
        <f>TEXT(Table14[[#This Row],[Admission Date]],"mmm-yyyy")</f>
        <v>Feb-2024</v>
      </c>
      <c r="V379">
        <f t="shared" ca="1" si="5"/>
        <v>8</v>
      </c>
    </row>
    <row r="380" spans="1:22" x14ac:dyDescent="0.2">
      <c r="A380" t="s">
        <v>392</v>
      </c>
      <c r="B380" s="3">
        <v>45332</v>
      </c>
      <c r="D380">
        <f ca="1">IF(ISBLANK(Table14[[#This Row],[Discharge Date]]),TODAY()-Table14[[#This Row],[Admission Date]], Table14[[#This Row],[Discharge Date]]-Table14[[#This Row],[Admission Date]])</f>
        <v>806</v>
      </c>
      <c r="E380" s="6" t="str">
        <f>IF(Table14[[#This Row],[Discharge Date]]="","Still Admitted","Patient Discharged")</f>
        <v>Still Admitted</v>
      </c>
      <c r="F380" s="6" t="str">
        <f>IF(WEEKDAY(Table14[[#This Row],[Admission Date]],2)&gt;5,"Weekend","Weekday")</f>
        <v>Weekend</v>
      </c>
      <c r="G380" t="s">
        <v>10</v>
      </c>
      <c r="H380">
        <v>18</v>
      </c>
      <c r="I380" t="str" cm="1">
        <f t="array" ref="I380">_xlfn.IFS(Table14[[#This Row],[Age]]&lt;18,"Children",Table14[[#This Row],[Age]]&lt;50,"Adult",Table14[[#This Row],[Age]]&gt;=50,"Elderly")</f>
        <v>Adult</v>
      </c>
      <c r="J380" t="s">
        <v>547</v>
      </c>
      <c r="K380" s="7">
        <v>377160</v>
      </c>
      <c r="L380" s="2" t="str" cm="1">
        <f t="array" ref="L380">_xlfn.IFS(Table14[[#This Row],[Treatment Cost]]&lt;50000,"Low Billing",Table14[[#This Row],[Treatment Cost]]&lt;200000,"Moderate Billing",Table14[[#This Row],[Treatment Cost]]&gt;=200000,"High Billing")</f>
        <v>High Billing</v>
      </c>
      <c r="M380" t="s">
        <v>403</v>
      </c>
      <c r="N380" t="str">
        <f>IF(AND(Table14[[#This Row],[Outcome]]="Follow-up",Table14[[#This Row],[Admission Status]]="Patient Discharged"),"High Risk Patient","Low Risk Patient")</f>
        <v>Low Risk Patient</v>
      </c>
      <c r="O380" t="str">
        <f>IFERROR(VLOOKUP(Table14[[#This Row],[Department]],Doctor_Info!A:D,2,FALSE), "")</f>
        <v>Dr. George</v>
      </c>
      <c r="P380" t="str">
        <f>IF(COUNTIF(A:A,Table14[[#This Row],[Patient ID]]&gt;1),"Returning Patient","New Patient")</f>
        <v>New Patient</v>
      </c>
      <c r="Q380" t="str">
        <f>_xlfn.XLOOKUP(Table14[[#This Row],[Department]], Doctor_Info!A:A, Doctor_Info!C:C, "")&amp;""</f>
        <v>405</v>
      </c>
      <c r="R380" t="str">
        <f>TEXT(Table14[[#This Row],[Admission Date]],"ddd")</f>
        <v>Sat</v>
      </c>
      <c r="S380" t="str">
        <f>TEXT(Table14[[#This Row],[Admission Date]],"mmm")</f>
        <v>Feb</v>
      </c>
      <c r="T380" t="str">
        <f>TEXT(Table14[[#This Row],[Admission Date]],"yyyy")</f>
        <v>2024</v>
      </c>
      <c r="U380" t="str">
        <f>TEXT(Table14[[#This Row],[Admission Date]],"mmm-yyyy")</f>
        <v>Feb-2024</v>
      </c>
      <c r="V380">
        <f t="shared" ca="1" si="5"/>
        <v>8</v>
      </c>
    </row>
    <row r="381" spans="1:22" x14ac:dyDescent="0.2">
      <c r="A381" t="s">
        <v>393</v>
      </c>
      <c r="B381" s="3">
        <v>45319</v>
      </c>
      <c r="C381" s="3">
        <v>45327</v>
      </c>
      <c r="D381">
        <f ca="1">IF(ISBLANK(Table14[[#This Row],[Discharge Date]]),TODAY()-Table14[[#This Row],[Admission Date]], Table14[[#This Row],[Discharge Date]]-Table14[[#This Row],[Admission Date]])</f>
        <v>8</v>
      </c>
      <c r="E381" s="6" t="str">
        <f>IF(Table14[[#This Row],[Discharge Date]]="","Still Admitted","Patient Discharged")</f>
        <v>Patient Discharged</v>
      </c>
      <c r="F381" s="6" t="str">
        <f>IF(WEEKDAY(Table14[[#This Row],[Admission Date]],2)&gt;5,"Weekend","Weekday")</f>
        <v>Weekend</v>
      </c>
      <c r="G381" t="s">
        <v>7</v>
      </c>
      <c r="H381">
        <v>20</v>
      </c>
      <c r="I381" t="str" cm="1">
        <f t="array" ref="I381">_xlfn.IFS(Table14[[#This Row],[Age]]&lt;18,"Children",Table14[[#This Row],[Age]]&lt;50,"Adult",Table14[[#This Row],[Age]]&gt;=50,"Elderly")</f>
        <v>Adult</v>
      </c>
      <c r="J381" t="s">
        <v>546</v>
      </c>
      <c r="K381" s="7">
        <v>378130</v>
      </c>
      <c r="L381" s="2" t="str" cm="1">
        <f t="array" ref="L381">_xlfn.IFS(Table14[[#This Row],[Treatment Cost]]&lt;50000,"Low Billing",Table14[[#This Row],[Treatment Cost]]&lt;200000,"Moderate Billing",Table14[[#This Row],[Treatment Cost]]&gt;=200000,"High Billing")</f>
        <v>High Billing</v>
      </c>
      <c r="M381" t="s">
        <v>8</v>
      </c>
      <c r="N381" t="str">
        <f>IF(AND(Table14[[#This Row],[Outcome]]="Follow-up",Table14[[#This Row],[Admission Status]]="Patient Discharged"),"High Risk Patient","Low Risk Patient")</f>
        <v>High Risk Patient</v>
      </c>
      <c r="O381" t="str">
        <f>IFERROR(VLOOKUP(Table14[[#This Row],[Department]],Doctor_Info!A:D,2,FALSE), "")</f>
        <v>Dr. Ada</v>
      </c>
      <c r="P381" t="str">
        <f>IF(COUNTIF(A:A,Table14[[#This Row],[Patient ID]]&gt;1),"Returning Patient","New Patient")</f>
        <v>New Patient</v>
      </c>
      <c r="Q381" t="str">
        <f>_xlfn.XLOOKUP(Table14[[#This Row],[Department]], Doctor_Info!A:A, Doctor_Info!C:C, "")&amp;""</f>
        <v>301</v>
      </c>
      <c r="R381" t="str">
        <f>TEXT(Table14[[#This Row],[Admission Date]],"ddd")</f>
        <v>Sun</v>
      </c>
      <c r="S381" t="str">
        <f>TEXT(Table14[[#This Row],[Admission Date]],"mmm")</f>
        <v>Jan</v>
      </c>
      <c r="T381" t="str">
        <f>TEXT(Table14[[#This Row],[Admission Date]],"yyyy")</f>
        <v>2024</v>
      </c>
      <c r="U381" t="str">
        <f>TEXT(Table14[[#This Row],[Admission Date]],"mmm-yyyy")</f>
        <v>Jan-2024</v>
      </c>
      <c r="V381">
        <f t="shared" ca="1" si="5"/>
        <v>8</v>
      </c>
    </row>
    <row r="382" spans="1:22" x14ac:dyDescent="0.2">
      <c r="A382" t="s">
        <v>394</v>
      </c>
      <c r="B382" s="3">
        <v>45323</v>
      </c>
      <c r="C382" s="3">
        <v>45324</v>
      </c>
      <c r="D382">
        <f ca="1">IF(ISBLANK(Table14[[#This Row],[Discharge Date]]),TODAY()-Table14[[#This Row],[Admission Date]], Table14[[#This Row],[Discharge Date]]-Table14[[#This Row],[Admission Date]])</f>
        <v>1</v>
      </c>
      <c r="E382" s="6" t="str">
        <f>IF(Table14[[#This Row],[Discharge Date]]="","Still Admitted","Patient Discharged")</f>
        <v>Patient Discharged</v>
      </c>
      <c r="F382" s="6" t="str">
        <f>IF(WEEKDAY(Table14[[#This Row],[Admission Date]],2)&gt;5,"Weekend","Weekday")</f>
        <v>Weekday</v>
      </c>
      <c r="G382" t="s">
        <v>528</v>
      </c>
      <c r="H382">
        <v>22</v>
      </c>
      <c r="I382" t="str" cm="1">
        <f t="array" ref="I382">_xlfn.IFS(Table14[[#This Row],[Age]]&lt;18,"Children",Table14[[#This Row],[Age]]&lt;50,"Adult",Table14[[#This Row],[Age]]&gt;=50,"Elderly")</f>
        <v>Adult</v>
      </c>
      <c r="J382" t="s">
        <v>547</v>
      </c>
      <c r="K382" s="7">
        <v>379100</v>
      </c>
      <c r="L382" s="2" t="str" cm="1">
        <f t="array" ref="L382">_xlfn.IFS(Table14[[#This Row],[Treatment Cost]]&lt;50000,"Low Billing",Table14[[#This Row],[Treatment Cost]]&lt;200000,"Moderate Billing",Table14[[#This Row],[Treatment Cost]]&gt;=200000,"High Billing")</f>
        <v>High Billing</v>
      </c>
      <c r="M382" t="s">
        <v>6</v>
      </c>
      <c r="N382" t="str">
        <f>IF(AND(Table14[[#This Row],[Outcome]]="Follow-up",Table14[[#This Row],[Admission Status]]="Patient Discharged"),"High Risk Patient","Low Risk Patient")</f>
        <v>Low Risk Patient</v>
      </c>
      <c r="O382" t="str">
        <f>IFERROR(VLOOKUP(Table14[[#This Row],[Department]],Doctor_Info!A:D,2,FALSE), "")</f>
        <v>Dr. Kofi</v>
      </c>
      <c r="P382" t="str">
        <f>IF(COUNTIF(A:A,Table14[[#This Row],[Patient ID]]&gt;1),"Returning Patient","New Patient")</f>
        <v>New Patient</v>
      </c>
      <c r="Q382" t="str">
        <f>_xlfn.XLOOKUP(Table14[[#This Row],[Department]], Doctor_Info!A:A, Doctor_Info!C:C, "")&amp;""</f>
        <v>102</v>
      </c>
      <c r="R382" t="str">
        <f>TEXT(Table14[[#This Row],[Admission Date]],"ddd")</f>
        <v>Thu</v>
      </c>
      <c r="S382" t="str">
        <f>TEXT(Table14[[#This Row],[Admission Date]],"mmm")</f>
        <v>Feb</v>
      </c>
      <c r="T382" t="str">
        <f>TEXT(Table14[[#This Row],[Admission Date]],"yyyy")</f>
        <v>2024</v>
      </c>
      <c r="U382" t="str">
        <f>TEXT(Table14[[#This Row],[Admission Date]],"mmm-yyyy")</f>
        <v>Feb-2024</v>
      </c>
      <c r="V382">
        <f t="shared" ca="1" si="5"/>
        <v>8</v>
      </c>
    </row>
    <row r="383" spans="1:22" x14ac:dyDescent="0.2">
      <c r="A383" t="s">
        <v>395</v>
      </c>
      <c r="B383" s="3">
        <v>45325</v>
      </c>
      <c r="C383" s="3">
        <v>45337</v>
      </c>
      <c r="D383">
        <f ca="1">IF(ISBLANK(Table14[[#This Row],[Discharge Date]]),TODAY()-Table14[[#This Row],[Admission Date]], Table14[[#This Row],[Discharge Date]]-Table14[[#This Row],[Admission Date]])</f>
        <v>12</v>
      </c>
      <c r="E383" s="6" t="str">
        <f>IF(Table14[[#This Row],[Discharge Date]]="","Still Admitted","Patient Discharged")</f>
        <v>Patient Discharged</v>
      </c>
      <c r="F383" s="6" t="str">
        <f>IF(WEEKDAY(Table14[[#This Row],[Admission Date]],2)&gt;5,"Weekend","Weekday")</f>
        <v>Weekend</v>
      </c>
      <c r="G383" t="s">
        <v>12</v>
      </c>
      <c r="H383">
        <v>24</v>
      </c>
      <c r="I383" t="str" cm="1">
        <f t="array" ref="I383">_xlfn.IFS(Table14[[#This Row],[Age]]&lt;18,"Children",Table14[[#This Row],[Age]]&lt;50,"Adult",Table14[[#This Row],[Age]]&gt;=50,"Elderly")</f>
        <v>Adult</v>
      </c>
      <c r="J383" t="s">
        <v>546</v>
      </c>
      <c r="K383" s="7">
        <v>380070</v>
      </c>
      <c r="L383" s="2" t="str" cm="1">
        <f t="array" ref="L383">_xlfn.IFS(Table14[[#This Row],[Treatment Cost]]&lt;50000,"Low Billing",Table14[[#This Row],[Treatment Cost]]&lt;200000,"Moderate Billing",Table14[[#This Row],[Treatment Cost]]&gt;=200000,"High Billing")</f>
        <v>High Billing</v>
      </c>
      <c r="M383" t="s">
        <v>8</v>
      </c>
      <c r="N383" t="str">
        <f>IF(AND(Table14[[#This Row],[Outcome]]="Follow-up",Table14[[#This Row],[Admission Status]]="Patient Discharged"),"High Risk Patient","Low Risk Patient")</f>
        <v>High Risk Patient</v>
      </c>
      <c r="O383" t="str">
        <f>IFERROR(VLOOKUP(Table14[[#This Row],[Department]],Doctor_Info!A:D,2,FALSE), "")</f>
        <v>Dr. Temi</v>
      </c>
      <c r="P383" t="str">
        <f>IF(COUNTIF(A:A,Table14[[#This Row],[Patient ID]]&gt;1),"Returning Patient","New Patient")</f>
        <v>New Patient</v>
      </c>
      <c r="Q383" t="str">
        <f>_xlfn.XLOOKUP(Table14[[#This Row],[Department]], Doctor_Info!A:A, Doctor_Info!C:C, "")&amp;""</f>
        <v>502</v>
      </c>
      <c r="R383" t="str">
        <f>TEXT(Table14[[#This Row],[Admission Date]],"ddd")</f>
        <v>Sat</v>
      </c>
      <c r="S383" t="str">
        <f>TEXT(Table14[[#This Row],[Admission Date]],"mmm")</f>
        <v>Feb</v>
      </c>
      <c r="T383" t="str">
        <f>TEXT(Table14[[#This Row],[Admission Date]],"yyyy")</f>
        <v>2024</v>
      </c>
      <c r="U383" t="str">
        <f>TEXT(Table14[[#This Row],[Admission Date]],"mmm-yyyy")</f>
        <v>Feb-2024</v>
      </c>
      <c r="V383">
        <f t="shared" ca="1" si="5"/>
        <v>8</v>
      </c>
    </row>
    <row r="384" spans="1:22" x14ac:dyDescent="0.2">
      <c r="A384" t="s">
        <v>396</v>
      </c>
      <c r="B384" s="3">
        <v>45327</v>
      </c>
      <c r="C384" s="3">
        <v>45328</v>
      </c>
      <c r="D384">
        <f ca="1">IF(ISBLANK(Table14[[#This Row],[Discharge Date]]),TODAY()-Table14[[#This Row],[Admission Date]], Table14[[#This Row],[Discharge Date]]-Table14[[#This Row],[Admission Date]])</f>
        <v>1</v>
      </c>
      <c r="E384" s="6" t="str">
        <f>IF(Table14[[#This Row],[Discharge Date]]="","Still Admitted","Patient Discharged")</f>
        <v>Patient Discharged</v>
      </c>
      <c r="F384" s="6" t="str">
        <f>IF(WEEKDAY(Table14[[#This Row],[Admission Date]],2)&gt;5,"Weekend","Weekday")</f>
        <v>Weekday</v>
      </c>
      <c r="G384" t="s">
        <v>528</v>
      </c>
      <c r="H384">
        <v>26</v>
      </c>
      <c r="I384" t="str" cm="1">
        <f t="array" ref="I384">_xlfn.IFS(Table14[[#This Row],[Age]]&lt;18,"Children",Table14[[#This Row],[Age]]&lt;50,"Adult",Table14[[#This Row],[Age]]&gt;=50,"Elderly")</f>
        <v>Adult</v>
      </c>
      <c r="J384" t="s">
        <v>547</v>
      </c>
      <c r="K384" s="7">
        <v>381040</v>
      </c>
      <c r="L384" s="2" t="str" cm="1">
        <f t="array" ref="L384">_xlfn.IFS(Table14[[#This Row],[Treatment Cost]]&lt;50000,"Low Billing",Table14[[#This Row],[Treatment Cost]]&lt;200000,"Moderate Billing",Table14[[#This Row],[Treatment Cost]]&gt;=200000,"High Billing")</f>
        <v>High Billing</v>
      </c>
      <c r="M384" t="s">
        <v>6</v>
      </c>
      <c r="N384" t="str">
        <f>IF(AND(Table14[[#This Row],[Outcome]]="Follow-up",Table14[[#This Row],[Admission Status]]="Patient Discharged"),"High Risk Patient","Low Risk Patient")</f>
        <v>Low Risk Patient</v>
      </c>
      <c r="O384" t="str">
        <f>IFERROR(VLOOKUP(Table14[[#This Row],[Department]],Doctor_Info!A:D,2,FALSE), "")</f>
        <v>Dr. Kofi</v>
      </c>
      <c r="P384" t="str">
        <f>IF(COUNTIF(A:A,Table14[[#This Row],[Patient ID]]&gt;1),"Returning Patient","New Patient")</f>
        <v>New Patient</v>
      </c>
      <c r="Q384" t="str">
        <f>_xlfn.XLOOKUP(Table14[[#This Row],[Department]], Doctor_Info!A:A, Doctor_Info!C:C, "")&amp;""</f>
        <v>102</v>
      </c>
      <c r="R384" t="str">
        <f>TEXT(Table14[[#This Row],[Admission Date]],"ddd")</f>
        <v>Mon</v>
      </c>
      <c r="S384" t="str">
        <f>TEXT(Table14[[#This Row],[Admission Date]],"mmm")</f>
        <v>Feb</v>
      </c>
      <c r="T384" t="str">
        <f>TEXT(Table14[[#This Row],[Admission Date]],"yyyy")</f>
        <v>2024</v>
      </c>
      <c r="U384" t="str">
        <f>TEXT(Table14[[#This Row],[Admission Date]],"mmm-yyyy")</f>
        <v>Feb-2024</v>
      </c>
      <c r="V384">
        <f t="shared" ca="1" si="5"/>
        <v>8</v>
      </c>
    </row>
    <row r="385" spans="1:22" x14ac:dyDescent="0.2">
      <c r="A385" t="s">
        <v>397</v>
      </c>
      <c r="B385" s="3">
        <v>45332</v>
      </c>
      <c r="D385">
        <f ca="1">IF(ISBLANK(Table14[[#This Row],[Discharge Date]]),TODAY()-Table14[[#This Row],[Admission Date]], Table14[[#This Row],[Discharge Date]]-Table14[[#This Row],[Admission Date]])</f>
        <v>806</v>
      </c>
      <c r="E385" s="6" t="str">
        <f>IF(Table14[[#This Row],[Discharge Date]]="","Still Admitted","Patient Discharged")</f>
        <v>Still Admitted</v>
      </c>
      <c r="F385" s="6" t="str">
        <f>IF(WEEKDAY(Table14[[#This Row],[Admission Date]],2)&gt;5,"Weekend","Weekday")</f>
        <v>Weekend</v>
      </c>
      <c r="G385" t="s">
        <v>10</v>
      </c>
      <c r="H385">
        <v>28</v>
      </c>
      <c r="I385" t="str" cm="1">
        <f t="array" ref="I385">_xlfn.IFS(Table14[[#This Row],[Age]]&lt;18,"Children",Table14[[#This Row],[Age]]&lt;50,"Adult",Table14[[#This Row],[Age]]&gt;=50,"Elderly")</f>
        <v>Adult</v>
      </c>
      <c r="J385" t="s">
        <v>547</v>
      </c>
      <c r="K385" s="7">
        <v>382010</v>
      </c>
      <c r="L385" s="2" t="str" cm="1">
        <f t="array" ref="L385">_xlfn.IFS(Table14[[#This Row],[Treatment Cost]]&lt;50000,"Low Billing",Table14[[#This Row],[Treatment Cost]]&lt;200000,"Moderate Billing",Table14[[#This Row],[Treatment Cost]]&gt;=200000,"High Billing")</f>
        <v>High Billing</v>
      </c>
      <c r="M385" t="s">
        <v>403</v>
      </c>
      <c r="N385" t="str">
        <f>IF(AND(Table14[[#This Row],[Outcome]]="Follow-up",Table14[[#This Row],[Admission Status]]="Patient Discharged"),"High Risk Patient","Low Risk Patient")</f>
        <v>Low Risk Patient</v>
      </c>
      <c r="O385" t="str">
        <f>IFERROR(VLOOKUP(Table14[[#This Row],[Department]],Doctor_Info!A:D,2,FALSE), "")</f>
        <v>Dr. George</v>
      </c>
      <c r="P385" t="str">
        <f>IF(COUNTIF(A:A,Table14[[#This Row],[Patient ID]]&gt;1),"Returning Patient","New Patient")</f>
        <v>New Patient</v>
      </c>
      <c r="Q385" t="str">
        <f>_xlfn.XLOOKUP(Table14[[#This Row],[Department]], Doctor_Info!A:A, Doctor_Info!C:C, "")&amp;""</f>
        <v>405</v>
      </c>
      <c r="R385" t="str">
        <f>TEXT(Table14[[#This Row],[Admission Date]],"ddd")</f>
        <v>Sat</v>
      </c>
      <c r="S385" t="str">
        <f>TEXT(Table14[[#This Row],[Admission Date]],"mmm")</f>
        <v>Feb</v>
      </c>
      <c r="T385" t="str">
        <f>TEXT(Table14[[#This Row],[Admission Date]],"yyyy")</f>
        <v>2024</v>
      </c>
      <c r="U385" t="str">
        <f>TEXT(Table14[[#This Row],[Admission Date]],"mmm-yyyy")</f>
        <v>Feb-2024</v>
      </c>
      <c r="V385">
        <f t="shared" ca="1" si="5"/>
        <v>8</v>
      </c>
    </row>
    <row r="386" spans="1:22" x14ac:dyDescent="0.2">
      <c r="A386" t="s">
        <v>405</v>
      </c>
      <c r="B386" s="3">
        <v>45319</v>
      </c>
      <c r="C386" s="3">
        <v>45327</v>
      </c>
      <c r="D386">
        <f ca="1">IF(ISBLANK(Table14[[#This Row],[Discharge Date]]),TODAY()-Table14[[#This Row],[Admission Date]], Table14[[#This Row],[Discharge Date]]-Table14[[#This Row],[Admission Date]])</f>
        <v>8</v>
      </c>
      <c r="E386" s="6" t="str">
        <f>IF(Table14[[#This Row],[Discharge Date]]="","Still Admitted","Patient Discharged")</f>
        <v>Patient Discharged</v>
      </c>
      <c r="F386" s="6" t="str">
        <f>IF(WEEKDAY(Table14[[#This Row],[Admission Date]],2)&gt;5,"Weekend","Weekday")</f>
        <v>Weekend</v>
      </c>
      <c r="G386" t="s">
        <v>7</v>
      </c>
      <c r="H386">
        <v>30</v>
      </c>
      <c r="I386" t="str" cm="1">
        <f t="array" ref="I386">_xlfn.IFS(Table14[[#This Row],[Age]]&lt;18,"Children",Table14[[#This Row],[Age]]&lt;50,"Adult",Table14[[#This Row],[Age]]&gt;=50,"Elderly")</f>
        <v>Adult</v>
      </c>
      <c r="J386" t="s">
        <v>546</v>
      </c>
      <c r="K386" s="7">
        <v>382980</v>
      </c>
      <c r="L386" s="2" t="str" cm="1">
        <f t="array" ref="L386">_xlfn.IFS(Table14[[#This Row],[Treatment Cost]]&lt;50000,"Low Billing",Table14[[#This Row],[Treatment Cost]]&lt;200000,"Moderate Billing",Table14[[#This Row],[Treatment Cost]]&gt;=200000,"High Billing")</f>
        <v>High Billing</v>
      </c>
      <c r="M386" t="s">
        <v>8</v>
      </c>
      <c r="N386" t="str">
        <f>IF(AND(Table14[[#This Row],[Outcome]]="Follow-up",Table14[[#This Row],[Admission Status]]="Patient Discharged"),"High Risk Patient","Low Risk Patient")</f>
        <v>High Risk Patient</v>
      </c>
      <c r="O386" t="str">
        <f>IFERROR(VLOOKUP(Table14[[#This Row],[Department]],Doctor_Info!A:D,2,FALSE), "")</f>
        <v>Dr. Ada</v>
      </c>
      <c r="P386" t="str">
        <f>IF(COUNTIF(A:A,Table14[[#This Row],[Patient ID]]&gt;1),"Returning Patient","New Patient")</f>
        <v>New Patient</v>
      </c>
      <c r="Q386" t="str">
        <f>_xlfn.XLOOKUP(Table14[[#This Row],[Department]], Doctor_Info!A:A, Doctor_Info!C:C, "")&amp;""</f>
        <v>301</v>
      </c>
      <c r="R386" t="str">
        <f>TEXT(Table14[[#This Row],[Admission Date]],"ddd")</f>
        <v>Sun</v>
      </c>
      <c r="S386" t="str">
        <f>TEXT(Table14[[#This Row],[Admission Date]],"mmm")</f>
        <v>Jan</v>
      </c>
      <c r="T386" t="str">
        <f>TEXT(Table14[[#This Row],[Admission Date]],"yyyy")</f>
        <v>2024</v>
      </c>
      <c r="U386" t="str">
        <f>TEXT(Table14[[#This Row],[Admission Date]],"mmm-yyyy")</f>
        <v>Jan-2024</v>
      </c>
      <c r="V386">
        <f t="shared" ref="V386:V449" ca="1" si="6">MEDIAN($D$2:$D$484)</f>
        <v>8</v>
      </c>
    </row>
    <row r="387" spans="1:22" x14ac:dyDescent="0.2">
      <c r="A387" t="s">
        <v>406</v>
      </c>
      <c r="B387" s="3">
        <v>45323</v>
      </c>
      <c r="C387" s="3">
        <v>45324</v>
      </c>
      <c r="D387">
        <f ca="1">IF(ISBLANK(Table14[[#This Row],[Discharge Date]]),TODAY()-Table14[[#This Row],[Admission Date]], Table14[[#This Row],[Discharge Date]]-Table14[[#This Row],[Admission Date]])</f>
        <v>1</v>
      </c>
      <c r="E387" s="6" t="str">
        <f>IF(Table14[[#This Row],[Discharge Date]]="","Still Admitted","Patient Discharged")</f>
        <v>Patient Discharged</v>
      </c>
      <c r="F387" s="6" t="str">
        <f>IF(WEEKDAY(Table14[[#This Row],[Admission Date]],2)&gt;5,"Weekend","Weekday")</f>
        <v>Weekday</v>
      </c>
      <c r="G387" t="s">
        <v>528</v>
      </c>
      <c r="H387">
        <v>32</v>
      </c>
      <c r="I387" t="str" cm="1">
        <f t="array" ref="I387">_xlfn.IFS(Table14[[#This Row],[Age]]&lt;18,"Children",Table14[[#This Row],[Age]]&lt;50,"Adult",Table14[[#This Row],[Age]]&gt;=50,"Elderly")</f>
        <v>Adult</v>
      </c>
      <c r="J387" t="s">
        <v>547</v>
      </c>
      <c r="K387" s="7">
        <v>383950</v>
      </c>
      <c r="L387" s="2" t="str" cm="1">
        <f t="array" ref="L387">_xlfn.IFS(Table14[[#This Row],[Treatment Cost]]&lt;50000,"Low Billing",Table14[[#This Row],[Treatment Cost]]&lt;200000,"Moderate Billing",Table14[[#This Row],[Treatment Cost]]&gt;=200000,"High Billing")</f>
        <v>High Billing</v>
      </c>
      <c r="M387" t="s">
        <v>6</v>
      </c>
      <c r="N387" t="str">
        <f>IF(AND(Table14[[#This Row],[Outcome]]="Follow-up",Table14[[#This Row],[Admission Status]]="Patient Discharged"),"High Risk Patient","Low Risk Patient")</f>
        <v>Low Risk Patient</v>
      </c>
      <c r="O387" t="str">
        <f>IFERROR(VLOOKUP(Table14[[#This Row],[Department]],Doctor_Info!A:D,2,FALSE), "")</f>
        <v>Dr. Kofi</v>
      </c>
      <c r="P387" t="str">
        <f>IF(COUNTIF(A:A,Table14[[#This Row],[Patient ID]]&gt;1),"Returning Patient","New Patient")</f>
        <v>New Patient</v>
      </c>
      <c r="Q387" t="str">
        <f>_xlfn.XLOOKUP(Table14[[#This Row],[Department]], Doctor_Info!A:A, Doctor_Info!C:C, "")&amp;""</f>
        <v>102</v>
      </c>
      <c r="R387" t="str">
        <f>TEXT(Table14[[#This Row],[Admission Date]],"ddd")</f>
        <v>Thu</v>
      </c>
      <c r="S387" t="str">
        <f>TEXT(Table14[[#This Row],[Admission Date]],"mmm")</f>
        <v>Feb</v>
      </c>
      <c r="T387" t="str">
        <f>TEXT(Table14[[#This Row],[Admission Date]],"yyyy")</f>
        <v>2024</v>
      </c>
      <c r="U387" t="str">
        <f>TEXT(Table14[[#This Row],[Admission Date]],"mmm-yyyy")</f>
        <v>Feb-2024</v>
      </c>
      <c r="V387">
        <f t="shared" ca="1" si="6"/>
        <v>8</v>
      </c>
    </row>
    <row r="388" spans="1:22" x14ac:dyDescent="0.2">
      <c r="A388" t="s">
        <v>407</v>
      </c>
      <c r="B388" s="3">
        <v>45325</v>
      </c>
      <c r="C388" s="3">
        <v>45337</v>
      </c>
      <c r="D388">
        <f ca="1">IF(ISBLANK(Table14[[#This Row],[Discharge Date]]),TODAY()-Table14[[#This Row],[Admission Date]], Table14[[#This Row],[Discharge Date]]-Table14[[#This Row],[Admission Date]])</f>
        <v>12</v>
      </c>
      <c r="E388" s="6" t="str">
        <f>IF(Table14[[#This Row],[Discharge Date]]="","Still Admitted","Patient Discharged")</f>
        <v>Patient Discharged</v>
      </c>
      <c r="F388" s="6" t="str">
        <f>IF(WEEKDAY(Table14[[#This Row],[Admission Date]],2)&gt;5,"Weekend","Weekday")</f>
        <v>Weekend</v>
      </c>
      <c r="G388" t="s">
        <v>12</v>
      </c>
      <c r="H388">
        <v>34</v>
      </c>
      <c r="I388" t="str" cm="1">
        <f t="array" ref="I388">_xlfn.IFS(Table14[[#This Row],[Age]]&lt;18,"Children",Table14[[#This Row],[Age]]&lt;50,"Adult",Table14[[#This Row],[Age]]&gt;=50,"Elderly")</f>
        <v>Adult</v>
      </c>
      <c r="J388" t="s">
        <v>546</v>
      </c>
      <c r="K388" s="7">
        <v>384920</v>
      </c>
      <c r="L388" s="2" t="str" cm="1">
        <f t="array" ref="L388">_xlfn.IFS(Table14[[#This Row],[Treatment Cost]]&lt;50000,"Low Billing",Table14[[#This Row],[Treatment Cost]]&lt;200000,"Moderate Billing",Table14[[#This Row],[Treatment Cost]]&gt;=200000,"High Billing")</f>
        <v>High Billing</v>
      </c>
      <c r="M388" t="s">
        <v>8</v>
      </c>
      <c r="N388" t="str">
        <f>IF(AND(Table14[[#This Row],[Outcome]]="Follow-up",Table14[[#This Row],[Admission Status]]="Patient Discharged"),"High Risk Patient","Low Risk Patient")</f>
        <v>High Risk Patient</v>
      </c>
      <c r="O388" t="str">
        <f>IFERROR(VLOOKUP(Table14[[#This Row],[Department]],Doctor_Info!A:D,2,FALSE), "")</f>
        <v>Dr. Temi</v>
      </c>
      <c r="P388" t="str">
        <f>IF(COUNTIF(A:A,Table14[[#This Row],[Patient ID]]&gt;1),"Returning Patient","New Patient")</f>
        <v>New Patient</v>
      </c>
      <c r="Q388" t="str">
        <f>_xlfn.XLOOKUP(Table14[[#This Row],[Department]], Doctor_Info!A:A, Doctor_Info!C:C, "")&amp;""</f>
        <v>502</v>
      </c>
      <c r="R388" t="str">
        <f>TEXT(Table14[[#This Row],[Admission Date]],"ddd")</f>
        <v>Sat</v>
      </c>
      <c r="S388" t="str">
        <f>TEXT(Table14[[#This Row],[Admission Date]],"mmm")</f>
        <v>Feb</v>
      </c>
      <c r="T388" t="str">
        <f>TEXT(Table14[[#This Row],[Admission Date]],"yyyy")</f>
        <v>2024</v>
      </c>
      <c r="U388" t="str">
        <f>TEXT(Table14[[#This Row],[Admission Date]],"mmm-yyyy")</f>
        <v>Feb-2024</v>
      </c>
      <c r="V388">
        <f t="shared" ca="1" si="6"/>
        <v>8</v>
      </c>
    </row>
    <row r="389" spans="1:22" x14ac:dyDescent="0.2">
      <c r="A389" t="s">
        <v>408</v>
      </c>
      <c r="B389" s="3">
        <v>45327</v>
      </c>
      <c r="C389" s="3">
        <v>45328</v>
      </c>
      <c r="D389">
        <f ca="1">IF(ISBLANK(Table14[[#This Row],[Discharge Date]]),TODAY()-Table14[[#This Row],[Admission Date]], Table14[[#This Row],[Discharge Date]]-Table14[[#This Row],[Admission Date]])</f>
        <v>1</v>
      </c>
      <c r="E389" s="6" t="str">
        <f>IF(Table14[[#This Row],[Discharge Date]]="","Still Admitted","Patient Discharged")</f>
        <v>Patient Discharged</v>
      </c>
      <c r="F389" s="6" t="str">
        <f>IF(WEEKDAY(Table14[[#This Row],[Admission Date]],2)&gt;5,"Weekend","Weekday")</f>
        <v>Weekday</v>
      </c>
      <c r="G389" t="s">
        <v>528</v>
      </c>
      <c r="H389">
        <v>36</v>
      </c>
      <c r="I389" t="str" cm="1">
        <f t="array" ref="I389">_xlfn.IFS(Table14[[#This Row],[Age]]&lt;18,"Children",Table14[[#This Row],[Age]]&lt;50,"Adult",Table14[[#This Row],[Age]]&gt;=50,"Elderly")</f>
        <v>Adult</v>
      </c>
      <c r="J389" t="s">
        <v>547</v>
      </c>
      <c r="K389" s="7">
        <v>385890</v>
      </c>
      <c r="L389" s="2" t="str" cm="1">
        <f t="array" ref="L389">_xlfn.IFS(Table14[[#This Row],[Treatment Cost]]&lt;50000,"Low Billing",Table14[[#This Row],[Treatment Cost]]&lt;200000,"Moderate Billing",Table14[[#This Row],[Treatment Cost]]&gt;=200000,"High Billing")</f>
        <v>High Billing</v>
      </c>
      <c r="M389" t="s">
        <v>6</v>
      </c>
      <c r="N389" t="str">
        <f>IF(AND(Table14[[#This Row],[Outcome]]="Follow-up",Table14[[#This Row],[Admission Status]]="Patient Discharged"),"High Risk Patient","Low Risk Patient")</f>
        <v>Low Risk Patient</v>
      </c>
      <c r="O389" t="str">
        <f>IFERROR(VLOOKUP(Table14[[#This Row],[Department]],Doctor_Info!A:D,2,FALSE), "")</f>
        <v>Dr. Kofi</v>
      </c>
      <c r="P389" t="str">
        <f>IF(COUNTIF(A:A,Table14[[#This Row],[Patient ID]]&gt;1),"Returning Patient","New Patient")</f>
        <v>New Patient</v>
      </c>
      <c r="Q389" t="str">
        <f>_xlfn.XLOOKUP(Table14[[#This Row],[Department]], Doctor_Info!A:A, Doctor_Info!C:C, "")&amp;""</f>
        <v>102</v>
      </c>
      <c r="R389" t="str">
        <f>TEXT(Table14[[#This Row],[Admission Date]],"ddd")</f>
        <v>Mon</v>
      </c>
      <c r="S389" t="str">
        <f>TEXT(Table14[[#This Row],[Admission Date]],"mmm")</f>
        <v>Feb</v>
      </c>
      <c r="T389" t="str">
        <f>TEXT(Table14[[#This Row],[Admission Date]],"yyyy")</f>
        <v>2024</v>
      </c>
      <c r="U389" t="str">
        <f>TEXT(Table14[[#This Row],[Admission Date]],"mmm-yyyy")</f>
        <v>Feb-2024</v>
      </c>
      <c r="V389">
        <f t="shared" ca="1" si="6"/>
        <v>8</v>
      </c>
    </row>
    <row r="390" spans="1:22" x14ac:dyDescent="0.2">
      <c r="A390" t="s">
        <v>409</v>
      </c>
      <c r="B390" s="3">
        <v>45332</v>
      </c>
      <c r="D390">
        <f ca="1">IF(ISBLANK(Table14[[#This Row],[Discharge Date]]),TODAY()-Table14[[#This Row],[Admission Date]], Table14[[#This Row],[Discharge Date]]-Table14[[#This Row],[Admission Date]])</f>
        <v>806</v>
      </c>
      <c r="E390" s="6" t="str">
        <f>IF(Table14[[#This Row],[Discharge Date]]="","Still Admitted","Patient Discharged")</f>
        <v>Still Admitted</v>
      </c>
      <c r="F390" s="6" t="str">
        <f>IF(WEEKDAY(Table14[[#This Row],[Admission Date]],2)&gt;5,"Weekend","Weekday")</f>
        <v>Weekend</v>
      </c>
      <c r="G390" t="s">
        <v>10</v>
      </c>
      <c r="H390">
        <v>38</v>
      </c>
      <c r="I390" t="str" cm="1">
        <f t="array" ref="I390">_xlfn.IFS(Table14[[#This Row],[Age]]&lt;18,"Children",Table14[[#This Row],[Age]]&lt;50,"Adult",Table14[[#This Row],[Age]]&gt;=50,"Elderly")</f>
        <v>Adult</v>
      </c>
      <c r="J390" t="s">
        <v>547</v>
      </c>
      <c r="K390" s="7">
        <v>386860</v>
      </c>
      <c r="L390" s="2" t="str" cm="1">
        <f t="array" ref="L390">_xlfn.IFS(Table14[[#This Row],[Treatment Cost]]&lt;50000,"Low Billing",Table14[[#This Row],[Treatment Cost]]&lt;200000,"Moderate Billing",Table14[[#This Row],[Treatment Cost]]&gt;=200000,"High Billing")</f>
        <v>High Billing</v>
      </c>
      <c r="M390" t="s">
        <v>403</v>
      </c>
      <c r="N390" t="str">
        <f>IF(AND(Table14[[#This Row],[Outcome]]="Follow-up",Table14[[#This Row],[Admission Status]]="Patient Discharged"),"High Risk Patient","Low Risk Patient")</f>
        <v>Low Risk Patient</v>
      </c>
      <c r="O390" t="str">
        <f>IFERROR(VLOOKUP(Table14[[#This Row],[Department]],Doctor_Info!A:D,2,FALSE), "")</f>
        <v>Dr. George</v>
      </c>
      <c r="P390" t="str">
        <f>IF(COUNTIF(A:A,Table14[[#This Row],[Patient ID]]&gt;1),"Returning Patient","New Patient")</f>
        <v>New Patient</v>
      </c>
      <c r="Q390" t="str">
        <f>_xlfn.XLOOKUP(Table14[[#This Row],[Department]], Doctor_Info!A:A, Doctor_Info!C:C, "")&amp;""</f>
        <v>405</v>
      </c>
      <c r="R390" t="str">
        <f>TEXT(Table14[[#This Row],[Admission Date]],"ddd")</f>
        <v>Sat</v>
      </c>
      <c r="S390" t="str">
        <f>TEXT(Table14[[#This Row],[Admission Date]],"mmm")</f>
        <v>Feb</v>
      </c>
      <c r="T390" t="str">
        <f>TEXT(Table14[[#This Row],[Admission Date]],"yyyy")</f>
        <v>2024</v>
      </c>
      <c r="U390" t="str">
        <f>TEXT(Table14[[#This Row],[Admission Date]],"mmm-yyyy")</f>
        <v>Feb-2024</v>
      </c>
      <c r="V390">
        <f t="shared" ca="1" si="6"/>
        <v>8</v>
      </c>
    </row>
    <row r="391" spans="1:22" x14ac:dyDescent="0.2">
      <c r="A391" t="s">
        <v>410</v>
      </c>
      <c r="B391" s="3">
        <v>45319</v>
      </c>
      <c r="C391" s="3">
        <v>45327</v>
      </c>
      <c r="D391">
        <f ca="1">IF(ISBLANK(Table14[[#This Row],[Discharge Date]]),TODAY()-Table14[[#This Row],[Admission Date]], Table14[[#This Row],[Discharge Date]]-Table14[[#This Row],[Admission Date]])</f>
        <v>8</v>
      </c>
      <c r="E391" s="6" t="str">
        <f>IF(Table14[[#This Row],[Discharge Date]]="","Still Admitted","Patient Discharged")</f>
        <v>Patient Discharged</v>
      </c>
      <c r="F391" s="6" t="str">
        <f>IF(WEEKDAY(Table14[[#This Row],[Admission Date]],2)&gt;5,"Weekend","Weekday")</f>
        <v>Weekend</v>
      </c>
      <c r="G391" t="s">
        <v>7</v>
      </c>
      <c r="H391">
        <v>40</v>
      </c>
      <c r="I391" t="str" cm="1">
        <f t="array" ref="I391">_xlfn.IFS(Table14[[#This Row],[Age]]&lt;18,"Children",Table14[[#This Row],[Age]]&lt;50,"Adult",Table14[[#This Row],[Age]]&gt;=50,"Elderly")</f>
        <v>Adult</v>
      </c>
      <c r="J391" t="s">
        <v>546</v>
      </c>
      <c r="K391" s="7">
        <v>387830</v>
      </c>
      <c r="L391" s="2" t="str" cm="1">
        <f t="array" ref="L391">_xlfn.IFS(Table14[[#This Row],[Treatment Cost]]&lt;50000,"Low Billing",Table14[[#This Row],[Treatment Cost]]&lt;200000,"Moderate Billing",Table14[[#This Row],[Treatment Cost]]&gt;=200000,"High Billing")</f>
        <v>High Billing</v>
      </c>
      <c r="M391" t="s">
        <v>8</v>
      </c>
      <c r="N391" t="str">
        <f>IF(AND(Table14[[#This Row],[Outcome]]="Follow-up",Table14[[#This Row],[Admission Status]]="Patient Discharged"),"High Risk Patient","Low Risk Patient")</f>
        <v>High Risk Patient</v>
      </c>
      <c r="O391" t="str">
        <f>IFERROR(VLOOKUP(Table14[[#This Row],[Department]],Doctor_Info!A:D,2,FALSE), "")</f>
        <v>Dr. Ada</v>
      </c>
      <c r="P391" t="str">
        <f>IF(COUNTIF(A:A,Table14[[#This Row],[Patient ID]]&gt;1),"Returning Patient","New Patient")</f>
        <v>New Patient</v>
      </c>
      <c r="Q391" t="str">
        <f>_xlfn.XLOOKUP(Table14[[#This Row],[Department]], Doctor_Info!A:A, Doctor_Info!C:C, "")&amp;""</f>
        <v>301</v>
      </c>
      <c r="R391" t="str">
        <f>TEXT(Table14[[#This Row],[Admission Date]],"ddd")</f>
        <v>Sun</v>
      </c>
      <c r="S391" t="str">
        <f>TEXT(Table14[[#This Row],[Admission Date]],"mmm")</f>
        <v>Jan</v>
      </c>
      <c r="T391" t="str">
        <f>TEXT(Table14[[#This Row],[Admission Date]],"yyyy")</f>
        <v>2024</v>
      </c>
      <c r="U391" t="str">
        <f>TEXT(Table14[[#This Row],[Admission Date]],"mmm-yyyy")</f>
        <v>Jan-2024</v>
      </c>
      <c r="V391">
        <f t="shared" ca="1" si="6"/>
        <v>8</v>
      </c>
    </row>
    <row r="392" spans="1:22" x14ac:dyDescent="0.2">
      <c r="A392" t="s">
        <v>411</v>
      </c>
      <c r="B392" s="3">
        <v>45323</v>
      </c>
      <c r="C392" s="3">
        <v>45324</v>
      </c>
      <c r="D392">
        <f ca="1">IF(ISBLANK(Table14[[#This Row],[Discharge Date]]),TODAY()-Table14[[#This Row],[Admission Date]], Table14[[#This Row],[Discharge Date]]-Table14[[#This Row],[Admission Date]])</f>
        <v>1</v>
      </c>
      <c r="E392" s="6" t="str">
        <f>IF(Table14[[#This Row],[Discharge Date]]="","Still Admitted","Patient Discharged")</f>
        <v>Patient Discharged</v>
      </c>
      <c r="F392" s="6" t="str">
        <f>IF(WEEKDAY(Table14[[#This Row],[Admission Date]],2)&gt;5,"Weekend","Weekday")</f>
        <v>Weekday</v>
      </c>
      <c r="G392" t="s">
        <v>528</v>
      </c>
      <c r="H392">
        <v>42</v>
      </c>
      <c r="I392" t="str" cm="1">
        <f t="array" ref="I392">_xlfn.IFS(Table14[[#This Row],[Age]]&lt;18,"Children",Table14[[#This Row],[Age]]&lt;50,"Adult",Table14[[#This Row],[Age]]&gt;=50,"Elderly")</f>
        <v>Adult</v>
      </c>
      <c r="J392" t="s">
        <v>547</v>
      </c>
      <c r="K392" s="7">
        <v>388800</v>
      </c>
      <c r="L392" s="2" t="str" cm="1">
        <f t="array" ref="L392">_xlfn.IFS(Table14[[#This Row],[Treatment Cost]]&lt;50000,"Low Billing",Table14[[#This Row],[Treatment Cost]]&lt;200000,"Moderate Billing",Table14[[#This Row],[Treatment Cost]]&gt;=200000,"High Billing")</f>
        <v>High Billing</v>
      </c>
      <c r="M392" t="s">
        <v>6</v>
      </c>
      <c r="N392" t="str">
        <f>IF(AND(Table14[[#This Row],[Outcome]]="Follow-up",Table14[[#This Row],[Admission Status]]="Patient Discharged"),"High Risk Patient","Low Risk Patient")</f>
        <v>Low Risk Patient</v>
      </c>
      <c r="O392" t="str">
        <f>IFERROR(VLOOKUP(Table14[[#This Row],[Department]],Doctor_Info!A:D,2,FALSE), "")</f>
        <v>Dr. Kofi</v>
      </c>
      <c r="P392" t="str">
        <f>IF(COUNTIF(A:A,Table14[[#This Row],[Patient ID]]&gt;1),"Returning Patient","New Patient")</f>
        <v>New Patient</v>
      </c>
      <c r="Q392" t="str">
        <f>_xlfn.XLOOKUP(Table14[[#This Row],[Department]], Doctor_Info!A:A, Doctor_Info!C:C, "")&amp;""</f>
        <v>102</v>
      </c>
      <c r="R392" t="str">
        <f>TEXT(Table14[[#This Row],[Admission Date]],"ddd")</f>
        <v>Thu</v>
      </c>
      <c r="S392" t="str">
        <f>TEXT(Table14[[#This Row],[Admission Date]],"mmm")</f>
        <v>Feb</v>
      </c>
      <c r="T392" t="str">
        <f>TEXT(Table14[[#This Row],[Admission Date]],"yyyy")</f>
        <v>2024</v>
      </c>
      <c r="U392" t="str">
        <f>TEXT(Table14[[#This Row],[Admission Date]],"mmm-yyyy")</f>
        <v>Feb-2024</v>
      </c>
      <c r="V392">
        <f t="shared" ca="1" si="6"/>
        <v>8</v>
      </c>
    </row>
    <row r="393" spans="1:22" x14ac:dyDescent="0.2">
      <c r="A393" t="s">
        <v>412</v>
      </c>
      <c r="B393" s="3">
        <v>45325</v>
      </c>
      <c r="C393" s="3">
        <v>45337</v>
      </c>
      <c r="D393">
        <f ca="1">IF(ISBLANK(Table14[[#This Row],[Discharge Date]]),TODAY()-Table14[[#This Row],[Admission Date]], Table14[[#This Row],[Discharge Date]]-Table14[[#This Row],[Admission Date]])</f>
        <v>12</v>
      </c>
      <c r="E393" s="6" t="str">
        <f>IF(Table14[[#This Row],[Discharge Date]]="","Still Admitted","Patient Discharged")</f>
        <v>Patient Discharged</v>
      </c>
      <c r="F393" s="6" t="str">
        <f>IF(WEEKDAY(Table14[[#This Row],[Admission Date]],2)&gt;5,"Weekend","Weekday")</f>
        <v>Weekend</v>
      </c>
      <c r="G393" t="s">
        <v>12</v>
      </c>
      <c r="H393">
        <v>44</v>
      </c>
      <c r="I393" t="str" cm="1">
        <f t="array" ref="I393">_xlfn.IFS(Table14[[#This Row],[Age]]&lt;18,"Children",Table14[[#This Row],[Age]]&lt;50,"Adult",Table14[[#This Row],[Age]]&gt;=50,"Elderly")</f>
        <v>Adult</v>
      </c>
      <c r="J393" t="s">
        <v>546</v>
      </c>
      <c r="K393" s="7">
        <v>389770</v>
      </c>
      <c r="L393" s="2" t="str" cm="1">
        <f t="array" ref="L393">_xlfn.IFS(Table14[[#This Row],[Treatment Cost]]&lt;50000,"Low Billing",Table14[[#This Row],[Treatment Cost]]&lt;200000,"Moderate Billing",Table14[[#This Row],[Treatment Cost]]&gt;=200000,"High Billing")</f>
        <v>High Billing</v>
      </c>
      <c r="M393" t="s">
        <v>8</v>
      </c>
      <c r="N393" t="str">
        <f>IF(AND(Table14[[#This Row],[Outcome]]="Follow-up",Table14[[#This Row],[Admission Status]]="Patient Discharged"),"High Risk Patient","Low Risk Patient")</f>
        <v>High Risk Patient</v>
      </c>
      <c r="O393" t="str">
        <f>IFERROR(VLOOKUP(Table14[[#This Row],[Department]],Doctor_Info!A:D,2,FALSE), "")</f>
        <v>Dr. Temi</v>
      </c>
      <c r="P393" t="str">
        <f>IF(COUNTIF(A:A,Table14[[#This Row],[Patient ID]]&gt;1),"Returning Patient","New Patient")</f>
        <v>New Patient</v>
      </c>
      <c r="Q393" t="str">
        <f>_xlfn.XLOOKUP(Table14[[#This Row],[Department]], Doctor_Info!A:A, Doctor_Info!C:C, "")&amp;""</f>
        <v>502</v>
      </c>
      <c r="R393" t="str">
        <f>TEXT(Table14[[#This Row],[Admission Date]],"ddd")</f>
        <v>Sat</v>
      </c>
      <c r="S393" t="str">
        <f>TEXT(Table14[[#This Row],[Admission Date]],"mmm")</f>
        <v>Feb</v>
      </c>
      <c r="T393" t="str">
        <f>TEXT(Table14[[#This Row],[Admission Date]],"yyyy")</f>
        <v>2024</v>
      </c>
      <c r="U393" t="str">
        <f>TEXT(Table14[[#This Row],[Admission Date]],"mmm-yyyy")</f>
        <v>Feb-2024</v>
      </c>
      <c r="V393">
        <f t="shared" ca="1" si="6"/>
        <v>8</v>
      </c>
    </row>
    <row r="394" spans="1:22" x14ac:dyDescent="0.2">
      <c r="A394" t="s">
        <v>413</v>
      </c>
      <c r="B394" s="3">
        <v>45327</v>
      </c>
      <c r="C394" s="3">
        <v>45328</v>
      </c>
      <c r="D394">
        <f ca="1">IF(ISBLANK(Table14[[#This Row],[Discharge Date]]),TODAY()-Table14[[#This Row],[Admission Date]], Table14[[#This Row],[Discharge Date]]-Table14[[#This Row],[Admission Date]])</f>
        <v>1</v>
      </c>
      <c r="E394" s="6" t="str">
        <f>IF(Table14[[#This Row],[Discharge Date]]="","Still Admitted","Patient Discharged")</f>
        <v>Patient Discharged</v>
      </c>
      <c r="F394" s="6" t="str">
        <f>IF(WEEKDAY(Table14[[#This Row],[Admission Date]],2)&gt;5,"Weekend","Weekday")</f>
        <v>Weekday</v>
      </c>
      <c r="G394" t="s">
        <v>528</v>
      </c>
      <c r="H394">
        <v>46</v>
      </c>
      <c r="I394" t="str" cm="1">
        <f t="array" ref="I394">_xlfn.IFS(Table14[[#This Row],[Age]]&lt;18,"Children",Table14[[#This Row],[Age]]&lt;50,"Adult",Table14[[#This Row],[Age]]&gt;=50,"Elderly")</f>
        <v>Adult</v>
      </c>
      <c r="J394" t="s">
        <v>547</v>
      </c>
      <c r="K394" s="7">
        <v>390740</v>
      </c>
      <c r="L394" s="2" t="str" cm="1">
        <f t="array" ref="L394">_xlfn.IFS(Table14[[#This Row],[Treatment Cost]]&lt;50000,"Low Billing",Table14[[#This Row],[Treatment Cost]]&lt;200000,"Moderate Billing",Table14[[#This Row],[Treatment Cost]]&gt;=200000,"High Billing")</f>
        <v>High Billing</v>
      </c>
      <c r="M394" t="s">
        <v>6</v>
      </c>
      <c r="N394" t="str">
        <f>IF(AND(Table14[[#This Row],[Outcome]]="Follow-up",Table14[[#This Row],[Admission Status]]="Patient Discharged"),"High Risk Patient","Low Risk Patient")</f>
        <v>Low Risk Patient</v>
      </c>
      <c r="O394" t="str">
        <f>IFERROR(VLOOKUP(Table14[[#This Row],[Department]],Doctor_Info!A:D,2,FALSE), "")</f>
        <v>Dr. Kofi</v>
      </c>
      <c r="P394" t="str">
        <f>IF(COUNTIF(A:A,Table14[[#This Row],[Patient ID]]&gt;1),"Returning Patient","New Patient")</f>
        <v>New Patient</v>
      </c>
      <c r="Q394" t="str">
        <f>_xlfn.XLOOKUP(Table14[[#This Row],[Department]], Doctor_Info!A:A, Doctor_Info!C:C, "")&amp;""</f>
        <v>102</v>
      </c>
      <c r="R394" t="str">
        <f>TEXT(Table14[[#This Row],[Admission Date]],"ddd")</f>
        <v>Mon</v>
      </c>
      <c r="S394" t="str">
        <f>TEXT(Table14[[#This Row],[Admission Date]],"mmm")</f>
        <v>Feb</v>
      </c>
      <c r="T394" t="str">
        <f>TEXT(Table14[[#This Row],[Admission Date]],"yyyy")</f>
        <v>2024</v>
      </c>
      <c r="U394" t="str">
        <f>TEXT(Table14[[#This Row],[Admission Date]],"mmm-yyyy")</f>
        <v>Feb-2024</v>
      </c>
      <c r="V394">
        <f t="shared" ca="1" si="6"/>
        <v>8</v>
      </c>
    </row>
    <row r="395" spans="1:22" x14ac:dyDescent="0.2">
      <c r="A395" t="s">
        <v>414</v>
      </c>
      <c r="B395" s="3">
        <v>45332</v>
      </c>
      <c r="D395">
        <f ca="1">IF(ISBLANK(Table14[[#This Row],[Discharge Date]]),TODAY()-Table14[[#This Row],[Admission Date]], Table14[[#This Row],[Discharge Date]]-Table14[[#This Row],[Admission Date]])</f>
        <v>806</v>
      </c>
      <c r="E395" s="6" t="str">
        <f>IF(Table14[[#This Row],[Discharge Date]]="","Still Admitted","Patient Discharged")</f>
        <v>Still Admitted</v>
      </c>
      <c r="F395" s="6" t="str">
        <f>IF(WEEKDAY(Table14[[#This Row],[Admission Date]],2)&gt;5,"Weekend","Weekday")</f>
        <v>Weekend</v>
      </c>
      <c r="G395" t="s">
        <v>10</v>
      </c>
      <c r="H395">
        <v>48</v>
      </c>
      <c r="I395" t="str" cm="1">
        <f t="array" ref="I395">_xlfn.IFS(Table14[[#This Row],[Age]]&lt;18,"Children",Table14[[#This Row],[Age]]&lt;50,"Adult",Table14[[#This Row],[Age]]&gt;=50,"Elderly")</f>
        <v>Adult</v>
      </c>
      <c r="J395" t="s">
        <v>547</v>
      </c>
      <c r="K395" s="7">
        <v>391710</v>
      </c>
      <c r="L395" s="2" t="str" cm="1">
        <f t="array" ref="L395">_xlfn.IFS(Table14[[#This Row],[Treatment Cost]]&lt;50000,"Low Billing",Table14[[#This Row],[Treatment Cost]]&lt;200000,"Moderate Billing",Table14[[#This Row],[Treatment Cost]]&gt;=200000,"High Billing")</f>
        <v>High Billing</v>
      </c>
      <c r="M395" t="s">
        <v>403</v>
      </c>
      <c r="N395" t="str">
        <f>IF(AND(Table14[[#This Row],[Outcome]]="Follow-up",Table14[[#This Row],[Admission Status]]="Patient Discharged"),"High Risk Patient","Low Risk Patient")</f>
        <v>Low Risk Patient</v>
      </c>
      <c r="O395" t="str">
        <f>IFERROR(VLOOKUP(Table14[[#This Row],[Department]],Doctor_Info!A:D,2,FALSE), "")</f>
        <v>Dr. George</v>
      </c>
      <c r="P395" t="str">
        <f>IF(COUNTIF(A:A,Table14[[#This Row],[Patient ID]]&gt;1),"Returning Patient","New Patient")</f>
        <v>New Patient</v>
      </c>
      <c r="Q395" t="str">
        <f>_xlfn.XLOOKUP(Table14[[#This Row],[Department]], Doctor_Info!A:A, Doctor_Info!C:C, "")&amp;""</f>
        <v>405</v>
      </c>
      <c r="R395" t="str">
        <f>TEXT(Table14[[#This Row],[Admission Date]],"ddd")</f>
        <v>Sat</v>
      </c>
      <c r="S395" t="str">
        <f>TEXT(Table14[[#This Row],[Admission Date]],"mmm")</f>
        <v>Feb</v>
      </c>
      <c r="T395" t="str">
        <f>TEXT(Table14[[#This Row],[Admission Date]],"yyyy")</f>
        <v>2024</v>
      </c>
      <c r="U395" t="str">
        <f>TEXT(Table14[[#This Row],[Admission Date]],"mmm-yyyy")</f>
        <v>Feb-2024</v>
      </c>
      <c r="V395">
        <f t="shared" ca="1" si="6"/>
        <v>8</v>
      </c>
    </row>
    <row r="396" spans="1:22" x14ac:dyDescent="0.2">
      <c r="A396" t="s">
        <v>415</v>
      </c>
      <c r="B396" s="3">
        <v>45319</v>
      </c>
      <c r="C396" s="3">
        <v>45327</v>
      </c>
      <c r="D396">
        <f ca="1">IF(ISBLANK(Table14[[#This Row],[Discharge Date]]),TODAY()-Table14[[#This Row],[Admission Date]], Table14[[#This Row],[Discharge Date]]-Table14[[#This Row],[Admission Date]])</f>
        <v>8</v>
      </c>
      <c r="E396" s="6" t="str">
        <f>IF(Table14[[#This Row],[Discharge Date]]="","Still Admitted","Patient Discharged")</f>
        <v>Patient Discharged</v>
      </c>
      <c r="F396" s="6" t="str">
        <f>IF(WEEKDAY(Table14[[#This Row],[Admission Date]],2)&gt;5,"Weekend","Weekday")</f>
        <v>Weekend</v>
      </c>
      <c r="G396" t="s">
        <v>7</v>
      </c>
      <c r="H396">
        <v>50</v>
      </c>
      <c r="I396" t="str" cm="1">
        <f t="array" ref="I396">_xlfn.IFS(Table14[[#This Row],[Age]]&lt;18,"Children",Table14[[#This Row],[Age]]&lt;50,"Adult",Table14[[#This Row],[Age]]&gt;=50,"Elderly")</f>
        <v>Elderly</v>
      </c>
      <c r="J396" t="s">
        <v>546</v>
      </c>
      <c r="K396" s="7">
        <v>392680</v>
      </c>
      <c r="L396" s="2" t="str" cm="1">
        <f t="array" ref="L396">_xlfn.IFS(Table14[[#This Row],[Treatment Cost]]&lt;50000,"Low Billing",Table14[[#This Row],[Treatment Cost]]&lt;200000,"Moderate Billing",Table14[[#This Row],[Treatment Cost]]&gt;=200000,"High Billing")</f>
        <v>High Billing</v>
      </c>
      <c r="M396" t="s">
        <v>8</v>
      </c>
      <c r="N396" t="str">
        <f>IF(AND(Table14[[#This Row],[Outcome]]="Follow-up",Table14[[#This Row],[Admission Status]]="Patient Discharged"),"High Risk Patient","Low Risk Patient")</f>
        <v>High Risk Patient</v>
      </c>
      <c r="O396" t="str">
        <f>IFERROR(VLOOKUP(Table14[[#This Row],[Department]],Doctor_Info!A:D,2,FALSE), "")</f>
        <v>Dr. Ada</v>
      </c>
      <c r="P396" t="str">
        <f>IF(COUNTIF(A:A,Table14[[#This Row],[Patient ID]]&gt;1),"Returning Patient","New Patient")</f>
        <v>New Patient</v>
      </c>
      <c r="Q396" t="str">
        <f>_xlfn.XLOOKUP(Table14[[#This Row],[Department]], Doctor_Info!A:A, Doctor_Info!C:C, "")&amp;""</f>
        <v>301</v>
      </c>
      <c r="R396" t="str">
        <f>TEXT(Table14[[#This Row],[Admission Date]],"ddd")</f>
        <v>Sun</v>
      </c>
      <c r="S396" t="str">
        <f>TEXT(Table14[[#This Row],[Admission Date]],"mmm")</f>
        <v>Jan</v>
      </c>
      <c r="T396" t="str">
        <f>TEXT(Table14[[#This Row],[Admission Date]],"yyyy")</f>
        <v>2024</v>
      </c>
      <c r="U396" t="str">
        <f>TEXT(Table14[[#This Row],[Admission Date]],"mmm-yyyy")</f>
        <v>Jan-2024</v>
      </c>
      <c r="V396">
        <f t="shared" ca="1" si="6"/>
        <v>8</v>
      </c>
    </row>
    <row r="397" spans="1:22" x14ac:dyDescent="0.2">
      <c r="A397" t="s">
        <v>416</v>
      </c>
      <c r="B397" s="3">
        <v>45323</v>
      </c>
      <c r="C397" s="3">
        <v>45324</v>
      </c>
      <c r="D397">
        <f ca="1">IF(ISBLANK(Table14[[#This Row],[Discharge Date]]),TODAY()-Table14[[#This Row],[Admission Date]], Table14[[#This Row],[Discharge Date]]-Table14[[#This Row],[Admission Date]])</f>
        <v>1</v>
      </c>
      <c r="E397" s="6" t="str">
        <f>IF(Table14[[#This Row],[Discharge Date]]="","Still Admitted","Patient Discharged")</f>
        <v>Patient Discharged</v>
      </c>
      <c r="F397" s="6" t="str">
        <f>IF(WEEKDAY(Table14[[#This Row],[Admission Date]],2)&gt;5,"Weekend","Weekday")</f>
        <v>Weekday</v>
      </c>
      <c r="G397" t="s">
        <v>528</v>
      </c>
      <c r="H397">
        <v>52</v>
      </c>
      <c r="I397" t="str" cm="1">
        <f t="array" ref="I397">_xlfn.IFS(Table14[[#This Row],[Age]]&lt;18,"Children",Table14[[#This Row],[Age]]&lt;50,"Adult",Table14[[#This Row],[Age]]&gt;=50,"Elderly")</f>
        <v>Elderly</v>
      </c>
      <c r="J397" t="s">
        <v>547</v>
      </c>
      <c r="K397" s="7">
        <v>393650</v>
      </c>
      <c r="L397" s="2" t="str" cm="1">
        <f t="array" ref="L397">_xlfn.IFS(Table14[[#This Row],[Treatment Cost]]&lt;50000,"Low Billing",Table14[[#This Row],[Treatment Cost]]&lt;200000,"Moderate Billing",Table14[[#This Row],[Treatment Cost]]&gt;=200000,"High Billing")</f>
        <v>High Billing</v>
      </c>
      <c r="M397" t="s">
        <v>6</v>
      </c>
      <c r="N397" t="str">
        <f>IF(AND(Table14[[#This Row],[Outcome]]="Follow-up",Table14[[#This Row],[Admission Status]]="Patient Discharged"),"High Risk Patient","Low Risk Patient")</f>
        <v>Low Risk Patient</v>
      </c>
      <c r="O397" t="str">
        <f>IFERROR(VLOOKUP(Table14[[#This Row],[Department]],Doctor_Info!A:D,2,FALSE), "")</f>
        <v>Dr. Kofi</v>
      </c>
      <c r="P397" t="str">
        <f>IF(COUNTIF(A:A,Table14[[#This Row],[Patient ID]]&gt;1),"Returning Patient","New Patient")</f>
        <v>New Patient</v>
      </c>
      <c r="Q397" t="str">
        <f>_xlfn.XLOOKUP(Table14[[#This Row],[Department]], Doctor_Info!A:A, Doctor_Info!C:C, "")&amp;""</f>
        <v>102</v>
      </c>
      <c r="R397" t="str">
        <f>TEXT(Table14[[#This Row],[Admission Date]],"ddd")</f>
        <v>Thu</v>
      </c>
      <c r="S397" t="str">
        <f>TEXT(Table14[[#This Row],[Admission Date]],"mmm")</f>
        <v>Feb</v>
      </c>
      <c r="T397" t="str">
        <f>TEXT(Table14[[#This Row],[Admission Date]],"yyyy")</f>
        <v>2024</v>
      </c>
      <c r="U397" t="str">
        <f>TEXT(Table14[[#This Row],[Admission Date]],"mmm-yyyy")</f>
        <v>Feb-2024</v>
      </c>
      <c r="V397">
        <f t="shared" ca="1" si="6"/>
        <v>8</v>
      </c>
    </row>
    <row r="398" spans="1:22" x14ac:dyDescent="0.2">
      <c r="A398" t="s">
        <v>417</v>
      </c>
      <c r="B398" s="3">
        <v>45325</v>
      </c>
      <c r="C398" s="3">
        <v>45337</v>
      </c>
      <c r="D398">
        <f ca="1">IF(ISBLANK(Table14[[#This Row],[Discharge Date]]),TODAY()-Table14[[#This Row],[Admission Date]], Table14[[#This Row],[Discharge Date]]-Table14[[#This Row],[Admission Date]])</f>
        <v>12</v>
      </c>
      <c r="E398" s="6" t="str">
        <f>IF(Table14[[#This Row],[Discharge Date]]="","Still Admitted","Patient Discharged")</f>
        <v>Patient Discharged</v>
      </c>
      <c r="F398" s="6" t="str">
        <f>IF(WEEKDAY(Table14[[#This Row],[Admission Date]],2)&gt;5,"Weekend","Weekday")</f>
        <v>Weekend</v>
      </c>
      <c r="G398" t="s">
        <v>12</v>
      </c>
      <c r="H398">
        <v>54</v>
      </c>
      <c r="I398" t="str" cm="1">
        <f t="array" ref="I398">_xlfn.IFS(Table14[[#This Row],[Age]]&lt;18,"Children",Table14[[#This Row],[Age]]&lt;50,"Adult",Table14[[#This Row],[Age]]&gt;=50,"Elderly")</f>
        <v>Elderly</v>
      </c>
      <c r="J398" t="s">
        <v>546</v>
      </c>
      <c r="K398" s="7">
        <v>394620</v>
      </c>
      <c r="L398" s="2" t="str" cm="1">
        <f t="array" ref="L398">_xlfn.IFS(Table14[[#This Row],[Treatment Cost]]&lt;50000,"Low Billing",Table14[[#This Row],[Treatment Cost]]&lt;200000,"Moderate Billing",Table14[[#This Row],[Treatment Cost]]&gt;=200000,"High Billing")</f>
        <v>High Billing</v>
      </c>
      <c r="M398" t="s">
        <v>8</v>
      </c>
      <c r="N398" t="str">
        <f>IF(AND(Table14[[#This Row],[Outcome]]="Follow-up",Table14[[#This Row],[Admission Status]]="Patient Discharged"),"High Risk Patient","Low Risk Patient")</f>
        <v>High Risk Patient</v>
      </c>
      <c r="O398" t="str">
        <f>IFERROR(VLOOKUP(Table14[[#This Row],[Department]],Doctor_Info!A:D,2,FALSE), "")</f>
        <v>Dr. Temi</v>
      </c>
      <c r="P398" t="str">
        <f>IF(COUNTIF(A:A,Table14[[#This Row],[Patient ID]]&gt;1),"Returning Patient","New Patient")</f>
        <v>New Patient</v>
      </c>
      <c r="Q398" t="str">
        <f>_xlfn.XLOOKUP(Table14[[#This Row],[Department]], Doctor_Info!A:A, Doctor_Info!C:C, "")&amp;""</f>
        <v>502</v>
      </c>
      <c r="R398" t="str">
        <f>TEXT(Table14[[#This Row],[Admission Date]],"ddd")</f>
        <v>Sat</v>
      </c>
      <c r="S398" t="str">
        <f>TEXT(Table14[[#This Row],[Admission Date]],"mmm")</f>
        <v>Feb</v>
      </c>
      <c r="T398" t="str">
        <f>TEXT(Table14[[#This Row],[Admission Date]],"yyyy")</f>
        <v>2024</v>
      </c>
      <c r="U398" t="str">
        <f>TEXT(Table14[[#This Row],[Admission Date]],"mmm-yyyy")</f>
        <v>Feb-2024</v>
      </c>
      <c r="V398">
        <f t="shared" ca="1" si="6"/>
        <v>8</v>
      </c>
    </row>
    <row r="399" spans="1:22" x14ac:dyDescent="0.2">
      <c r="A399" t="s">
        <v>418</v>
      </c>
      <c r="B399" s="3">
        <v>45327</v>
      </c>
      <c r="C399" s="3">
        <v>45328</v>
      </c>
      <c r="D399">
        <f ca="1">IF(ISBLANK(Table14[[#This Row],[Discharge Date]]),TODAY()-Table14[[#This Row],[Admission Date]], Table14[[#This Row],[Discharge Date]]-Table14[[#This Row],[Admission Date]])</f>
        <v>1</v>
      </c>
      <c r="E399" s="6" t="str">
        <f>IF(Table14[[#This Row],[Discharge Date]]="","Still Admitted","Patient Discharged")</f>
        <v>Patient Discharged</v>
      </c>
      <c r="F399" s="6" t="str">
        <f>IF(WEEKDAY(Table14[[#This Row],[Admission Date]],2)&gt;5,"Weekend","Weekday")</f>
        <v>Weekday</v>
      </c>
      <c r="G399" t="s">
        <v>528</v>
      </c>
      <c r="H399">
        <v>56</v>
      </c>
      <c r="I399" t="str" cm="1">
        <f t="array" ref="I399">_xlfn.IFS(Table14[[#This Row],[Age]]&lt;18,"Children",Table14[[#This Row],[Age]]&lt;50,"Adult",Table14[[#This Row],[Age]]&gt;=50,"Elderly")</f>
        <v>Elderly</v>
      </c>
      <c r="J399" t="s">
        <v>547</v>
      </c>
      <c r="K399" s="7">
        <v>395590</v>
      </c>
      <c r="L399" s="2" t="str" cm="1">
        <f t="array" ref="L399">_xlfn.IFS(Table14[[#This Row],[Treatment Cost]]&lt;50000,"Low Billing",Table14[[#This Row],[Treatment Cost]]&lt;200000,"Moderate Billing",Table14[[#This Row],[Treatment Cost]]&gt;=200000,"High Billing")</f>
        <v>High Billing</v>
      </c>
      <c r="M399" t="s">
        <v>6</v>
      </c>
      <c r="N399" t="str">
        <f>IF(AND(Table14[[#This Row],[Outcome]]="Follow-up",Table14[[#This Row],[Admission Status]]="Patient Discharged"),"High Risk Patient","Low Risk Patient")</f>
        <v>Low Risk Patient</v>
      </c>
      <c r="O399" t="str">
        <f>IFERROR(VLOOKUP(Table14[[#This Row],[Department]],Doctor_Info!A:D,2,FALSE), "")</f>
        <v>Dr. Kofi</v>
      </c>
      <c r="P399" t="str">
        <f>IF(COUNTIF(A:A,Table14[[#This Row],[Patient ID]]&gt;1),"Returning Patient","New Patient")</f>
        <v>New Patient</v>
      </c>
      <c r="Q399" t="str">
        <f>_xlfn.XLOOKUP(Table14[[#This Row],[Department]], Doctor_Info!A:A, Doctor_Info!C:C, "")&amp;""</f>
        <v>102</v>
      </c>
      <c r="R399" t="str">
        <f>TEXT(Table14[[#This Row],[Admission Date]],"ddd")</f>
        <v>Mon</v>
      </c>
      <c r="S399" t="str">
        <f>TEXT(Table14[[#This Row],[Admission Date]],"mmm")</f>
        <v>Feb</v>
      </c>
      <c r="T399" t="str">
        <f>TEXT(Table14[[#This Row],[Admission Date]],"yyyy")</f>
        <v>2024</v>
      </c>
      <c r="U399" t="str">
        <f>TEXT(Table14[[#This Row],[Admission Date]],"mmm-yyyy")</f>
        <v>Feb-2024</v>
      </c>
      <c r="V399">
        <f t="shared" ca="1" si="6"/>
        <v>8</v>
      </c>
    </row>
    <row r="400" spans="1:22" x14ac:dyDescent="0.2">
      <c r="A400" t="s">
        <v>419</v>
      </c>
      <c r="B400" s="3">
        <v>45332</v>
      </c>
      <c r="D400">
        <f ca="1">IF(ISBLANK(Table14[[#This Row],[Discharge Date]]),TODAY()-Table14[[#This Row],[Admission Date]], Table14[[#This Row],[Discharge Date]]-Table14[[#This Row],[Admission Date]])</f>
        <v>806</v>
      </c>
      <c r="E400" s="6" t="str">
        <f>IF(Table14[[#This Row],[Discharge Date]]="","Still Admitted","Patient Discharged")</f>
        <v>Still Admitted</v>
      </c>
      <c r="F400" s="6" t="str">
        <f>IF(WEEKDAY(Table14[[#This Row],[Admission Date]],2)&gt;5,"Weekend","Weekday")</f>
        <v>Weekend</v>
      </c>
      <c r="G400" t="s">
        <v>10</v>
      </c>
      <c r="H400">
        <v>58</v>
      </c>
      <c r="I400" t="str" cm="1">
        <f t="array" ref="I400">_xlfn.IFS(Table14[[#This Row],[Age]]&lt;18,"Children",Table14[[#This Row],[Age]]&lt;50,"Adult",Table14[[#This Row],[Age]]&gt;=50,"Elderly")</f>
        <v>Elderly</v>
      </c>
      <c r="J400" t="s">
        <v>547</v>
      </c>
      <c r="K400" s="7">
        <v>396560</v>
      </c>
      <c r="L400" s="2" t="str" cm="1">
        <f t="array" ref="L400">_xlfn.IFS(Table14[[#This Row],[Treatment Cost]]&lt;50000,"Low Billing",Table14[[#This Row],[Treatment Cost]]&lt;200000,"Moderate Billing",Table14[[#This Row],[Treatment Cost]]&gt;=200000,"High Billing")</f>
        <v>High Billing</v>
      </c>
      <c r="M400" t="s">
        <v>403</v>
      </c>
      <c r="N400" t="str">
        <f>IF(AND(Table14[[#This Row],[Outcome]]="Follow-up",Table14[[#This Row],[Admission Status]]="Patient Discharged"),"High Risk Patient","Low Risk Patient")</f>
        <v>Low Risk Patient</v>
      </c>
      <c r="O400" t="str">
        <f>IFERROR(VLOOKUP(Table14[[#This Row],[Department]],Doctor_Info!A:D,2,FALSE), "")</f>
        <v>Dr. George</v>
      </c>
      <c r="P400" t="str">
        <f>IF(COUNTIF(A:A,Table14[[#This Row],[Patient ID]]&gt;1),"Returning Patient","New Patient")</f>
        <v>New Patient</v>
      </c>
      <c r="Q400" t="str">
        <f>_xlfn.XLOOKUP(Table14[[#This Row],[Department]], Doctor_Info!A:A, Doctor_Info!C:C, "")&amp;""</f>
        <v>405</v>
      </c>
      <c r="R400" t="str">
        <f>TEXT(Table14[[#This Row],[Admission Date]],"ddd")</f>
        <v>Sat</v>
      </c>
      <c r="S400" t="str">
        <f>TEXT(Table14[[#This Row],[Admission Date]],"mmm")</f>
        <v>Feb</v>
      </c>
      <c r="T400" t="str">
        <f>TEXT(Table14[[#This Row],[Admission Date]],"yyyy")</f>
        <v>2024</v>
      </c>
      <c r="U400" t="str">
        <f>TEXT(Table14[[#This Row],[Admission Date]],"mmm-yyyy")</f>
        <v>Feb-2024</v>
      </c>
      <c r="V400">
        <f t="shared" ca="1" si="6"/>
        <v>8</v>
      </c>
    </row>
    <row r="401" spans="1:22" x14ac:dyDescent="0.2">
      <c r="A401" t="s">
        <v>420</v>
      </c>
      <c r="B401" s="3">
        <v>45319</v>
      </c>
      <c r="C401" s="3">
        <v>45327</v>
      </c>
      <c r="D401">
        <f ca="1">IF(ISBLANK(Table14[[#This Row],[Discharge Date]]),TODAY()-Table14[[#This Row],[Admission Date]], Table14[[#This Row],[Discharge Date]]-Table14[[#This Row],[Admission Date]])</f>
        <v>8</v>
      </c>
      <c r="E401" s="6" t="str">
        <f>IF(Table14[[#This Row],[Discharge Date]]="","Still Admitted","Patient Discharged")</f>
        <v>Patient Discharged</v>
      </c>
      <c r="F401" s="6" t="str">
        <f>IF(WEEKDAY(Table14[[#This Row],[Admission Date]],2)&gt;5,"Weekend","Weekday")</f>
        <v>Weekend</v>
      </c>
      <c r="G401" t="s">
        <v>7</v>
      </c>
      <c r="H401">
        <v>60</v>
      </c>
      <c r="I401" t="str" cm="1">
        <f t="array" ref="I401">_xlfn.IFS(Table14[[#This Row],[Age]]&lt;18,"Children",Table14[[#This Row],[Age]]&lt;50,"Adult",Table14[[#This Row],[Age]]&gt;=50,"Elderly")</f>
        <v>Elderly</v>
      </c>
      <c r="J401" t="s">
        <v>546</v>
      </c>
      <c r="K401" s="7">
        <v>397530</v>
      </c>
      <c r="L401" s="2" t="str" cm="1">
        <f t="array" ref="L401">_xlfn.IFS(Table14[[#This Row],[Treatment Cost]]&lt;50000,"Low Billing",Table14[[#This Row],[Treatment Cost]]&lt;200000,"Moderate Billing",Table14[[#This Row],[Treatment Cost]]&gt;=200000,"High Billing")</f>
        <v>High Billing</v>
      </c>
      <c r="M401" t="s">
        <v>8</v>
      </c>
      <c r="N401" t="str">
        <f>IF(AND(Table14[[#This Row],[Outcome]]="Follow-up",Table14[[#This Row],[Admission Status]]="Patient Discharged"),"High Risk Patient","Low Risk Patient")</f>
        <v>High Risk Patient</v>
      </c>
      <c r="O401" t="str">
        <f>IFERROR(VLOOKUP(Table14[[#This Row],[Department]],Doctor_Info!A:D,2,FALSE), "")</f>
        <v>Dr. Ada</v>
      </c>
      <c r="P401" t="str">
        <f>IF(COUNTIF(A:A,Table14[[#This Row],[Patient ID]]&gt;1),"Returning Patient","New Patient")</f>
        <v>New Patient</v>
      </c>
      <c r="Q401" t="str">
        <f>_xlfn.XLOOKUP(Table14[[#This Row],[Department]], Doctor_Info!A:A, Doctor_Info!C:C, "")&amp;""</f>
        <v>301</v>
      </c>
      <c r="R401" t="str">
        <f>TEXT(Table14[[#This Row],[Admission Date]],"ddd")</f>
        <v>Sun</v>
      </c>
      <c r="S401" t="str">
        <f>TEXT(Table14[[#This Row],[Admission Date]],"mmm")</f>
        <v>Jan</v>
      </c>
      <c r="T401" t="str">
        <f>TEXT(Table14[[#This Row],[Admission Date]],"yyyy")</f>
        <v>2024</v>
      </c>
      <c r="U401" t="str">
        <f>TEXT(Table14[[#This Row],[Admission Date]],"mmm-yyyy")</f>
        <v>Jan-2024</v>
      </c>
      <c r="V401">
        <f t="shared" ca="1" si="6"/>
        <v>8</v>
      </c>
    </row>
    <row r="402" spans="1:22" x14ac:dyDescent="0.2">
      <c r="A402" t="s">
        <v>421</v>
      </c>
      <c r="B402" s="3">
        <v>45323</v>
      </c>
      <c r="C402" s="3">
        <v>45324</v>
      </c>
      <c r="D402">
        <f ca="1">IF(ISBLANK(Table14[[#This Row],[Discharge Date]]),TODAY()-Table14[[#This Row],[Admission Date]], Table14[[#This Row],[Discharge Date]]-Table14[[#This Row],[Admission Date]])</f>
        <v>1</v>
      </c>
      <c r="E402" s="6" t="str">
        <f>IF(Table14[[#This Row],[Discharge Date]]="","Still Admitted","Patient Discharged")</f>
        <v>Patient Discharged</v>
      </c>
      <c r="F402" s="6" t="str">
        <f>IF(WEEKDAY(Table14[[#This Row],[Admission Date]],2)&gt;5,"Weekend","Weekday")</f>
        <v>Weekday</v>
      </c>
      <c r="G402" t="s">
        <v>528</v>
      </c>
      <c r="H402">
        <v>62</v>
      </c>
      <c r="I402" t="str" cm="1">
        <f t="array" ref="I402">_xlfn.IFS(Table14[[#This Row],[Age]]&lt;18,"Children",Table14[[#This Row],[Age]]&lt;50,"Adult",Table14[[#This Row],[Age]]&gt;=50,"Elderly")</f>
        <v>Elderly</v>
      </c>
      <c r="J402" t="s">
        <v>547</v>
      </c>
      <c r="K402" s="7">
        <v>398500</v>
      </c>
      <c r="L402" s="2" t="str" cm="1">
        <f t="array" ref="L402">_xlfn.IFS(Table14[[#This Row],[Treatment Cost]]&lt;50000,"Low Billing",Table14[[#This Row],[Treatment Cost]]&lt;200000,"Moderate Billing",Table14[[#This Row],[Treatment Cost]]&gt;=200000,"High Billing")</f>
        <v>High Billing</v>
      </c>
      <c r="M402" t="s">
        <v>6</v>
      </c>
      <c r="N402" t="str">
        <f>IF(AND(Table14[[#This Row],[Outcome]]="Follow-up",Table14[[#This Row],[Admission Status]]="Patient Discharged"),"High Risk Patient","Low Risk Patient")</f>
        <v>Low Risk Patient</v>
      </c>
      <c r="O402" t="str">
        <f>IFERROR(VLOOKUP(Table14[[#This Row],[Department]],Doctor_Info!A:D,2,FALSE), "")</f>
        <v>Dr. Kofi</v>
      </c>
      <c r="P402" t="str">
        <f>IF(COUNTIF(A:A,Table14[[#This Row],[Patient ID]]&gt;1),"Returning Patient","New Patient")</f>
        <v>New Patient</v>
      </c>
      <c r="Q402" t="str">
        <f>_xlfn.XLOOKUP(Table14[[#This Row],[Department]], Doctor_Info!A:A, Doctor_Info!C:C, "")&amp;""</f>
        <v>102</v>
      </c>
      <c r="R402" t="str">
        <f>TEXT(Table14[[#This Row],[Admission Date]],"ddd")</f>
        <v>Thu</v>
      </c>
      <c r="S402" t="str">
        <f>TEXT(Table14[[#This Row],[Admission Date]],"mmm")</f>
        <v>Feb</v>
      </c>
      <c r="T402" t="str">
        <f>TEXT(Table14[[#This Row],[Admission Date]],"yyyy")</f>
        <v>2024</v>
      </c>
      <c r="U402" t="str">
        <f>TEXT(Table14[[#This Row],[Admission Date]],"mmm-yyyy")</f>
        <v>Feb-2024</v>
      </c>
      <c r="V402">
        <f t="shared" ca="1" si="6"/>
        <v>8</v>
      </c>
    </row>
    <row r="403" spans="1:22" x14ac:dyDescent="0.2">
      <c r="A403" t="s">
        <v>422</v>
      </c>
      <c r="B403" s="3">
        <v>45325</v>
      </c>
      <c r="C403" s="3">
        <v>45337</v>
      </c>
      <c r="D403">
        <f ca="1">IF(ISBLANK(Table14[[#This Row],[Discharge Date]]),TODAY()-Table14[[#This Row],[Admission Date]], Table14[[#This Row],[Discharge Date]]-Table14[[#This Row],[Admission Date]])</f>
        <v>12</v>
      </c>
      <c r="E403" s="6" t="str">
        <f>IF(Table14[[#This Row],[Discharge Date]]="","Still Admitted","Patient Discharged")</f>
        <v>Patient Discharged</v>
      </c>
      <c r="F403" s="6" t="str">
        <f>IF(WEEKDAY(Table14[[#This Row],[Admission Date]],2)&gt;5,"Weekend","Weekday")</f>
        <v>Weekend</v>
      </c>
      <c r="G403" t="s">
        <v>12</v>
      </c>
      <c r="H403">
        <v>64</v>
      </c>
      <c r="I403" t="str" cm="1">
        <f t="array" ref="I403">_xlfn.IFS(Table14[[#This Row],[Age]]&lt;18,"Children",Table14[[#This Row],[Age]]&lt;50,"Adult",Table14[[#This Row],[Age]]&gt;=50,"Elderly")</f>
        <v>Elderly</v>
      </c>
      <c r="J403" t="s">
        <v>546</v>
      </c>
      <c r="K403" s="7">
        <v>399470</v>
      </c>
      <c r="L403" s="2" t="str" cm="1">
        <f t="array" ref="L403">_xlfn.IFS(Table14[[#This Row],[Treatment Cost]]&lt;50000,"Low Billing",Table14[[#This Row],[Treatment Cost]]&lt;200000,"Moderate Billing",Table14[[#This Row],[Treatment Cost]]&gt;=200000,"High Billing")</f>
        <v>High Billing</v>
      </c>
      <c r="M403" t="s">
        <v>8</v>
      </c>
      <c r="N403" t="str">
        <f>IF(AND(Table14[[#This Row],[Outcome]]="Follow-up",Table14[[#This Row],[Admission Status]]="Patient Discharged"),"High Risk Patient","Low Risk Patient")</f>
        <v>High Risk Patient</v>
      </c>
      <c r="O403" t="str">
        <f>IFERROR(VLOOKUP(Table14[[#This Row],[Department]],Doctor_Info!A:D,2,FALSE), "")</f>
        <v>Dr. Temi</v>
      </c>
      <c r="P403" t="str">
        <f>IF(COUNTIF(A:A,Table14[[#This Row],[Patient ID]]&gt;1),"Returning Patient","New Patient")</f>
        <v>New Patient</v>
      </c>
      <c r="Q403" t="str">
        <f>_xlfn.XLOOKUP(Table14[[#This Row],[Department]], Doctor_Info!A:A, Doctor_Info!C:C, "")&amp;""</f>
        <v>502</v>
      </c>
      <c r="R403" t="str">
        <f>TEXT(Table14[[#This Row],[Admission Date]],"ddd")</f>
        <v>Sat</v>
      </c>
      <c r="S403" t="str">
        <f>TEXT(Table14[[#This Row],[Admission Date]],"mmm")</f>
        <v>Feb</v>
      </c>
      <c r="T403" t="str">
        <f>TEXT(Table14[[#This Row],[Admission Date]],"yyyy")</f>
        <v>2024</v>
      </c>
      <c r="U403" t="str">
        <f>TEXT(Table14[[#This Row],[Admission Date]],"mmm-yyyy")</f>
        <v>Feb-2024</v>
      </c>
      <c r="V403">
        <f t="shared" ca="1" si="6"/>
        <v>8</v>
      </c>
    </row>
    <row r="404" spans="1:22" x14ac:dyDescent="0.2">
      <c r="A404" t="s">
        <v>423</v>
      </c>
      <c r="B404" s="3">
        <v>45327</v>
      </c>
      <c r="C404" s="3">
        <v>45328</v>
      </c>
      <c r="D404">
        <f ca="1">IF(ISBLANK(Table14[[#This Row],[Discharge Date]]),TODAY()-Table14[[#This Row],[Admission Date]], Table14[[#This Row],[Discharge Date]]-Table14[[#This Row],[Admission Date]])</f>
        <v>1</v>
      </c>
      <c r="E404" s="6" t="str">
        <f>IF(Table14[[#This Row],[Discharge Date]]="","Still Admitted","Patient Discharged")</f>
        <v>Patient Discharged</v>
      </c>
      <c r="F404" s="6" t="str">
        <f>IF(WEEKDAY(Table14[[#This Row],[Admission Date]],2)&gt;5,"Weekend","Weekday")</f>
        <v>Weekday</v>
      </c>
      <c r="G404" t="s">
        <v>528</v>
      </c>
      <c r="H404">
        <v>66</v>
      </c>
      <c r="I404" t="str" cm="1">
        <f t="array" ref="I404">_xlfn.IFS(Table14[[#This Row],[Age]]&lt;18,"Children",Table14[[#This Row],[Age]]&lt;50,"Adult",Table14[[#This Row],[Age]]&gt;=50,"Elderly")</f>
        <v>Elderly</v>
      </c>
      <c r="J404" t="s">
        <v>547</v>
      </c>
      <c r="K404" s="7">
        <v>400440</v>
      </c>
      <c r="L404" s="2" t="str" cm="1">
        <f t="array" ref="L404">_xlfn.IFS(Table14[[#This Row],[Treatment Cost]]&lt;50000,"Low Billing",Table14[[#This Row],[Treatment Cost]]&lt;200000,"Moderate Billing",Table14[[#This Row],[Treatment Cost]]&gt;=200000,"High Billing")</f>
        <v>High Billing</v>
      </c>
      <c r="M404" t="s">
        <v>6</v>
      </c>
      <c r="N404" t="str">
        <f>IF(AND(Table14[[#This Row],[Outcome]]="Follow-up",Table14[[#This Row],[Admission Status]]="Patient Discharged"),"High Risk Patient","Low Risk Patient")</f>
        <v>Low Risk Patient</v>
      </c>
      <c r="O404" t="str">
        <f>IFERROR(VLOOKUP(Table14[[#This Row],[Department]],Doctor_Info!A:D,2,FALSE), "")</f>
        <v>Dr. Kofi</v>
      </c>
      <c r="P404" t="str">
        <f>IF(COUNTIF(A:A,Table14[[#This Row],[Patient ID]]&gt;1),"Returning Patient","New Patient")</f>
        <v>New Patient</v>
      </c>
      <c r="Q404" t="str">
        <f>_xlfn.XLOOKUP(Table14[[#This Row],[Department]], Doctor_Info!A:A, Doctor_Info!C:C, "")&amp;""</f>
        <v>102</v>
      </c>
      <c r="R404" t="str">
        <f>TEXT(Table14[[#This Row],[Admission Date]],"ddd")</f>
        <v>Mon</v>
      </c>
      <c r="S404" t="str">
        <f>TEXT(Table14[[#This Row],[Admission Date]],"mmm")</f>
        <v>Feb</v>
      </c>
      <c r="T404" t="str">
        <f>TEXT(Table14[[#This Row],[Admission Date]],"yyyy")</f>
        <v>2024</v>
      </c>
      <c r="U404" t="str">
        <f>TEXT(Table14[[#This Row],[Admission Date]],"mmm-yyyy")</f>
        <v>Feb-2024</v>
      </c>
      <c r="V404">
        <f t="shared" ca="1" si="6"/>
        <v>8</v>
      </c>
    </row>
    <row r="405" spans="1:22" x14ac:dyDescent="0.2">
      <c r="A405" t="s">
        <v>424</v>
      </c>
      <c r="B405" s="3">
        <v>45332</v>
      </c>
      <c r="D405">
        <f ca="1">IF(ISBLANK(Table14[[#This Row],[Discharge Date]]),TODAY()-Table14[[#This Row],[Admission Date]], Table14[[#This Row],[Discharge Date]]-Table14[[#This Row],[Admission Date]])</f>
        <v>806</v>
      </c>
      <c r="E405" s="6" t="str">
        <f>IF(Table14[[#This Row],[Discharge Date]]="","Still Admitted","Patient Discharged")</f>
        <v>Still Admitted</v>
      </c>
      <c r="F405" s="6" t="str">
        <f>IF(WEEKDAY(Table14[[#This Row],[Admission Date]],2)&gt;5,"Weekend","Weekday")</f>
        <v>Weekend</v>
      </c>
      <c r="G405" t="s">
        <v>10</v>
      </c>
      <c r="H405">
        <v>68</v>
      </c>
      <c r="I405" t="str" cm="1">
        <f t="array" ref="I405">_xlfn.IFS(Table14[[#This Row],[Age]]&lt;18,"Children",Table14[[#This Row],[Age]]&lt;50,"Adult",Table14[[#This Row],[Age]]&gt;=50,"Elderly")</f>
        <v>Elderly</v>
      </c>
      <c r="J405" t="s">
        <v>547</v>
      </c>
      <c r="K405" s="7">
        <v>401410</v>
      </c>
      <c r="L405" s="2" t="str" cm="1">
        <f t="array" ref="L405">_xlfn.IFS(Table14[[#This Row],[Treatment Cost]]&lt;50000,"Low Billing",Table14[[#This Row],[Treatment Cost]]&lt;200000,"Moderate Billing",Table14[[#This Row],[Treatment Cost]]&gt;=200000,"High Billing")</f>
        <v>High Billing</v>
      </c>
      <c r="M405" t="s">
        <v>403</v>
      </c>
      <c r="N405" t="str">
        <f>IF(AND(Table14[[#This Row],[Outcome]]="Follow-up",Table14[[#This Row],[Admission Status]]="Patient Discharged"),"High Risk Patient","Low Risk Patient")</f>
        <v>Low Risk Patient</v>
      </c>
      <c r="O405" t="str">
        <f>IFERROR(VLOOKUP(Table14[[#This Row],[Department]],Doctor_Info!A:D,2,FALSE), "")</f>
        <v>Dr. George</v>
      </c>
      <c r="P405" t="str">
        <f>IF(COUNTIF(A:A,Table14[[#This Row],[Patient ID]]&gt;1),"Returning Patient","New Patient")</f>
        <v>New Patient</v>
      </c>
      <c r="Q405" t="str">
        <f>_xlfn.XLOOKUP(Table14[[#This Row],[Department]], Doctor_Info!A:A, Doctor_Info!C:C, "")&amp;""</f>
        <v>405</v>
      </c>
      <c r="R405" t="str">
        <f>TEXT(Table14[[#This Row],[Admission Date]],"ddd")</f>
        <v>Sat</v>
      </c>
      <c r="S405" t="str">
        <f>TEXT(Table14[[#This Row],[Admission Date]],"mmm")</f>
        <v>Feb</v>
      </c>
      <c r="T405" t="str">
        <f>TEXT(Table14[[#This Row],[Admission Date]],"yyyy")</f>
        <v>2024</v>
      </c>
      <c r="U405" t="str">
        <f>TEXT(Table14[[#This Row],[Admission Date]],"mmm-yyyy")</f>
        <v>Feb-2024</v>
      </c>
      <c r="V405">
        <f t="shared" ca="1" si="6"/>
        <v>8</v>
      </c>
    </row>
    <row r="406" spans="1:22" x14ac:dyDescent="0.2">
      <c r="A406" t="s">
        <v>425</v>
      </c>
      <c r="B406" s="3">
        <v>45319</v>
      </c>
      <c r="C406" s="3">
        <v>45327</v>
      </c>
      <c r="D406">
        <f ca="1">IF(ISBLANK(Table14[[#This Row],[Discharge Date]]),TODAY()-Table14[[#This Row],[Admission Date]], Table14[[#This Row],[Discharge Date]]-Table14[[#This Row],[Admission Date]])</f>
        <v>8</v>
      </c>
      <c r="E406" s="6" t="str">
        <f>IF(Table14[[#This Row],[Discharge Date]]="","Still Admitted","Patient Discharged")</f>
        <v>Patient Discharged</v>
      </c>
      <c r="F406" s="6" t="str">
        <f>IF(WEEKDAY(Table14[[#This Row],[Admission Date]],2)&gt;5,"Weekend","Weekday")</f>
        <v>Weekend</v>
      </c>
      <c r="G406" t="s">
        <v>7</v>
      </c>
      <c r="H406">
        <v>70</v>
      </c>
      <c r="I406" t="str" cm="1">
        <f t="array" ref="I406">_xlfn.IFS(Table14[[#This Row],[Age]]&lt;18,"Children",Table14[[#This Row],[Age]]&lt;50,"Adult",Table14[[#This Row],[Age]]&gt;=50,"Elderly")</f>
        <v>Elderly</v>
      </c>
      <c r="J406" t="s">
        <v>546</v>
      </c>
      <c r="K406" s="7">
        <v>402380</v>
      </c>
      <c r="L406" s="2" t="str" cm="1">
        <f t="array" ref="L406">_xlfn.IFS(Table14[[#This Row],[Treatment Cost]]&lt;50000,"Low Billing",Table14[[#This Row],[Treatment Cost]]&lt;200000,"Moderate Billing",Table14[[#This Row],[Treatment Cost]]&gt;=200000,"High Billing")</f>
        <v>High Billing</v>
      </c>
      <c r="M406" t="s">
        <v>8</v>
      </c>
      <c r="N406" t="str">
        <f>IF(AND(Table14[[#This Row],[Outcome]]="Follow-up",Table14[[#This Row],[Admission Status]]="Patient Discharged"),"High Risk Patient","Low Risk Patient")</f>
        <v>High Risk Patient</v>
      </c>
      <c r="O406" t="str">
        <f>IFERROR(VLOOKUP(Table14[[#This Row],[Department]],Doctor_Info!A:D,2,FALSE), "")</f>
        <v>Dr. Ada</v>
      </c>
      <c r="P406" t="str">
        <f>IF(COUNTIF(A:A,Table14[[#This Row],[Patient ID]]&gt;1),"Returning Patient","New Patient")</f>
        <v>New Patient</v>
      </c>
      <c r="Q406" t="str">
        <f>_xlfn.XLOOKUP(Table14[[#This Row],[Department]], Doctor_Info!A:A, Doctor_Info!C:C, "")&amp;""</f>
        <v>301</v>
      </c>
      <c r="R406" t="str">
        <f>TEXT(Table14[[#This Row],[Admission Date]],"ddd")</f>
        <v>Sun</v>
      </c>
      <c r="S406" t="str">
        <f>TEXT(Table14[[#This Row],[Admission Date]],"mmm")</f>
        <v>Jan</v>
      </c>
      <c r="T406" t="str">
        <f>TEXT(Table14[[#This Row],[Admission Date]],"yyyy")</f>
        <v>2024</v>
      </c>
      <c r="U406" t="str">
        <f>TEXT(Table14[[#This Row],[Admission Date]],"mmm-yyyy")</f>
        <v>Jan-2024</v>
      </c>
      <c r="V406">
        <f t="shared" ca="1" si="6"/>
        <v>8</v>
      </c>
    </row>
    <row r="407" spans="1:22" x14ac:dyDescent="0.2">
      <c r="A407" t="s">
        <v>426</v>
      </c>
      <c r="B407" s="3">
        <v>45323</v>
      </c>
      <c r="C407" s="3">
        <v>45324</v>
      </c>
      <c r="D407">
        <f ca="1">IF(ISBLANK(Table14[[#This Row],[Discharge Date]]),TODAY()-Table14[[#This Row],[Admission Date]], Table14[[#This Row],[Discharge Date]]-Table14[[#This Row],[Admission Date]])</f>
        <v>1</v>
      </c>
      <c r="E407" s="6" t="str">
        <f>IF(Table14[[#This Row],[Discharge Date]]="","Still Admitted","Patient Discharged")</f>
        <v>Patient Discharged</v>
      </c>
      <c r="F407" s="6" t="str">
        <f>IF(WEEKDAY(Table14[[#This Row],[Admission Date]],2)&gt;5,"Weekend","Weekday")</f>
        <v>Weekday</v>
      </c>
      <c r="G407" t="s">
        <v>528</v>
      </c>
      <c r="H407">
        <v>72</v>
      </c>
      <c r="I407" t="str" cm="1">
        <f t="array" ref="I407">_xlfn.IFS(Table14[[#This Row],[Age]]&lt;18,"Children",Table14[[#This Row],[Age]]&lt;50,"Adult",Table14[[#This Row],[Age]]&gt;=50,"Elderly")</f>
        <v>Elderly</v>
      </c>
      <c r="J407" t="s">
        <v>547</v>
      </c>
      <c r="K407" s="7">
        <v>403350</v>
      </c>
      <c r="L407" s="2" t="str" cm="1">
        <f t="array" ref="L407">_xlfn.IFS(Table14[[#This Row],[Treatment Cost]]&lt;50000,"Low Billing",Table14[[#This Row],[Treatment Cost]]&lt;200000,"Moderate Billing",Table14[[#This Row],[Treatment Cost]]&gt;=200000,"High Billing")</f>
        <v>High Billing</v>
      </c>
      <c r="M407" t="s">
        <v>6</v>
      </c>
      <c r="N407" t="str">
        <f>IF(AND(Table14[[#This Row],[Outcome]]="Follow-up",Table14[[#This Row],[Admission Status]]="Patient Discharged"),"High Risk Patient","Low Risk Patient")</f>
        <v>Low Risk Patient</v>
      </c>
      <c r="O407" t="str">
        <f>IFERROR(VLOOKUP(Table14[[#This Row],[Department]],Doctor_Info!A:D,2,FALSE), "")</f>
        <v>Dr. Kofi</v>
      </c>
      <c r="P407" t="str">
        <f>IF(COUNTIF(A:A,Table14[[#This Row],[Patient ID]]&gt;1),"Returning Patient","New Patient")</f>
        <v>New Patient</v>
      </c>
      <c r="Q407" t="str">
        <f>_xlfn.XLOOKUP(Table14[[#This Row],[Department]], Doctor_Info!A:A, Doctor_Info!C:C, "")&amp;""</f>
        <v>102</v>
      </c>
      <c r="R407" t="str">
        <f>TEXT(Table14[[#This Row],[Admission Date]],"ddd")</f>
        <v>Thu</v>
      </c>
      <c r="S407" t="str">
        <f>TEXT(Table14[[#This Row],[Admission Date]],"mmm")</f>
        <v>Feb</v>
      </c>
      <c r="T407" t="str">
        <f>TEXT(Table14[[#This Row],[Admission Date]],"yyyy")</f>
        <v>2024</v>
      </c>
      <c r="U407" t="str">
        <f>TEXT(Table14[[#This Row],[Admission Date]],"mmm-yyyy")</f>
        <v>Feb-2024</v>
      </c>
      <c r="V407">
        <f t="shared" ca="1" si="6"/>
        <v>8</v>
      </c>
    </row>
    <row r="408" spans="1:22" x14ac:dyDescent="0.2">
      <c r="A408" t="s">
        <v>427</v>
      </c>
      <c r="B408" s="3">
        <v>45325</v>
      </c>
      <c r="C408" s="3">
        <v>45337</v>
      </c>
      <c r="D408">
        <f ca="1">IF(ISBLANK(Table14[[#This Row],[Discharge Date]]),TODAY()-Table14[[#This Row],[Admission Date]], Table14[[#This Row],[Discharge Date]]-Table14[[#This Row],[Admission Date]])</f>
        <v>12</v>
      </c>
      <c r="E408" s="6" t="str">
        <f>IF(Table14[[#This Row],[Discharge Date]]="","Still Admitted","Patient Discharged")</f>
        <v>Patient Discharged</v>
      </c>
      <c r="F408" s="6" t="str">
        <f>IF(WEEKDAY(Table14[[#This Row],[Admission Date]],2)&gt;5,"Weekend","Weekday")</f>
        <v>Weekend</v>
      </c>
      <c r="G408" t="s">
        <v>12</v>
      </c>
      <c r="H408">
        <v>74</v>
      </c>
      <c r="I408" t="str" cm="1">
        <f t="array" ref="I408">_xlfn.IFS(Table14[[#This Row],[Age]]&lt;18,"Children",Table14[[#This Row],[Age]]&lt;50,"Adult",Table14[[#This Row],[Age]]&gt;=50,"Elderly")</f>
        <v>Elderly</v>
      </c>
      <c r="J408" t="s">
        <v>546</v>
      </c>
      <c r="K408" s="7">
        <v>404320</v>
      </c>
      <c r="L408" s="2" t="str" cm="1">
        <f t="array" ref="L408">_xlfn.IFS(Table14[[#This Row],[Treatment Cost]]&lt;50000,"Low Billing",Table14[[#This Row],[Treatment Cost]]&lt;200000,"Moderate Billing",Table14[[#This Row],[Treatment Cost]]&gt;=200000,"High Billing")</f>
        <v>High Billing</v>
      </c>
      <c r="M408" t="s">
        <v>8</v>
      </c>
      <c r="N408" t="str">
        <f>IF(AND(Table14[[#This Row],[Outcome]]="Follow-up",Table14[[#This Row],[Admission Status]]="Patient Discharged"),"High Risk Patient","Low Risk Patient")</f>
        <v>High Risk Patient</v>
      </c>
      <c r="O408" t="str">
        <f>IFERROR(VLOOKUP(Table14[[#This Row],[Department]],Doctor_Info!A:D,2,FALSE), "")</f>
        <v>Dr. Temi</v>
      </c>
      <c r="P408" t="str">
        <f>IF(COUNTIF(A:A,Table14[[#This Row],[Patient ID]]&gt;1),"Returning Patient","New Patient")</f>
        <v>New Patient</v>
      </c>
      <c r="Q408" t="str">
        <f>_xlfn.XLOOKUP(Table14[[#This Row],[Department]], Doctor_Info!A:A, Doctor_Info!C:C, "")&amp;""</f>
        <v>502</v>
      </c>
      <c r="R408" t="str">
        <f>TEXT(Table14[[#This Row],[Admission Date]],"ddd")</f>
        <v>Sat</v>
      </c>
      <c r="S408" t="str">
        <f>TEXT(Table14[[#This Row],[Admission Date]],"mmm")</f>
        <v>Feb</v>
      </c>
      <c r="T408" t="str">
        <f>TEXT(Table14[[#This Row],[Admission Date]],"yyyy")</f>
        <v>2024</v>
      </c>
      <c r="U408" t="str">
        <f>TEXT(Table14[[#This Row],[Admission Date]],"mmm-yyyy")</f>
        <v>Feb-2024</v>
      </c>
      <c r="V408">
        <f t="shared" ca="1" si="6"/>
        <v>8</v>
      </c>
    </row>
    <row r="409" spans="1:22" x14ac:dyDescent="0.2">
      <c r="A409" t="s">
        <v>428</v>
      </c>
      <c r="B409" s="3">
        <v>45327</v>
      </c>
      <c r="C409" s="3">
        <v>45328</v>
      </c>
      <c r="D409">
        <f ca="1">IF(ISBLANK(Table14[[#This Row],[Discharge Date]]),TODAY()-Table14[[#This Row],[Admission Date]], Table14[[#This Row],[Discharge Date]]-Table14[[#This Row],[Admission Date]])</f>
        <v>1</v>
      </c>
      <c r="E409" s="6" t="str">
        <f>IF(Table14[[#This Row],[Discharge Date]]="","Still Admitted","Patient Discharged")</f>
        <v>Patient Discharged</v>
      </c>
      <c r="F409" s="6" t="str">
        <f>IF(WEEKDAY(Table14[[#This Row],[Admission Date]],2)&gt;5,"Weekend","Weekday")</f>
        <v>Weekday</v>
      </c>
      <c r="G409" t="s">
        <v>528</v>
      </c>
      <c r="H409">
        <v>76</v>
      </c>
      <c r="I409" t="str" cm="1">
        <f t="array" ref="I409">_xlfn.IFS(Table14[[#This Row],[Age]]&lt;18,"Children",Table14[[#This Row],[Age]]&lt;50,"Adult",Table14[[#This Row],[Age]]&gt;=50,"Elderly")</f>
        <v>Elderly</v>
      </c>
      <c r="J409" t="s">
        <v>547</v>
      </c>
      <c r="K409" s="7">
        <v>405290</v>
      </c>
      <c r="L409" s="2" t="str" cm="1">
        <f t="array" ref="L409">_xlfn.IFS(Table14[[#This Row],[Treatment Cost]]&lt;50000,"Low Billing",Table14[[#This Row],[Treatment Cost]]&lt;200000,"Moderate Billing",Table14[[#This Row],[Treatment Cost]]&gt;=200000,"High Billing")</f>
        <v>High Billing</v>
      </c>
      <c r="M409" t="s">
        <v>6</v>
      </c>
      <c r="N409" t="str">
        <f>IF(AND(Table14[[#This Row],[Outcome]]="Follow-up",Table14[[#This Row],[Admission Status]]="Patient Discharged"),"High Risk Patient","Low Risk Patient")</f>
        <v>Low Risk Patient</v>
      </c>
      <c r="O409" t="str">
        <f>IFERROR(VLOOKUP(Table14[[#This Row],[Department]],Doctor_Info!A:D,2,FALSE), "")</f>
        <v>Dr. Kofi</v>
      </c>
      <c r="P409" t="str">
        <f>IF(COUNTIF(A:A,Table14[[#This Row],[Patient ID]]&gt;1),"Returning Patient","New Patient")</f>
        <v>New Patient</v>
      </c>
      <c r="Q409" t="str">
        <f>_xlfn.XLOOKUP(Table14[[#This Row],[Department]], Doctor_Info!A:A, Doctor_Info!C:C, "")&amp;""</f>
        <v>102</v>
      </c>
      <c r="R409" t="str">
        <f>TEXT(Table14[[#This Row],[Admission Date]],"ddd")</f>
        <v>Mon</v>
      </c>
      <c r="S409" t="str">
        <f>TEXT(Table14[[#This Row],[Admission Date]],"mmm")</f>
        <v>Feb</v>
      </c>
      <c r="T409" t="str">
        <f>TEXT(Table14[[#This Row],[Admission Date]],"yyyy")</f>
        <v>2024</v>
      </c>
      <c r="U409" t="str">
        <f>TEXT(Table14[[#This Row],[Admission Date]],"mmm-yyyy")</f>
        <v>Feb-2024</v>
      </c>
      <c r="V409">
        <f t="shared" ca="1" si="6"/>
        <v>8</v>
      </c>
    </row>
    <row r="410" spans="1:22" x14ac:dyDescent="0.2">
      <c r="A410" t="s">
        <v>429</v>
      </c>
      <c r="B410" s="3">
        <v>45332</v>
      </c>
      <c r="D410">
        <f ca="1">IF(ISBLANK(Table14[[#This Row],[Discharge Date]]),TODAY()-Table14[[#This Row],[Admission Date]], Table14[[#This Row],[Discharge Date]]-Table14[[#This Row],[Admission Date]])</f>
        <v>806</v>
      </c>
      <c r="E410" s="6" t="str">
        <f>IF(Table14[[#This Row],[Discharge Date]]="","Still Admitted","Patient Discharged")</f>
        <v>Still Admitted</v>
      </c>
      <c r="F410" s="6" t="str">
        <f>IF(WEEKDAY(Table14[[#This Row],[Admission Date]],2)&gt;5,"Weekend","Weekday")</f>
        <v>Weekend</v>
      </c>
      <c r="G410" t="s">
        <v>10</v>
      </c>
      <c r="H410">
        <v>78</v>
      </c>
      <c r="I410" t="str" cm="1">
        <f t="array" ref="I410">_xlfn.IFS(Table14[[#This Row],[Age]]&lt;18,"Children",Table14[[#This Row],[Age]]&lt;50,"Adult",Table14[[#This Row],[Age]]&gt;=50,"Elderly")</f>
        <v>Elderly</v>
      </c>
      <c r="J410" t="s">
        <v>547</v>
      </c>
      <c r="K410" s="7">
        <v>406260</v>
      </c>
      <c r="L410" s="2" t="str" cm="1">
        <f t="array" ref="L410">_xlfn.IFS(Table14[[#This Row],[Treatment Cost]]&lt;50000,"Low Billing",Table14[[#This Row],[Treatment Cost]]&lt;200000,"Moderate Billing",Table14[[#This Row],[Treatment Cost]]&gt;=200000,"High Billing")</f>
        <v>High Billing</v>
      </c>
      <c r="M410" t="s">
        <v>403</v>
      </c>
      <c r="N410" t="str">
        <f>IF(AND(Table14[[#This Row],[Outcome]]="Follow-up",Table14[[#This Row],[Admission Status]]="Patient Discharged"),"High Risk Patient","Low Risk Patient")</f>
        <v>Low Risk Patient</v>
      </c>
      <c r="O410" t="str">
        <f>IFERROR(VLOOKUP(Table14[[#This Row],[Department]],Doctor_Info!A:D,2,FALSE), "")</f>
        <v>Dr. George</v>
      </c>
      <c r="P410" t="str">
        <f>IF(COUNTIF(A:A,Table14[[#This Row],[Patient ID]]&gt;1),"Returning Patient","New Patient")</f>
        <v>New Patient</v>
      </c>
      <c r="Q410" t="str">
        <f>_xlfn.XLOOKUP(Table14[[#This Row],[Department]], Doctor_Info!A:A, Doctor_Info!C:C, "")&amp;""</f>
        <v>405</v>
      </c>
      <c r="R410" t="str">
        <f>TEXT(Table14[[#This Row],[Admission Date]],"ddd")</f>
        <v>Sat</v>
      </c>
      <c r="S410" t="str">
        <f>TEXT(Table14[[#This Row],[Admission Date]],"mmm")</f>
        <v>Feb</v>
      </c>
      <c r="T410" t="str">
        <f>TEXT(Table14[[#This Row],[Admission Date]],"yyyy")</f>
        <v>2024</v>
      </c>
      <c r="U410" t="str">
        <f>TEXT(Table14[[#This Row],[Admission Date]],"mmm-yyyy")</f>
        <v>Feb-2024</v>
      </c>
      <c r="V410">
        <f t="shared" ca="1" si="6"/>
        <v>8</v>
      </c>
    </row>
    <row r="411" spans="1:22" x14ac:dyDescent="0.2">
      <c r="A411" t="s">
        <v>430</v>
      </c>
      <c r="B411" s="3">
        <v>45319</v>
      </c>
      <c r="C411" s="3">
        <v>45327</v>
      </c>
      <c r="D411">
        <f ca="1">IF(ISBLANK(Table14[[#This Row],[Discharge Date]]),TODAY()-Table14[[#This Row],[Admission Date]], Table14[[#This Row],[Discharge Date]]-Table14[[#This Row],[Admission Date]])</f>
        <v>8</v>
      </c>
      <c r="E411" s="6" t="str">
        <f>IF(Table14[[#This Row],[Discharge Date]]="","Still Admitted","Patient Discharged")</f>
        <v>Patient Discharged</v>
      </c>
      <c r="F411" s="6" t="str">
        <f>IF(WEEKDAY(Table14[[#This Row],[Admission Date]],2)&gt;5,"Weekend","Weekday")</f>
        <v>Weekend</v>
      </c>
      <c r="G411" t="s">
        <v>7</v>
      </c>
      <c r="H411">
        <v>80</v>
      </c>
      <c r="I411" t="str" cm="1">
        <f t="array" ref="I411">_xlfn.IFS(Table14[[#This Row],[Age]]&lt;18,"Children",Table14[[#This Row],[Age]]&lt;50,"Adult",Table14[[#This Row],[Age]]&gt;=50,"Elderly")</f>
        <v>Elderly</v>
      </c>
      <c r="J411" t="s">
        <v>546</v>
      </c>
      <c r="K411" s="7">
        <v>407230</v>
      </c>
      <c r="L411" s="2" t="str" cm="1">
        <f t="array" ref="L411">_xlfn.IFS(Table14[[#This Row],[Treatment Cost]]&lt;50000,"Low Billing",Table14[[#This Row],[Treatment Cost]]&lt;200000,"Moderate Billing",Table14[[#This Row],[Treatment Cost]]&gt;=200000,"High Billing")</f>
        <v>High Billing</v>
      </c>
      <c r="M411" t="s">
        <v>8</v>
      </c>
      <c r="N411" t="str">
        <f>IF(AND(Table14[[#This Row],[Outcome]]="Follow-up",Table14[[#This Row],[Admission Status]]="Patient Discharged"),"High Risk Patient","Low Risk Patient")</f>
        <v>High Risk Patient</v>
      </c>
      <c r="O411" t="str">
        <f>IFERROR(VLOOKUP(Table14[[#This Row],[Department]],Doctor_Info!A:D,2,FALSE), "")</f>
        <v>Dr. Ada</v>
      </c>
      <c r="P411" t="str">
        <f>IF(COUNTIF(A:A,Table14[[#This Row],[Patient ID]]&gt;1),"Returning Patient","New Patient")</f>
        <v>New Patient</v>
      </c>
      <c r="Q411" t="str">
        <f>_xlfn.XLOOKUP(Table14[[#This Row],[Department]], Doctor_Info!A:A, Doctor_Info!C:C, "")&amp;""</f>
        <v>301</v>
      </c>
      <c r="R411" t="str">
        <f>TEXT(Table14[[#This Row],[Admission Date]],"ddd")</f>
        <v>Sun</v>
      </c>
      <c r="S411" t="str">
        <f>TEXT(Table14[[#This Row],[Admission Date]],"mmm")</f>
        <v>Jan</v>
      </c>
      <c r="T411" t="str">
        <f>TEXT(Table14[[#This Row],[Admission Date]],"yyyy")</f>
        <v>2024</v>
      </c>
      <c r="U411" t="str">
        <f>TEXT(Table14[[#This Row],[Admission Date]],"mmm-yyyy")</f>
        <v>Jan-2024</v>
      </c>
      <c r="V411">
        <f t="shared" ca="1" si="6"/>
        <v>8</v>
      </c>
    </row>
    <row r="412" spans="1:22" x14ac:dyDescent="0.2">
      <c r="A412" t="s">
        <v>431</v>
      </c>
      <c r="B412" s="3">
        <v>45323</v>
      </c>
      <c r="C412" s="3">
        <v>45324</v>
      </c>
      <c r="D412">
        <f ca="1">IF(ISBLANK(Table14[[#This Row],[Discharge Date]]),TODAY()-Table14[[#This Row],[Admission Date]], Table14[[#This Row],[Discharge Date]]-Table14[[#This Row],[Admission Date]])</f>
        <v>1</v>
      </c>
      <c r="E412" s="6" t="str">
        <f>IF(Table14[[#This Row],[Discharge Date]]="","Still Admitted","Patient Discharged")</f>
        <v>Patient Discharged</v>
      </c>
      <c r="F412" s="6" t="str">
        <f>IF(WEEKDAY(Table14[[#This Row],[Admission Date]],2)&gt;5,"Weekend","Weekday")</f>
        <v>Weekday</v>
      </c>
      <c r="G412" t="s">
        <v>528</v>
      </c>
      <c r="H412">
        <v>82</v>
      </c>
      <c r="I412" t="str" cm="1">
        <f t="array" ref="I412">_xlfn.IFS(Table14[[#This Row],[Age]]&lt;18,"Children",Table14[[#This Row],[Age]]&lt;50,"Adult",Table14[[#This Row],[Age]]&gt;=50,"Elderly")</f>
        <v>Elderly</v>
      </c>
      <c r="J412" t="s">
        <v>547</v>
      </c>
      <c r="K412" s="7">
        <v>408200</v>
      </c>
      <c r="L412" s="2" t="str" cm="1">
        <f t="array" ref="L412">_xlfn.IFS(Table14[[#This Row],[Treatment Cost]]&lt;50000,"Low Billing",Table14[[#This Row],[Treatment Cost]]&lt;200000,"Moderate Billing",Table14[[#This Row],[Treatment Cost]]&gt;=200000,"High Billing")</f>
        <v>High Billing</v>
      </c>
      <c r="M412" t="s">
        <v>6</v>
      </c>
      <c r="N412" t="str">
        <f>IF(AND(Table14[[#This Row],[Outcome]]="Follow-up",Table14[[#This Row],[Admission Status]]="Patient Discharged"),"High Risk Patient","Low Risk Patient")</f>
        <v>Low Risk Patient</v>
      </c>
      <c r="O412" t="str">
        <f>IFERROR(VLOOKUP(Table14[[#This Row],[Department]],Doctor_Info!A:D,2,FALSE), "")</f>
        <v>Dr. Kofi</v>
      </c>
      <c r="P412" t="str">
        <f>IF(COUNTIF(A:A,Table14[[#This Row],[Patient ID]]&gt;1),"Returning Patient","New Patient")</f>
        <v>New Patient</v>
      </c>
      <c r="Q412" t="str">
        <f>_xlfn.XLOOKUP(Table14[[#This Row],[Department]], Doctor_Info!A:A, Doctor_Info!C:C, "")&amp;""</f>
        <v>102</v>
      </c>
      <c r="R412" t="str">
        <f>TEXT(Table14[[#This Row],[Admission Date]],"ddd")</f>
        <v>Thu</v>
      </c>
      <c r="S412" t="str">
        <f>TEXT(Table14[[#This Row],[Admission Date]],"mmm")</f>
        <v>Feb</v>
      </c>
      <c r="T412" t="str">
        <f>TEXT(Table14[[#This Row],[Admission Date]],"yyyy")</f>
        <v>2024</v>
      </c>
      <c r="U412" t="str">
        <f>TEXT(Table14[[#This Row],[Admission Date]],"mmm-yyyy")</f>
        <v>Feb-2024</v>
      </c>
      <c r="V412">
        <f t="shared" ca="1" si="6"/>
        <v>8</v>
      </c>
    </row>
    <row r="413" spans="1:22" x14ac:dyDescent="0.2">
      <c r="A413" t="s">
        <v>432</v>
      </c>
      <c r="B413" s="3">
        <v>45325</v>
      </c>
      <c r="C413" s="3">
        <v>45337</v>
      </c>
      <c r="D413">
        <f ca="1">IF(ISBLANK(Table14[[#This Row],[Discharge Date]]),TODAY()-Table14[[#This Row],[Admission Date]], Table14[[#This Row],[Discharge Date]]-Table14[[#This Row],[Admission Date]])</f>
        <v>12</v>
      </c>
      <c r="E413" s="6" t="str">
        <f>IF(Table14[[#This Row],[Discharge Date]]="","Still Admitted","Patient Discharged")</f>
        <v>Patient Discharged</v>
      </c>
      <c r="F413" s="6" t="str">
        <f>IF(WEEKDAY(Table14[[#This Row],[Admission Date]],2)&gt;5,"Weekend","Weekday")</f>
        <v>Weekend</v>
      </c>
      <c r="G413" t="s">
        <v>12</v>
      </c>
      <c r="H413">
        <v>84</v>
      </c>
      <c r="I413" t="str" cm="1">
        <f t="array" ref="I413">_xlfn.IFS(Table14[[#This Row],[Age]]&lt;18,"Children",Table14[[#This Row],[Age]]&lt;50,"Adult",Table14[[#This Row],[Age]]&gt;=50,"Elderly")</f>
        <v>Elderly</v>
      </c>
      <c r="J413" t="s">
        <v>546</v>
      </c>
      <c r="K413" s="7">
        <v>409170</v>
      </c>
      <c r="L413" s="2" t="str" cm="1">
        <f t="array" ref="L413">_xlfn.IFS(Table14[[#This Row],[Treatment Cost]]&lt;50000,"Low Billing",Table14[[#This Row],[Treatment Cost]]&lt;200000,"Moderate Billing",Table14[[#This Row],[Treatment Cost]]&gt;=200000,"High Billing")</f>
        <v>High Billing</v>
      </c>
      <c r="M413" t="s">
        <v>8</v>
      </c>
      <c r="N413" t="str">
        <f>IF(AND(Table14[[#This Row],[Outcome]]="Follow-up",Table14[[#This Row],[Admission Status]]="Patient Discharged"),"High Risk Patient","Low Risk Patient")</f>
        <v>High Risk Patient</v>
      </c>
      <c r="O413" t="str">
        <f>IFERROR(VLOOKUP(Table14[[#This Row],[Department]],Doctor_Info!A:D,2,FALSE), "")</f>
        <v>Dr. Temi</v>
      </c>
      <c r="P413" t="str">
        <f>IF(COUNTIF(A:A,Table14[[#This Row],[Patient ID]]&gt;1),"Returning Patient","New Patient")</f>
        <v>New Patient</v>
      </c>
      <c r="Q413" t="str">
        <f>_xlfn.XLOOKUP(Table14[[#This Row],[Department]], Doctor_Info!A:A, Doctor_Info!C:C, "")&amp;""</f>
        <v>502</v>
      </c>
      <c r="R413" t="str">
        <f>TEXT(Table14[[#This Row],[Admission Date]],"ddd")</f>
        <v>Sat</v>
      </c>
      <c r="S413" t="str">
        <f>TEXT(Table14[[#This Row],[Admission Date]],"mmm")</f>
        <v>Feb</v>
      </c>
      <c r="T413" t="str">
        <f>TEXT(Table14[[#This Row],[Admission Date]],"yyyy")</f>
        <v>2024</v>
      </c>
      <c r="U413" t="str">
        <f>TEXT(Table14[[#This Row],[Admission Date]],"mmm-yyyy")</f>
        <v>Feb-2024</v>
      </c>
      <c r="V413">
        <f t="shared" ca="1" si="6"/>
        <v>8</v>
      </c>
    </row>
    <row r="414" spans="1:22" x14ac:dyDescent="0.2">
      <c r="A414" t="s">
        <v>433</v>
      </c>
      <c r="B414" s="3">
        <v>45327</v>
      </c>
      <c r="C414" s="3">
        <v>45328</v>
      </c>
      <c r="D414">
        <f ca="1">IF(ISBLANK(Table14[[#This Row],[Discharge Date]]),TODAY()-Table14[[#This Row],[Admission Date]], Table14[[#This Row],[Discharge Date]]-Table14[[#This Row],[Admission Date]])</f>
        <v>1</v>
      </c>
      <c r="E414" s="6" t="str">
        <f>IF(Table14[[#This Row],[Discharge Date]]="","Still Admitted","Patient Discharged")</f>
        <v>Patient Discharged</v>
      </c>
      <c r="F414" s="6" t="str">
        <f>IF(WEEKDAY(Table14[[#This Row],[Admission Date]],2)&gt;5,"Weekend","Weekday")</f>
        <v>Weekday</v>
      </c>
      <c r="G414" t="s">
        <v>528</v>
      </c>
      <c r="H414">
        <v>86</v>
      </c>
      <c r="I414" t="str" cm="1">
        <f t="array" ref="I414">_xlfn.IFS(Table14[[#This Row],[Age]]&lt;18,"Children",Table14[[#This Row],[Age]]&lt;50,"Adult",Table14[[#This Row],[Age]]&gt;=50,"Elderly")</f>
        <v>Elderly</v>
      </c>
      <c r="J414" t="s">
        <v>547</v>
      </c>
      <c r="K414" s="7">
        <v>410140</v>
      </c>
      <c r="L414" s="2" t="str" cm="1">
        <f t="array" ref="L414">_xlfn.IFS(Table14[[#This Row],[Treatment Cost]]&lt;50000,"Low Billing",Table14[[#This Row],[Treatment Cost]]&lt;200000,"Moderate Billing",Table14[[#This Row],[Treatment Cost]]&gt;=200000,"High Billing")</f>
        <v>High Billing</v>
      </c>
      <c r="M414" t="s">
        <v>6</v>
      </c>
      <c r="N414" t="str">
        <f>IF(AND(Table14[[#This Row],[Outcome]]="Follow-up",Table14[[#This Row],[Admission Status]]="Patient Discharged"),"High Risk Patient","Low Risk Patient")</f>
        <v>Low Risk Patient</v>
      </c>
      <c r="O414" t="str">
        <f>IFERROR(VLOOKUP(Table14[[#This Row],[Department]],Doctor_Info!A:D,2,FALSE), "")</f>
        <v>Dr. Kofi</v>
      </c>
      <c r="P414" t="str">
        <f>IF(COUNTIF(A:A,Table14[[#This Row],[Patient ID]]&gt;1),"Returning Patient","New Patient")</f>
        <v>New Patient</v>
      </c>
      <c r="Q414" t="str">
        <f>_xlfn.XLOOKUP(Table14[[#This Row],[Department]], Doctor_Info!A:A, Doctor_Info!C:C, "")&amp;""</f>
        <v>102</v>
      </c>
      <c r="R414" t="str">
        <f>TEXT(Table14[[#This Row],[Admission Date]],"ddd")</f>
        <v>Mon</v>
      </c>
      <c r="S414" t="str">
        <f>TEXT(Table14[[#This Row],[Admission Date]],"mmm")</f>
        <v>Feb</v>
      </c>
      <c r="T414" t="str">
        <f>TEXT(Table14[[#This Row],[Admission Date]],"yyyy")</f>
        <v>2024</v>
      </c>
      <c r="U414" t="str">
        <f>TEXT(Table14[[#This Row],[Admission Date]],"mmm-yyyy")</f>
        <v>Feb-2024</v>
      </c>
      <c r="V414">
        <f t="shared" ca="1" si="6"/>
        <v>8</v>
      </c>
    </row>
    <row r="415" spans="1:22" x14ac:dyDescent="0.2">
      <c r="A415" t="s">
        <v>434</v>
      </c>
      <c r="B415" s="3">
        <v>45332</v>
      </c>
      <c r="D415">
        <f ca="1">IF(ISBLANK(Table14[[#This Row],[Discharge Date]]),TODAY()-Table14[[#This Row],[Admission Date]], Table14[[#This Row],[Discharge Date]]-Table14[[#This Row],[Admission Date]])</f>
        <v>806</v>
      </c>
      <c r="E415" s="6" t="str">
        <f>IF(Table14[[#This Row],[Discharge Date]]="","Still Admitted","Patient Discharged")</f>
        <v>Still Admitted</v>
      </c>
      <c r="F415" s="6" t="str">
        <f>IF(WEEKDAY(Table14[[#This Row],[Admission Date]],2)&gt;5,"Weekend","Weekday")</f>
        <v>Weekend</v>
      </c>
      <c r="G415" t="s">
        <v>10</v>
      </c>
      <c r="H415">
        <v>88</v>
      </c>
      <c r="I415" t="str" cm="1">
        <f t="array" ref="I415">_xlfn.IFS(Table14[[#This Row],[Age]]&lt;18,"Children",Table14[[#This Row],[Age]]&lt;50,"Adult",Table14[[#This Row],[Age]]&gt;=50,"Elderly")</f>
        <v>Elderly</v>
      </c>
      <c r="J415" t="s">
        <v>547</v>
      </c>
      <c r="K415" s="7">
        <v>411110</v>
      </c>
      <c r="L415" s="2" t="str" cm="1">
        <f t="array" ref="L415">_xlfn.IFS(Table14[[#This Row],[Treatment Cost]]&lt;50000,"Low Billing",Table14[[#This Row],[Treatment Cost]]&lt;200000,"Moderate Billing",Table14[[#This Row],[Treatment Cost]]&gt;=200000,"High Billing")</f>
        <v>High Billing</v>
      </c>
      <c r="M415" t="s">
        <v>403</v>
      </c>
      <c r="N415" t="str">
        <f>IF(AND(Table14[[#This Row],[Outcome]]="Follow-up",Table14[[#This Row],[Admission Status]]="Patient Discharged"),"High Risk Patient","Low Risk Patient")</f>
        <v>Low Risk Patient</v>
      </c>
      <c r="O415" t="str">
        <f>IFERROR(VLOOKUP(Table14[[#This Row],[Department]],Doctor_Info!A:D,2,FALSE), "")</f>
        <v>Dr. George</v>
      </c>
      <c r="P415" t="str">
        <f>IF(COUNTIF(A:A,Table14[[#This Row],[Patient ID]]&gt;1),"Returning Patient","New Patient")</f>
        <v>New Patient</v>
      </c>
      <c r="Q415" t="str">
        <f>_xlfn.XLOOKUP(Table14[[#This Row],[Department]], Doctor_Info!A:A, Doctor_Info!C:C, "")&amp;""</f>
        <v>405</v>
      </c>
      <c r="R415" t="str">
        <f>TEXT(Table14[[#This Row],[Admission Date]],"ddd")</f>
        <v>Sat</v>
      </c>
      <c r="S415" t="str">
        <f>TEXT(Table14[[#This Row],[Admission Date]],"mmm")</f>
        <v>Feb</v>
      </c>
      <c r="T415" t="str">
        <f>TEXT(Table14[[#This Row],[Admission Date]],"yyyy")</f>
        <v>2024</v>
      </c>
      <c r="U415" t="str">
        <f>TEXT(Table14[[#This Row],[Admission Date]],"mmm-yyyy")</f>
        <v>Feb-2024</v>
      </c>
      <c r="V415">
        <f t="shared" ca="1" si="6"/>
        <v>8</v>
      </c>
    </row>
    <row r="416" spans="1:22" x14ac:dyDescent="0.2">
      <c r="A416" t="s">
        <v>435</v>
      </c>
      <c r="B416" s="3">
        <v>45319</v>
      </c>
      <c r="C416" s="3">
        <v>45327</v>
      </c>
      <c r="D416">
        <f ca="1">IF(ISBLANK(Table14[[#This Row],[Discharge Date]]),TODAY()-Table14[[#This Row],[Admission Date]], Table14[[#This Row],[Discharge Date]]-Table14[[#This Row],[Admission Date]])</f>
        <v>8</v>
      </c>
      <c r="E416" s="6" t="str">
        <f>IF(Table14[[#This Row],[Discharge Date]]="","Still Admitted","Patient Discharged")</f>
        <v>Patient Discharged</v>
      </c>
      <c r="F416" s="6" t="str">
        <f>IF(WEEKDAY(Table14[[#This Row],[Admission Date]],2)&gt;5,"Weekend","Weekday")</f>
        <v>Weekend</v>
      </c>
      <c r="G416" t="s">
        <v>7</v>
      </c>
      <c r="H416">
        <v>90</v>
      </c>
      <c r="I416" t="str" cm="1">
        <f t="array" ref="I416">_xlfn.IFS(Table14[[#This Row],[Age]]&lt;18,"Children",Table14[[#This Row],[Age]]&lt;50,"Adult",Table14[[#This Row],[Age]]&gt;=50,"Elderly")</f>
        <v>Elderly</v>
      </c>
      <c r="J416" t="s">
        <v>546</v>
      </c>
      <c r="K416" s="7">
        <v>412080</v>
      </c>
      <c r="L416" s="2" t="str" cm="1">
        <f t="array" ref="L416">_xlfn.IFS(Table14[[#This Row],[Treatment Cost]]&lt;50000,"Low Billing",Table14[[#This Row],[Treatment Cost]]&lt;200000,"Moderate Billing",Table14[[#This Row],[Treatment Cost]]&gt;=200000,"High Billing")</f>
        <v>High Billing</v>
      </c>
      <c r="M416" t="s">
        <v>8</v>
      </c>
      <c r="N416" t="str">
        <f>IF(AND(Table14[[#This Row],[Outcome]]="Follow-up",Table14[[#This Row],[Admission Status]]="Patient Discharged"),"High Risk Patient","Low Risk Patient")</f>
        <v>High Risk Patient</v>
      </c>
      <c r="O416" t="str">
        <f>IFERROR(VLOOKUP(Table14[[#This Row],[Department]],Doctor_Info!A:D,2,FALSE), "")</f>
        <v>Dr. Ada</v>
      </c>
      <c r="P416" t="str">
        <f>IF(COUNTIF(A:A,Table14[[#This Row],[Patient ID]]&gt;1),"Returning Patient","New Patient")</f>
        <v>New Patient</v>
      </c>
      <c r="Q416" t="str">
        <f>_xlfn.XLOOKUP(Table14[[#This Row],[Department]], Doctor_Info!A:A, Doctor_Info!C:C, "")&amp;""</f>
        <v>301</v>
      </c>
      <c r="R416" t="str">
        <f>TEXT(Table14[[#This Row],[Admission Date]],"ddd")</f>
        <v>Sun</v>
      </c>
      <c r="S416" t="str">
        <f>TEXT(Table14[[#This Row],[Admission Date]],"mmm")</f>
        <v>Jan</v>
      </c>
      <c r="T416" t="str">
        <f>TEXT(Table14[[#This Row],[Admission Date]],"yyyy")</f>
        <v>2024</v>
      </c>
      <c r="U416" t="str">
        <f>TEXT(Table14[[#This Row],[Admission Date]],"mmm-yyyy")</f>
        <v>Jan-2024</v>
      </c>
      <c r="V416">
        <f t="shared" ca="1" si="6"/>
        <v>8</v>
      </c>
    </row>
    <row r="417" spans="1:22" x14ac:dyDescent="0.2">
      <c r="A417" t="s">
        <v>436</v>
      </c>
      <c r="B417" s="3">
        <v>45323</v>
      </c>
      <c r="C417" s="3">
        <v>45324</v>
      </c>
      <c r="D417">
        <f ca="1">IF(ISBLANK(Table14[[#This Row],[Discharge Date]]),TODAY()-Table14[[#This Row],[Admission Date]], Table14[[#This Row],[Discharge Date]]-Table14[[#This Row],[Admission Date]])</f>
        <v>1</v>
      </c>
      <c r="E417" s="6" t="str">
        <f>IF(Table14[[#This Row],[Discharge Date]]="","Still Admitted","Patient Discharged")</f>
        <v>Patient Discharged</v>
      </c>
      <c r="F417" s="6" t="str">
        <f>IF(WEEKDAY(Table14[[#This Row],[Admission Date]],2)&gt;5,"Weekend","Weekday")</f>
        <v>Weekday</v>
      </c>
      <c r="G417" t="s">
        <v>528</v>
      </c>
      <c r="H417">
        <v>92</v>
      </c>
      <c r="I417" t="str" cm="1">
        <f t="array" ref="I417">_xlfn.IFS(Table14[[#This Row],[Age]]&lt;18,"Children",Table14[[#This Row],[Age]]&lt;50,"Adult",Table14[[#This Row],[Age]]&gt;=50,"Elderly")</f>
        <v>Elderly</v>
      </c>
      <c r="J417" t="s">
        <v>547</v>
      </c>
      <c r="K417" s="7">
        <v>413050</v>
      </c>
      <c r="L417" s="2" t="str" cm="1">
        <f t="array" ref="L417">_xlfn.IFS(Table14[[#This Row],[Treatment Cost]]&lt;50000,"Low Billing",Table14[[#This Row],[Treatment Cost]]&lt;200000,"Moderate Billing",Table14[[#This Row],[Treatment Cost]]&gt;=200000,"High Billing")</f>
        <v>High Billing</v>
      </c>
      <c r="M417" t="s">
        <v>6</v>
      </c>
      <c r="N417" t="str">
        <f>IF(AND(Table14[[#This Row],[Outcome]]="Follow-up",Table14[[#This Row],[Admission Status]]="Patient Discharged"),"High Risk Patient","Low Risk Patient")</f>
        <v>Low Risk Patient</v>
      </c>
      <c r="O417" t="str">
        <f>IFERROR(VLOOKUP(Table14[[#This Row],[Department]],Doctor_Info!A:D,2,FALSE), "")</f>
        <v>Dr. Kofi</v>
      </c>
      <c r="P417" t="str">
        <f>IF(COUNTIF(A:A,Table14[[#This Row],[Patient ID]]&gt;1),"Returning Patient","New Patient")</f>
        <v>New Patient</v>
      </c>
      <c r="Q417" t="str">
        <f>_xlfn.XLOOKUP(Table14[[#This Row],[Department]], Doctor_Info!A:A, Doctor_Info!C:C, "")&amp;""</f>
        <v>102</v>
      </c>
      <c r="R417" t="str">
        <f>TEXT(Table14[[#This Row],[Admission Date]],"ddd")</f>
        <v>Thu</v>
      </c>
      <c r="S417" t="str">
        <f>TEXT(Table14[[#This Row],[Admission Date]],"mmm")</f>
        <v>Feb</v>
      </c>
      <c r="T417" t="str">
        <f>TEXT(Table14[[#This Row],[Admission Date]],"yyyy")</f>
        <v>2024</v>
      </c>
      <c r="U417" t="str">
        <f>TEXT(Table14[[#This Row],[Admission Date]],"mmm-yyyy")</f>
        <v>Feb-2024</v>
      </c>
      <c r="V417">
        <f t="shared" ca="1" si="6"/>
        <v>8</v>
      </c>
    </row>
    <row r="418" spans="1:22" x14ac:dyDescent="0.2">
      <c r="A418" t="s">
        <v>437</v>
      </c>
      <c r="B418" s="3">
        <v>45325</v>
      </c>
      <c r="C418" s="3">
        <v>45337</v>
      </c>
      <c r="D418">
        <f ca="1">IF(ISBLANK(Table14[[#This Row],[Discharge Date]]),TODAY()-Table14[[#This Row],[Admission Date]], Table14[[#This Row],[Discharge Date]]-Table14[[#This Row],[Admission Date]])</f>
        <v>12</v>
      </c>
      <c r="E418" s="6" t="str">
        <f>IF(Table14[[#This Row],[Discharge Date]]="","Still Admitted","Patient Discharged")</f>
        <v>Patient Discharged</v>
      </c>
      <c r="F418" s="6" t="str">
        <f>IF(WEEKDAY(Table14[[#This Row],[Admission Date]],2)&gt;5,"Weekend","Weekday")</f>
        <v>Weekend</v>
      </c>
      <c r="G418" t="s">
        <v>12</v>
      </c>
      <c r="H418">
        <v>94</v>
      </c>
      <c r="I418" t="str" cm="1">
        <f t="array" ref="I418">_xlfn.IFS(Table14[[#This Row],[Age]]&lt;18,"Children",Table14[[#This Row],[Age]]&lt;50,"Adult",Table14[[#This Row],[Age]]&gt;=50,"Elderly")</f>
        <v>Elderly</v>
      </c>
      <c r="J418" t="s">
        <v>546</v>
      </c>
      <c r="K418" s="7">
        <v>414020</v>
      </c>
      <c r="L418" s="2" t="str" cm="1">
        <f t="array" ref="L418">_xlfn.IFS(Table14[[#This Row],[Treatment Cost]]&lt;50000,"Low Billing",Table14[[#This Row],[Treatment Cost]]&lt;200000,"Moderate Billing",Table14[[#This Row],[Treatment Cost]]&gt;=200000,"High Billing")</f>
        <v>High Billing</v>
      </c>
      <c r="M418" t="s">
        <v>8</v>
      </c>
      <c r="N418" t="str">
        <f>IF(AND(Table14[[#This Row],[Outcome]]="Follow-up",Table14[[#This Row],[Admission Status]]="Patient Discharged"),"High Risk Patient","Low Risk Patient")</f>
        <v>High Risk Patient</v>
      </c>
      <c r="O418" t="str">
        <f>IFERROR(VLOOKUP(Table14[[#This Row],[Department]],Doctor_Info!A:D,2,FALSE), "")</f>
        <v>Dr. Temi</v>
      </c>
      <c r="P418" t="str">
        <f>IF(COUNTIF(A:A,Table14[[#This Row],[Patient ID]]&gt;1),"Returning Patient","New Patient")</f>
        <v>New Patient</v>
      </c>
      <c r="Q418" t="str">
        <f>_xlfn.XLOOKUP(Table14[[#This Row],[Department]], Doctor_Info!A:A, Doctor_Info!C:C, "")&amp;""</f>
        <v>502</v>
      </c>
      <c r="R418" t="str">
        <f>TEXT(Table14[[#This Row],[Admission Date]],"ddd")</f>
        <v>Sat</v>
      </c>
      <c r="S418" t="str">
        <f>TEXT(Table14[[#This Row],[Admission Date]],"mmm")</f>
        <v>Feb</v>
      </c>
      <c r="T418" t="str">
        <f>TEXT(Table14[[#This Row],[Admission Date]],"yyyy")</f>
        <v>2024</v>
      </c>
      <c r="U418" t="str">
        <f>TEXT(Table14[[#This Row],[Admission Date]],"mmm-yyyy")</f>
        <v>Feb-2024</v>
      </c>
      <c r="V418">
        <f t="shared" ca="1" si="6"/>
        <v>8</v>
      </c>
    </row>
    <row r="419" spans="1:22" x14ac:dyDescent="0.2">
      <c r="A419" t="s">
        <v>438</v>
      </c>
      <c r="B419" s="3">
        <v>45327</v>
      </c>
      <c r="C419" s="3">
        <v>45328</v>
      </c>
      <c r="D419">
        <f ca="1">IF(ISBLANK(Table14[[#This Row],[Discharge Date]]),TODAY()-Table14[[#This Row],[Admission Date]], Table14[[#This Row],[Discharge Date]]-Table14[[#This Row],[Admission Date]])</f>
        <v>1</v>
      </c>
      <c r="E419" s="6" t="str">
        <f>IF(Table14[[#This Row],[Discharge Date]]="","Still Admitted","Patient Discharged")</f>
        <v>Patient Discharged</v>
      </c>
      <c r="F419" s="6" t="str">
        <f>IF(WEEKDAY(Table14[[#This Row],[Admission Date]],2)&gt;5,"Weekend","Weekday")</f>
        <v>Weekday</v>
      </c>
      <c r="G419" t="s">
        <v>528</v>
      </c>
      <c r="H419">
        <v>96</v>
      </c>
      <c r="I419" t="str" cm="1">
        <f t="array" ref="I419">_xlfn.IFS(Table14[[#This Row],[Age]]&lt;18,"Children",Table14[[#This Row],[Age]]&lt;50,"Adult",Table14[[#This Row],[Age]]&gt;=50,"Elderly")</f>
        <v>Elderly</v>
      </c>
      <c r="J419" t="s">
        <v>547</v>
      </c>
      <c r="K419" s="7">
        <v>414990</v>
      </c>
      <c r="L419" s="2" t="str" cm="1">
        <f t="array" ref="L419">_xlfn.IFS(Table14[[#This Row],[Treatment Cost]]&lt;50000,"Low Billing",Table14[[#This Row],[Treatment Cost]]&lt;200000,"Moderate Billing",Table14[[#This Row],[Treatment Cost]]&gt;=200000,"High Billing")</f>
        <v>High Billing</v>
      </c>
      <c r="M419" t="s">
        <v>6</v>
      </c>
      <c r="N419" t="str">
        <f>IF(AND(Table14[[#This Row],[Outcome]]="Follow-up",Table14[[#This Row],[Admission Status]]="Patient Discharged"),"High Risk Patient","Low Risk Patient")</f>
        <v>Low Risk Patient</v>
      </c>
      <c r="O419" t="str">
        <f>IFERROR(VLOOKUP(Table14[[#This Row],[Department]],Doctor_Info!A:D,2,FALSE), "")</f>
        <v>Dr. Kofi</v>
      </c>
      <c r="P419" t="str">
        <f>IF(COUNTIF(A:A,Table14[[#This Row],[Patient ID]]&gt;1),"Returning Patient","New Patient")</f>
        <v>New Patient</v>
      </c>
      <c r="Q419" t="str">
        <f>_xlfn.XLOOKUP(Table14[[#This Row],[Department]], Doctor_Info!A:A, Doctor_Info!C:C, "")&amp;""</f>
        <v>102</v>
      </c>
      <c r="R419" t="str">
        <f>TEXT(Table14[[#This Row],[Admission Date]],"ddd")</f>
        <v>Mon</v>
      </c>
      <c r="S419" t="str">
        <f>TEXT(Table14[[#This Row],[Admission Date]],"mmm")</f>
        <v>Feb</v>
      </c>
      <c r="T419" t="str">
        <f>TEXT(Table14[[#This Row],[Admission Date]],"yyyy")</f>
        <v>2024</v>
      </c>
      <c r="U419" t="str">
        <f>TEXT(Table14[[#This Row],[Admission Date]],"mmm-yyyy")</f>
        <v>Feb-2024</v>
      </c>
      <c r="V419">
        <f t="shared" ca="1" si="6"/>
        <v>8</v>
      </c>
    </row>
    <row r="420" spans="1:22" x14ac:dyDescent="0.2">
      <c r="A420" t="s">
        <v>439</v>
      </c>
      <c r="B420" s="3">
        <v>45332</v>
      </c>
      <c r="D420">
        <f ca="1">IF(ISBLANK(Table14[[#This Row],[Discharge Date]]),TODAY()-Table14[[#This Row],[Admission Date]], Table14[[#This Row],[Discharge Date]]-Table14[[#This Row],[Admission Date]])</f>
        <v>806</v>
      </c>
      <c r="E420" s="6" t="str">
        <f>IF(Table14[[#This Row],[Discharge Date]]="","Still Admitted","Patient Discharged")</f>
        <v>Still Admitted</v>
      </c>
      <c r="F420" s="6" t="str">
        <f>IF(WEEKDAY(Table14[[#This Row],[Admission Date]],2)&gt;5,"Weekend","Weekday")</f>
        <v>Weekend</v>
      </c>
      <c r="G420" t="s">
        <v>10</v>
      </c>
      <c r="H420">
        <v>98</v>
      </c>
      <c r="I420" t="str" cm="1">
        <f t="array" ref="I420">_xlfn.IFS(Table14[[#This Row],[Age]]&lt;18,"Children",Table14[[#This Row],[Age]]&lt;50,"Adult",Table14[[#This Row],[Age]]&gt;=50,"Elderly")</f>
        <v>Elderly</v>
      </c>
      <c r="J420" t="s">
        <v>547</v>
      </c>
      <c r="K420" s="7">
        <v>415960</v>
      </c>
      <c r="L420" s="2" t="str" cm="1">
        <f t="array" ref="L420">_xlfn.IFS(Table14[[#This Row],[Treatment Cost]]&lt;50000,"Low Billing",Table14[[#This Row],[Treatment Cost]]&lt;200000,"Moderate Billing",Table14[[#This Row],[Treatment Cost]]&gt;=200000,"High Billing")</f>
        <v>High Billing</v>
      </c>
      <c r="M420" t="s">
        <v>403</v>
      </c>
      <c r="N420" t="str">
        <f>IF(AND(Table14[[#This Row],[Outcome]]="Follow-up",Table14[[#This Row],[Admission Status]]="Patient Discharged"),"High Risk Patient","Low Risk Patient")</f>
        <v>Low Risk Patient</v>
      </c>
      <c r="O420" t="str">
        <f>IFERROR(VLOOKUP(Table14[[#This Row],[Department]],Doctor_Info!A:D,2,FALSE), "")</f>
        <v>Dr. George</v>
      </c>
      <c r="P420" t="str">
        <f>IF(COUNTIF(A:A,Table14[[#This Row],[Patient ID]]&gt;1),"Returning Patient","New Patient")</f>
        <v>New Patient</v>
      </c>
      <c r="Q420" t="str">
        <f>_xlfn.XLOOKUP(Table14[[#This Row],[Department]], Doctor_Info!A:A, Doctor_Info!C:C, "")&amp;""</f>
        <v>405</v>
      </c>
      <c r="R420" t="str">
        <f>TEXT(Table14[[#This Row],[Admission Date]],"ddd")</f>
        <v>Sat</v>
      </c>
      <c r="S420" t="str">
        <f>TEXT(Table14[[#This Row],[Admission Date]],"mmm")</f>
        <v>Feb</v>
      </c>
      <c r="T420" t="str">
        <f>TEXT(Table14[[#This Row],[Admission Date]],"yyyy")</f>
        <v>2024</v>
      </c>
      <c r="U420" t="str">
        <f>TEXT(Table14[[#This Row],[Admission Date]],"mmm-yyyy")</f>
        <v>Feb-2024</v>
      </c>
      <c r="V420">
        <f t="shared" ca="1" si="6"/>
        <v>8</v>
      </c>
    </row>
    <row r="421" spans="1:22" x14ac:dyDescent="0.2">
      <c r="A421" t="s">
        <v>440</v>
      </c>
      <c r="B421" s="3">
        <v>45319</v>
      </c>
      <c r="C421" s="3">
        <v>45327</v>
      </c>
      <c r="D421">
        <f ca="1">IF(ISBLANK(Table14[[#This Row],[Discharge Date]]),TODAY()-Table14[[#This Row],[Admission Date]], Table14[[#This Row],[Discharge Date]]-Table14[[#This Row],[Admission Date]])</f>
        <v>8</v>
      </c>
      <c r="E421" s="6" t="str">
        <f>IF(Table14[[#This Row],[Discharge Date]]="","Still Admitted","Patient Discharged")</f>
        <v>Patient Discharged</v>
      </c>
      <c r="F421" s="6" t="str">
        <f>IF(WEEKDAY(Table14[[#This Row],[Admission Date]],2)&gt;5,"Weekend","Weekday")</f>
        <v>Weekend</v>
      </c>
      <c r="G421" t="s">
        <v>7</v>
      </c>
      <c r="H421">
        <v>100</v>
      </c>
      <c r="I421" t="str" cm="1">
        <f t="array" ref="I421">_xlfn.IFS(Table14[[#This Row],[Age]]&lt;18,"Children",Table14[[#This Row],[Age]]&lt;50,"Adult",Table14[[#This Row],[Age]]&gt;=50,"Elderly")</f>
        <v>Elderly</v>
      </c>
      <c r="J421" t="s">
        <v>546</v>
      </c>
      <c r="K421" s="7">
        <v>416930</v>
      </c>
      <c r="L421" s="2" t="str" cm="1">
        <f t="array" ref="L421">_xlfn.IFS(Table14[[#This Row],[Treatment Cost]]&lt;50000,"Low Billing",Table14[[#This Row],[Treatment Cost]]&lt;200000,"Moderate Billing",Table14[[#This Row],[Treatment Cost]]&gt;=200000,"High Billing")</f>
        <v>High Billing</v>
      </c>
      <c r="M421" t="s">
        <v>8</v>
      </c>
      <c r="N421" t="str">
        <f>IF(AND(Table14[[#This Row],[Outcome]]="Follow-up",Table14[[#This Row],[Admission Status]]="Patient Discharged"),"High Risk Patient","Low Risk Patient")</f>
        <v>High Risk Patient</v>
      </c>
      <c r="O421" t="str">
        <f>IFERROR(VLOOKUP(Table14[[#This Row],[Department]],Doctor_Info!A:D,2,FALSE), "")</f>
        <v>Dr. Ada</v>
      </c>
      <c r="P421" t="str">
        <f>IF(COUNTIF(A:A,Table14[[#This Row],[Patient ID]]&gt;1),"Returning Patient","New Patient")</f>
        <v>New Patient</v>
      </c>
      <c r="Q421" t="str">
        <f>_xlfn.XLOOKUP(Table14[[#This Row],[Department]], Doctor_Info!A:A, Doctor_Info!C:C, "")&amp;""</f>
        <v>301</v>
      </c>
      <c r="R421" t="str">
        <f>TEXT(Table14[[#This Row],[Admission Date]],"ddd")</f>
        <v>Sun</v>
      </c>
      <c r="S421" t="str">
        <f>TEXT(Table14[[#This Row],[Admission Date]],"mmm")</f>
        <v>Jan</v>
      </c>
      <c r="T421" t="str">
        <f>TEXT(Table14[[#This Row],[Admission Date]],"yyyy")</f>
        <v>2024</v>
      </c>
      <c r="U421" t="str">
        <f>TEXT(Table14[[#This Row],[Admission Date]],"mmm-yyyy")</f>
        <v>Jan-2024</v>
      </c>
      <c r="V421">
        <f t="shared" ca="1" si="6"/>
        <v>8</v>
      </c>
    </row>
    <row r="422" spans="1:22" x14ac:dyDescent="0.2">
      <c r="A422" t="s">
        <v>441</v>
      </c>
      <c r="B422" s="3">
        <v>45323</v>
      </c>
      <c r="C422" s="3">
        <v>45324</v>
      </c>
      <c r="D422">
        <f ca="1">IF(ISBLANK(Table14[[#This Row],[Discharge Date]]),TODAY()-Table14[[#This Row],[Admission Date]], Table14[[#This Row],[Discharge Date]]-Table14[[#This Row],[Admission Date]])</f>
        <v>1</v>
      </c>
      <c r="E422" s="6" t="str">
        <f>IF(Table14[[#This Row],[Discharge Date]]="","Still Admitted","Patient Discharged")</f>
        <v>Patient Discharged</v>
      </c>
      <c r="F422" s="6" t="str">
        <f>IF(WEEKDAY(Table14[[#This Row],[Admission Date]],2)&gt;5,"Weekend","Weekday")</f>
        <v>Weekday</v>
      </c>
      <c r="G422" t="s">
        <v>528</v>
      </c>
      <c r="H422">
        <v>2</v>
      </c>
      <c r="I422" t="str" cm="1">
        <f t="array" ref="I422">_xlfn.IFS(Table14[[#This Row],[Age]]&lt;18,"Children",Table14[[#This Row],[Age]]&lt;50,"Adult",Table14[[#This Row],[Age]]&gt;=50,"Elderly")</f>
        <v>Children</v>
      </c>
      <c r="J422" t="s">
        <v>547</v>
      </c>
      <c r="K422" s="7">
        <v>417900</v>
      </c>
      <c r="L422" s="2" t="str" cm="1">
        <f t="array" ref="L422">_xlfn.IFS(Table14[[#This Row],[Treatment Cost]]&lt;50000,"Low Billing",Table14[[#This Row],[Treatment Cost]]&lt;200000,"Moderate Billing",Table14[[#This Row],[Treatment Cost]]&gt;=200000,"High Billing")</f>
        <v>High Billing</v>
      </c>
      <c r="M422" t="s">
        <v>6</v>
      </c>
      <c r="N422" t="str">
        <f>IF(AND(Table14[[#This Row],[Outcome]]="Follow-up",Table14[[#This Row],[Admission Status]]="Patient Discharged"),"High Risk Patient","Low Risk Patient")</f>
        <v>Low Risk Patient</v>
      </c>
      <c r="O422" t="str">
        <f>IFERROR(VLOOKUP(Table14[[#This Row],[Department]],Doctor_Info!A:D,2,FALSE), "")</f>
        <v>Dr. Kofi</v>
      </c>
      <c r="P422" t="str">
        <f>IF(COUNTIF(A:A,Table14[[#This Row],[Patient ID]]&gt;1),"Returning Patient","New Patient")</f>
        <v>New Patient</v>
      </c>
      <c r="Q422" t="str">
        <f>_xlfn.XLOOKUP(Table14[[#This Row],[Department]], Doctor_Info!A:A, Doctor_Info!C:C, "")&amp;""</f>
        <v>102</v>
      </c>
      <c r="R422" t="str">
        <f>TEXT(Table14[[#This Row],[Admission Date]],"ddd")</f>
        <v>Thu</v>
      </c>
      <c r="S422" t="str">
        <f>TEXT(Table14[[#This Row],[Admission Date]],"mmm")</f>
        <v>Feb</v>
      </c>
      <c r="T422" t="str">
        <f>TEXT(Table14[[#This Row],[Admission Date]],"yyyy")</f>
        <v>2024</v>
      </c>
      <c r="U422" t="str">
        <f>TEXT(Table14[[#This Row],[Admission Date]],"mmm-yyyy")</f>
        <v>Feb-2024</v>
      </c>
      <c r="V422">
        <f t="shared" ca="1" si="6"/>
        <v>8</v>
      </c>
    </row>
    <row r="423" spans="1:22" x14ac:dyDescent="0.2">
      <c r="A423" t="s">
        <v>442</v>
      </c>
      <c r="B423" s="3">
        <v>45325</v>
      </c>
      <c r="C423" s="3">
        <v>45337</v>
      </c>
      <c r="D423">
        <f ca="1">IF(ISBLANK(Table14[[#This Row],[Discharge Date]]),TODAY()-Table14[[#This Row],[Admission Date]], Table14[[#This Row],[Discharge Date]]-Table14[[#This Row],[Admission Date]])</f>
        <v>12</v>
      </c>
      <c r="E423" s="6" t="str">
        <f>IF(Table14[[#This Row],[Discharge Date]]="","Still Admitted","Patient Discharged")</f>
        <v>Patient Discharged</v>
      </c>
      <c r="F423" s="6" t="str">
        <f>IF(WEEKDAY(Table14[[#This Row],[Admission Date]],2)&gt;5,"Weekend","Weekday")</f>
        <v>Weekend</v>
      </c>
      <c r="G423" t="s">
        <v>12</v>
      </c>
      <c r="H423">
        <v>4</v>
      </c>
      <c r="I423" t="str" cm="1">
        <f t="array" ref="I423">_xlfn.IFS(Table14[[#This Row],[Age]]&lt;18,"Children",Table14[[#This Row],[Age]]&lt;50,"Adult",Table14[[#This Row],[Age]]&gt;=50,"Elderly")</f>
        <v>Children</v>
      </c>
      <c r="J423" t="s">
        <v>546</v>
      </c>
      <c r="K423" s="7">
        <v>418870</v>
      </c>
      <c r="L423" s="2" t="str" cm="1">
        <f t="array" ref="L423">_xlfn.IFS(Table14[[#This Row],[Treatment Cost]]&lt;50000,"Low Billing",Table14[[#This Row],[Treatment Cost]]&lt;200000,"Moderate Billing",Table14[[#This Row],[Treatment Cost]]&gt;=200000,"High Billing")</f>
        <v>High Billing</v>
      </c>
      <c r="M423" t="s">
        <v>8</v>
      </c>
      <c r="N423" t="str">
        <f>IF(AND(Table14[[#This Row],[Outcome]]="Follow-up",Table14[[#This Row],[Admission Status]]="Patient Discharged"),"High Risk Patient","Low Risk Patient")</f>
        <v>High Risk Patient</v>
      </c>
      <c r="O423" t="str">
        <f>IFERROR(VLOOKUP(Table14[[#This Row],[Department]],Doctor_Info!A:D,2,FALSE), "")</f>
        <v>Dr. Temi</v>
      </c>
      <c r="P423" t="str">
        <f>IF(COUNTIF(A:A,Table14[[#This Row],[Patient ID]]&gt;1),"Returning Patient","New Patient")</f>
        <v>New Patient</v>
      </c>
      <c r="Q423" t="str">
        <f>_xlfn.XLOOKUP(Table14[[#This Row],[Department]], Doctor_Info!A:A, Doctor_Info!C:C, "")&amp;""</f>
        <v>502</v>
      </c>
      <c r="R423" t="str">
        <f>TEXT(Table14[[#This Row],[Admission Date]],"ddd")</f>
        <v>Sat</v>
      </c>
      <c r="S423" t="str">
        <f>TEXT(Table14[[#This Row],[Admission Date]],"mmm")</f>
        <v>Feb</v>
      </c>
      <c r="T423" t="str">
        <f>TEXT(Table14[[#This Row],[Admission Date]],"yyyy")</f>
        <v>2024</v>
      </c>
      <c r="U423" t="str">
        <f>TEXT(Table14[[#This Row],[Admission Date]],"mmm-yyyy")</f>
        <v>Feb-2024</v>
      </c>
      <c r="V423">
        <f t="shared" ca="1" si="6"/>
        <v>8</v>
      </c>
    </row>
    <row r="424" spans="1:22" x14ac:dyDescent="0.2">
      <c r="A424" t="s">
        <v>443</v>
      </c>
      <c r="B424" s="3">
        <v>45327</v>
      </c>
      <c r="C424" s="3">
        <v>45328</v>
      </c>
      <c r="D424">
        <f ca="1">IF(ISBLANK(Table14[[#This Row],[Discharge Date]]),TODAY()-Table14[[#This Row],[Admission Date]], Table14[[#This Row],[Discharge Date]]-Table14[[#This Row],[Admission Date]])</f>
        <v>1</v>
      </c>
      <c r="E424" s="6" t="str">
        <f>IF(Table14[[#This Row],[Discharge Date]]="","Still Admitted","Patient Discharged")</f>
        <v>Patient Discharged</v>
      </c>
      <c r="F424" s="6" t="str">
        <f>IF(WEEKDAY(Table14[[#This Row],[Admission Date]],2)&gt;5,"Weekend","Weekday")</f>
        <v>Weekday</v>
      </c>
      <c r="G424" t="s">
        <v>528</v>
      </c>
      <c r="H424">
        <v>6</v>
      </c>
      <c r="I424" t="str" cm="1">
        <f t="array" ref="I424">_xlfn.IFS(Table14[[#This Row],[Age]]&lt;18,"Children",Table14[[#This Row],[Age]]&lt;50,"Adult",Table14[[#This Row],[Age]]&gt;=50,"Elderly")</f>
        <v>Children</v>
      </c>
      <c r="J424" t="s">
        <v>547</v>
      </c>
      <c r="K424" s="7">
        <v>419840</v>
      </c>
      <c r="L424" s="2" t="str" cm="1">
        <f t="array" ref="L424">_xlfn.IFS(Table14[[#This Row],[Treatment Cost]]&lt;50000,"Low Billing",Table14[[#This Row],[Treatment Cost]]&lt;200000,"Moderate Billing",Table14[[#This Row],[Treatment Cost]]&gt;=200000,"High Billing")</f>
        <v>High Billing</v>
      </c>
      <c r="M424" t="s">
        <v>6</v>
      </c>
      <c r="N424" t="str">
        <f>IF(AND(Table14[[#This Row],[Outcome]]="Follow-up",Table14[[#This Row],[Admission Status]]="Patient Discharged"),"High Risk Patient","Low Risk Patient")</f>
        <v>Low Risk Patient</v>
      </c>
      <c r="O424" t="str">
        <f>IFERROR(VLOOKUP(Table14[[#This Row],[Department]],Doctor_Info!A:D,2,FALSE), "")</f>
        <v>Dr. Kofi</v>
      </c>
      <c r="P424" t="str">
        <f>IF(COUNTIF(A:A,Table14[[#This Row],[Patient ID]]&gt;1),"Returning Patient","New Patient")</f>
        <v>New Patient</v>
      </c>
      <c r="Q424" t="str">
        <f>_xlfn.XLOOKUP(Table14[[#This Row],[Department]], Doctor_Info!A:A, Doctor_Info!C:C, "")&amp;""</f>
        <v>102</v>
      </c>
      <c r="R424" t="str">
        <f>TEXT(Table14[[#This Row],[Admission Date]],"ddd")</f>
        <v>Mon</v>
      </c>
      <c r="S424" t="str">
        <f>TEXT(Table14[[#This Row],[Admission Date]],"mmm")</f>
        <v>Feb</v>
      </c>
      <c r="T424" t="str">
        <f>TEXT(Table14[[#This Row],[Admission Date]],"yyyy")</f>
        <v>2024</v>
      </c>
      <c r="U424" t="str">
        <f>TEXT(Table14[[#This Row],[Admission Date]],"mmm-yyyy")</f>
        <v>Feb-2024</v>
      </c>
      <c r="V424">
        <f t="shared" ca="1" si="6"/>
        <v>8</v>
      </c>
    </row>
    <row r="425" spans="1:22" x14ac:dyDescent="0.2">
      <c r="A425" t="s">
        <v>444</v>
      </c>
      <c r="B425" s="3">
        <v>45332</v>
      </c>
      <c r="D425">
        <f ca="1">IF(ISBLANK(Table14[[#This Row],[Discharge Date]]),TODAY()-Table14[[#This Row],[Admission Date]], Table14[[#This Row],[Discharge Date]]-Table14[[#This Row],[Admission Date]])</f>
        <v>806</v>
      </c>
      <c r="E425" s="6" t="str">
        <f>IF(Table14[[#This Row],[Discharge Date]]="","Still Admitted","Patient Discharged")</f>
        <v>Still Admitted</v>
      </c>
      <c r="F425" s="6" t="str">
        <f>IF(WEEKDAY(Table14[[#This Row],[Admission Date]],2)&gt;5,"Weekend","Weekday")</f>
        <v>Weekend</v>
      </c>
      <c r="G425" t="s">
        <v>10</v>
      </c>
      <c r="H425">
        <v>8</v>
      </c>
      <c r="I425" t="str" cm="1">
        <f t="array" ref="I425">_xlfn.IFS(Table14[[#This Row],[Age]]&lt;18,"Children",Table14[[#This Row],[Age]]&lt;50,"Adult",Table14[[#This Row],[Age]]&gt;=50,"Elderly")</f>
        <v>Children</v>
      </c>
      <c r="J425" t="s">
        <v>547</v>
      </c>
      <c r="K425" s="7">
        <v>420810</v>
      </c>
      <c r="L425" s="2" t="str" cm="1">
        <f t="array" ref="L425">_xlfn.IFS(Table14[[#This Row],[Treatment Cost]]&lt;50000,"Low Billing",Table14[[#This Row],[Treatment Cost]]&lt;200000,"Moderate Billing",Table14[[#This Row],[Treatment Cost]]&gt;=200000,"High Billing")</f>
        <v>High Billing</v>
      </c>
      <c r="M425" t="s">
        <v>403</v>
      </c>
      <c r="N425" t="str">
        <f>IF(AND(Table14[[#This Row],[Outcome]]="Follow-up",Table14[[#This Row],[Admission Status]]="Patient Discharged"),"High Risk Patient","Low Risk Patient")</f>
        <v>Low Risk Patient</v>
      </c>
      <c r="O425" t="str">
        <f>IFERROR(VLOOKUP(Table14[[#This Row],[Department]],Doctor_Info!A:D,2,FALSE), "")</f>
        <v>Dr. George</v>
      </c>
      <c r="P425" t="str">
        <f>IF(COUNTIF(A:A,Table14[[#This Row],[Patient ID]]&gt;1),"Returning Patient","New Patient")</f>
        <v>New Patient</v>
      </c>
      <c r="Q425" t="str">
        <f>_xlfn.XLOOKUP(Table14[[#This Row],[Department]], Doctor_Info!A:A, Doctor_Info!C:C, "")&amp;""</f>
        <v>405</v>
      </c>
      <c r="R425" t="str">
        <f>TEXT(Table14[[#This Row],[Admission Date]],"ddd")</f>
        <v>Sat</v>
      </c>
      <c r="S425" t="str">
        <f>TEXT(Table14[[#This Row],[Admission Date]],"mmm")</f>
        <v>Feb</v>
      </c>
      <c r="T425" t="str">
        <f>TEXT(Table14[[#This Row],[Admission Date]],"yyyy")</f>
        <v>2024</v>
      </c>
      <c r="U425" t="str">
        <f>TEXT(Table14[[#This Row],[Admission Date]],"mmm-yyyy")</f>
        <v>Feb-2024</v>
      </c>
      <c r="V425">
        <f t="shared" ca="1" si="6"/>
        <v>8</v>
      </c>
    </row>
    <row r="426" spans="1:22" x14ac:dyDescent="0.2">
      <c r="A426" t="s">
        <v>445</v>
      </c>
      <c r="B426" s="3">
        <v>45319</v>
      </c>
      <c r="C426" s="3">
        <v>45327</v>
      </c>
      <c r="D426">
        <f ca="1">IF(ISBLANK(Table14[[#This Row],[Discharge Date]]),TODAY()-Table14[[#This Row],[Admission Date]], Table14[[#This Row],[Discharge Date]]-Table14[[#This Row],[Admission Date]])</f>
        <v>8</v>
      </c>
      <c r="E426" s="6" t="str">
        <f>IF(Table14[[#This Row],[Discharge Date]]="","Still Admitted","Patient Discharged")</f>
        <v>Patient Discharged</v>
      </c>
      <c r="F426" s="6" t="str">
        <f>IF(WEEKDAY(Table14[[#This Row],[Admission Date]],2)&gt;5,"Weekend","Weekday")</f>
        <v>Weekend</v>
      </c>
      <c r="G426" t="s">
        <v>7</v>
      </c>
      <c r="H426">
        <v>10</v>
      </c>
      <c r="I426" t="str" cm="1">
        <f t="array" ref="I426">_xlfn.IFS(Table14[[#This Row],[Age]]&lt;18,"Children",Table14[[#This Row],[Age]]&lt;50,"Adult",Table14[[#This Row],[Age]]&gt;=50,"Elderly")</f>
        <v>Children</v>
      </c>
      <c r="J426" t="s">
        <v>546</v>
      </c>
      <c r="K426" s="7">
        <v>421780</v>
      </c>
      <c r="L426" s="2" t="str" cm="1">
        <f t="array" ref="L426">_xlfn.IFS(Table14[[#This Row],[Treatment Cost]]&lt;50000,"Low Billing",Table14[[#This Row],[Treatment Cost]]&lt;200000,"Moderate Billing",Table14[[#This Row],[Treatment Cost]]&gt;=200000,"High Billing")</f>
        <v>High Billing</v>
      </c>
      <c r="M426" t="s">
        <v>8</v>
      </c>
      <c r="N426" t="str">
        <f>IF(AND(Table14[[#This Row],[Outcome]]="Follow-up",Table14[[#This Row],[Admission Status]]="Patient Discharged"),"High Risk Patient","Low Risk Patient")</f>
        <v>High Risk Patient</v>
      </c>
      <c r="O426" t="str">
        <f>IFERROR(VLOOKUP(Table14[[#This Row],[Department]],Doctor_Info!A:D,2,FALSE), "")</f>
        <v>Dr. Ada</v>
      </c>
      <c r="P426" t="str">
        <f>IF(COUNTIF(A:A,Table14[[#This Row],[Patient ID]]&gt;1),"Returning Patient","New Patient")</f>
        <v>New Patient</v>
      </c>
      <c r="Q426" t="str">
        <f>_xlfn.XLOOKUP(Table14[[#This Row],[Department]], Doctor_Info!A:A, Doctor_Info!C:C, "")&amp;""</f>
        <v>301</v>
      </c>
      <c r="R426" t="str">
        <f>TEXT(Table14[[#This Row],[Admission Date]],"ddd")</f>
        <v>Sun</v>
      </c>
      <c r="S426" t="str">
        <f>TEXT(Table14[[#This Row],[Admission Date]],"mmm")</f>
        <v>Jan</v>
      </c>
      <c r="T426" t="str">
        <f>TEXT(Table14[[#This Row],[Admission Date]],"yyyy")</f>
        <v>2024</v>
      </c>
      <c r="U426" t="str">
        <f>TEXT(Table14[[#This Row],[Admission Date]],"mmm-yyyy")</f>
        <v>Jan-2024</v>
      </c>
      <c r="V426">
        <f t="shared" ca="1" si="6"/>
        <v>8</v>
      </c>
    </row>
    <row r="427" spans="1:22" x14ac:dyDescent="0.2">
      <c r="A427" t="s">
        <v>446</v>
      </c>
      <c r="B427" s="3">
        <v>45323</v>
      </c>
      <c r="C427" s="3">
        <v>45324</v>
      </c>
      <c r="D427">
        <f ca="1">IF(ISBLANK(Table14[[#This Row],[Discharge Date]]),TODAY()-Table14[[#This Row],[Admission Date]], Table14[[#This Row],[Discharge Date]]-Table14[[#This Row],[Admission Date]])</f>
        <v>1</v>
      </c>
      <c r="E427" s="6" t="str">
        <f>IF(Table14[[#This Row],[Discharge Date]]="","Still Admitted","Patient Discharged")</f>
        <v>Patient Discharged</v>
      </c>
      <c r="F427" s="6" t="str">
        <f>IF(WEEKDAY(Table14[[#This Row],[Admission Date]],2)&gt;5,"Weekend","Weekday")</f>
        <v>Weekday</v>
      </c>
      <c r="G427" t="s">
        <v>528</v>
      </c>
      <c r="H427">
        <v>12</v>
      </c>
      <c r="I427" t="str" cm="1">
        <f t="array" ref="I427">_xlfn.IFS(Table14[[#This Row],[Age]]&lt;18,"Children",Table14[[#This Row],[Age]]&lt;50,"Adult",Table14[[#This Row],[Age]]&gt;=50,"Elderly")</f>
        <v>Children</v>
      </c>
      <c r="J427" t="s">
        <v>547</v>
      </c>
      <c r="K427" s="7">
        <v>422750</v>
      </c>
      <c r="L427" s="2" t="str" cm="1">
        <f t="array" ref="L427">_xlfn.IFS(Table14[[#This Row],[Treatment Cost]]&lt;50000,"Low Billing",Table14[[#This Row],[Treatment Cost]]&lt;200000,"Moderate Billing",Table14[[#This Row],[Treatment Cost]]&gt;=200000,"High Billing")</f>
        <v>High Billing</v>
      </c>
      <c r="M427" t="s">
        <v>6</v>
      </c>
      <c r="N427" t="str">
        <f>IF(AND(Table14[[#This Row],[Outcome]]="Follow-up",Table14[[#This Row],[Admission Status]]="Patient Discharged"),"High Risk Patient","Low Risk Patient")</f>
        <v>Low Risk Patient</v>
      </c>
      <c r="O427" t="str">
        <f>IFERROR(VLOOKUP(Table14[[#This Row],[Department]],Doctor_Info!A:D,2,FALSE), "")</f>
        <v>Dr. Kofi</v>
      </c>
      <c r="P427" t="str">
        <f>IF(COUNTIF(A:A,Table14[[#This Row],[Patient ID]]&gt;1),"Returning Patient","New Patient")</f>
        <v>New Patient</v>
      </c>
      <c r="Q427" t="str">
        <f>_xlfn.XLOOKUP(Table14[[#This Row],[Department]], Doctor_Info!A:A, Doctor_Info!C:C, "")&amp;""</f>
        <v>102</v>
      </c>
      <c r="R427" t="str">
        <f>TEXT(Table14[[#This Row],[Admission Date]],"ddd")</f>
        <v>Thu</v>
      </c>
      <c r="S427" t="str">
        <f>TEXT(Table14[[#This Row],[Admission Date]],"mmm")</f>
        <v>Feb</v>
      </c>
      <c r="T427" t="str">
        <f>TEXT(Table14[[#This Row],[Admission Date]],"yyyy")</f>
        <v>2024</v>
      </c>
      <c r="U427" t="str">
        <f>TEXT(Table14[[#This Row],[Admission Date]],"mmm-yyyy")</f>
        <v>Feb-2024</v>
      </c>
      <c r="V427">
        <f t="shared" ca="1" si="6"/>
        <v>8</v>
      </c>
    </row>
    <row r="428" spans="1:22" x14ac:dyDescent="0.2">
      <c r="A428" t="s">
        <v>447</v>
      </c>
      <c r="B428" s="3">
        <v>45325</v>
      </c>
      <c r="C428" s="3">
        <v>45337</v>
      </c>
      <c r="D428">
        <f ca="1">IF(ISBLANK(Table14[[#This Row],[Discharge Date]]),TODAY()-Table14[[#This Row],[Admission Date]], Table14[[#This Row],[Discharge Date]]-Table14[[#This Row],[Admission Date]])</f>
        <v>12</v>
      </c>
      <c r="E428" s="6" t="str">
        <f>IF(Table14[[#This Row],[Discharge Date]]="","Still Admitted","Patient Discharged")</f>
        <v>Patient Discharged</v>
      </c>
      <c r="F428" s="6" t="str">
        <f>IF(WEEKDAY(Table14[[#This Row],[Admission Date]],2)&gt;5,"Weekend","Weekday")</f>
        <v>Weekend</v>
      </c>
      <c r="G428" t="s">
        <v>12</v>
      </c>
      <c r="H428">
        <v>14</v>
      </c>
      <c r="I428" t="str" cm="1">
        <f t="array" ref="I428">_xlfn.IFS(Table14[[#This Row],[Age]]&lt;18,"Children",Table14[[#This Row],[Age]]&lt;50,"Adult",Table14[[#This Row],[Age]]&gt;=50,"Elderly")</f>
        <v>Children</v>
      </c>
      <c r="J428" t="s">
        <v>546</v>
      </c>
      <c r="K428" s="7">
        <v>423720</v>
      </c>
      <c r="L428" s="2" t="str" cm="1">
        <f t="array" ref="L428">_xlfn.IFS(Table14[[#This Row],[Treatment Cost]]&lt;50000,"Low Billing",Table14[[#This Row],[Treatment Cost]]&lt;200000,"Moderate Billing",Table14[[#This Row],[Treatment Cost]]&gt;=200000,"High Billing")</f>
        <v>High Billing</v>
      </c>
      <c r="M428" t="s">
        <v>8</v>
      </c>
      <c r="N428" t="str">
        <f>IF(AND(Table14[[#This Row],[Outcome]]="Follow-up",Table14[[#This Row],[Admission Status]]="Patient Discharged"),"High Risk Patient","Low Risk Patient")</f>
        <v>High Risk Patient</v>
      </c>
      <c r="O428" t="str">
        <f>IFERROR(VLOOKUP(Table14[[#This Row],[Department]],Doctor_Info!A:D,2,FALSE), "")</f>
        <v>Dr. Temi</v>
      </c>
      <c r="P428" t="str">
        <f>IF(COUNTIF(A:A,Table14[[#This Row],[Patient ID]]&gt;1),"Returning Patient","New Patient")</f>
        <v>New Patient</v>
      </c>
      <c r="Q428" t="str">
        <f>_xlfn.XLOOKUP(Table14[[#This Row],[Department]], Doctor_Info!A:A, Doctor_Info!C:C, "")&amp;""</f>
        <v>502</v>
      </c>
      <c r="R428" t="str">
        <f>TEXT(Table14[[#This Row],[Admission Date]],"ddd")</f>
        <v>Sat</v>
      </c>
      <c r="S428" t="str">
        <f>TEXT(Table14[[#This Row],[Admission Date]],"mmm")</f>
        <v>Feb</v>
      </c>
      <c r="T428" t="str">
        <f>TEXT(Table14[[#This Row],[Admission Date]],"yyyy")</f>
        <v>2024</v>
      </c>
      <c r="U428" t="str">
        <f>TEXT(Table14[[#This Row],[Admission Date]],"mmm-yyyy")</f>
        <v>Feb-2024</v>
      </c>
      <c r="V428">
        <f t="shared" ca="1" si="6"/>
        <v>8</v>
      </c>
    </row>
    <row r="429" spans="1:22" x14ac:dyDescent="0.2">
      <c r="A429" t="s">
        <v>448</v>
      </c>
      <c r="B429" s="3">
        <v>45327</v>
      </c>
      <c r="C429" s="3">
        <v>45328</v>
      </c>
      <c r="D429">
        <f ca="1">IF(ISBLANK(Table14[[#This Row],[Discharge Date]]),TODAY()-Table14[[#This Row],[Admission Date]], Table14[[#This Row],[Discharge Date]]-Table14[[#This Row],[Admission Date]])</f>
        <v>1</v>
      </c>
      <c r="E429" s="6" t="str">
        <f>IF(Table14[[#This Row],[Discharge Date]]="","Still Admitted","Patient Discharged")</f>
        <v>Patient Discharged</v>
      </c>
      <c r="F429" s="6" t="str">
        <f>IF(WEEKDAY(Table14[[#This Row],[Admission Date]],2)&gt;5,"Weekend","Weekday")</f>
        <v>Weekday</v>
      </c>
      <c r="G429" t="s">
        <v>528</v>
      </c>
      <c r="H429">
        <v>16</v>
      </c>
      <c r="I429" t="str" cm="1">
        <f t="array" ref="I429">_xlfn.IFS(Table14[[#This Row],[Age]]&lt;18,"Children",Table14[[#This Row],[Age]]&lt;50,"Adult",Table14[[#This Row],[Age]]&gt;=50,"Elderly")</f>
        <v>Children</v>
      </c>
      <c r="J429" t="s">
        <v>547</v>
      </c>
      <c r="K429" s="7">
        <v>424690</v>
      </c>
      <c r="L429" s="2" t="str" cm="1">
        <f t="array" ref="L429">_xlfn.IFS(Table14[[#This Row],[Treatment Cost]]&lt;50000,"Low Billing",Table14[[#This Row],[Treatment Cost]]&lt;200000,"Moderate Billing",Table14[[#This Row],[Treatment Cost]]&gt;=200000,"High Billing")</f>
        <v>High Billing</v>
      </c>
      <c r="M429" t="s">
        <v>6</v>
      </c>
      <c r="N429" t="str">
        <f>IF(AND(Table14[[#This Row],[Outcome]]="Follow-up",Table14[[#This Row],[Admission Status]]="Patient Discharged"),"High Risk Patient","Low Risk Patient")</f>
        <v>Low Risk Patient</v>
      </c>
      <c r="O429" t="str">
        <f>IFERROR(VLOOKUP(Table14[[#This Row],[Department]],Doctor_Info!A:D,2,FALSE), "")</f>
        <v>Dr. Kofi</v>
      </c>
      <c r="P429" t="str">
        <f>IF(COUNTIF(A:A,Table14[[#This Row],[Patient ID]]&gt;1),"Returning Patient","New Patient")</f>
        <v>New Patient</v>
      </c>
      <c r="Q429" t="str">
        <f>_xlfn.XLOOKUP(Table14[[#This Row],[Department]], Doctor_Info!A:A, Doctor_Info!C:C, "")&amp;""</f>
        <v>102</v>
      </c>
      <c r="R429" t="str">
        <f>TEXT(Table14[[#This Row],[Admission Date]],"ddd")</f>
        <v>Mon</v>
      </c>
      <c r="S429" t="str">
        <f>TEXT(Table14[[#This Row],[Admission Date]],"mmm")</f>
        <v>Feb</v>
      </c>
      <c r="T429" t="str">
        <f>TEXT(Table14[[#This Row],[Admission Date]],"yyyy")</f>
        <v>2024</v>
      </c>
      <c r="U429" t="str">
        <f>TEXT(Table14[[#This Row],[Admission Date]],"mmm-yyyy")</f>
        <v>Feb-2024</v>
      </c>
      <c r="V429">
        <f t="shared" ca="1" si="6"/>
        <v>8</v>
      </c>
    </row>
    <row r="430" spans="1:22" x14ac:dyDescent="0.2">
      <c r="A430" t="s">
        <v>449</v>
      </c>
      <c r="B430" s="3">
        <v>45332</v>
      </c>
      <c r="D430">
        <f ca="1">IF(ISBLANK(Table14[[#This Row],[Discharge Date]]),TODAY()-Table14[[#This Row],[Admission Date]], Table14[[#This Row],[Discharge Date]]-Table14[[#This Row],[Admission Date]])</f>
        <v>806</v>
      </c>
      <c r="E430" s="6" t="str">
        <f>IF(Table14[[#This Row],[Discharge Date]]="","Still Admitted","Patient Discharged")</f>
        <v>Still Admitted</v>
      </c>
      <c r="F430" s="6" t="str">
        <f>IF(WEEKDAY(Table14[[#This Row],[Admission Date]],2)&gt;5,"Weekend","Weekday")</f>
        <v>Weekend</v>
      </c>
      <c r="G430" t="s">
        <v>10</v>
      </c>
      <c r="H430">
        <v>18</v>
      </c>
      <c r="I430" t="str" cm="1">
        <f t="array" ref="I430">_xlfn.IFS(Table14[[#This Row],[Age]]&lt;18,"Children",Table14[[#This Row],[Age]]&lt;50,"Adult",Table14[[#This Row],[Age]]&gt;=50,"Elderly")</f>
        <v>Adult</v>
      </c>
      <c r="J430" t="s">
        <v>547</v>
      </c>
      <c r="K430" s="7">
        <v>425660</v>
      </c>
      <c r="L430" s="2" t="str" cm="1">
        <f t="array" ref="L430">_xlfn.IFS(Table14[[#This Row],[Treatment Cost]]&lt;50000,"Low Billing",Table14[[#This Row],[Treatment Cost]]&lt;200000,"Moderate Billing",Table14[[#This Row],[Treatment Cost]]&gt;=200000,"High Billing")</f>
        <v>High Billing</v>
      </c>
      <c r="M430" t="s">
        <v>403</v>
      </c>
      <c r="N430" t="str">
        <f>IF(AND(Table14[[#This Row],[Outcome]]="Follow-up",Table14[[#This Row],[Admission Status]]="Patient Discharged"),"High Risk Patient","Low Risk Patient")</f>
        <v>Low Risk Patient</v>
      </c>
      <c r="O430" t="str">
        <f>IFERROR(VLOOKUP(Table14[[#This Row],[Department]],Doctor_Info!A:D,2,FALSE), "")</f>
        <v>Dr. George</v>
      </c>
      <c r="P430" t="str">
        <f>IF(COUNTIF(A:A,Table14[[#This Row],[Patient ID]]&gt;1),"Returning Patient","New Patient")</f>
        <v>New Patient</v>
      </c>
      <c r="Q430" t="str">
        <f>_xlfn.XLOOKUP(Table14[[#This Row],[Department]], Doctor_Info!A:A, Doctor_Info!C:C, "")&amp;""</f>
        <v>405</v>
      </c>
      <c r="R430" t="str">
        <f>TEXT(Table14[[#This Row],[Admission Date]],"ddd")</f>
        <v>Sat</v>
      </c>
      <c r="S430" t="str">
        <f>TEXT(Table14[[#This Row],[Admission Date]],"mmm")</f>
        <v>Feb</v>
      </c>
      <c r="T430" t="str">
        <f>TEXT(Table14[[#This Row],[Admission Date]],"yyyy")</f>
        <v>2024</v>
      </c>
      <c r="U430" t="str">
        <f>TEXT(Table14[[#This Row],[Admission Date]],"mmm-yyyy")</f>
        <v>Feb-2024</v>
      </c>
      <c r="V430">
        <f t="shared" ca="1" si="6"/>
        <v>8</v>
      </c>
    </row>
    <row r="431" spans="1:22" x14ac:dyDescent="0.2">
      <c r="A431" t="s">
        <v>450</v>
      </c>
      <c r="B431" s="3">
        <v>45319</v>
      </c>
      <c r="C431" s="3">
        <v>45327</v>
      </c>
      <c r="D431">
        <f ca="1">IF(ISBLANK(Table14[[#This Row],[Discharge Date]]),TODAY()-Table14[[#This Row],[Admission Date]], Table14[[#This Row],[Discharge Date]]-Table14[[#This Row],[Admission Date]])</f>
        <v>8</v>
      </c>
      <c r="E431" s="6" t="str">
        <f>IF(Table14[[#This Row],[Discharge Date]]="","Still Admitted","Patient Discharged")</f>
        <v>Patient Discharged</v>
      </c>
      <c r="F431" s="6" t="str">
        <f>IF(WEEKDAY(Table14[[#This Row],[Admission Date]],2)&gt;5,"Weekend","Weekday")</f>
        <v>Weekend</v>
      </c>
      <c r="G431" t="s">
        <v>7</v>
      </c>
      <c r="H431">
        <v>20</v>
      </c>
      <c r="I431" t="str" cm="1">
        <f t="array" ref="I431">_xlfn.IFS(Table14[[#This Row],[Age]]&lt;18,"Children",Table14[[#This Row],[Age]]&lt;50,"Adult",Table14[[#This Row],[Age]]&gt;=50,"Elderly")</f>
        <v>Adult</v>
      </c>
      <c r="J431" t="s">
        <v>546</v>
      </c>
      <c r="K431" s="7">
        <v>426630</v>
      </c>
      <c r="L431" s="2" t="str" cm="1">
        <f t="array" ref="L431">_xlfn.IFS(Table14[[#This Row],[Treatment Cost]]&lt;50000,"Low Billing",Table14[[#This Row],[Treatment Cost]]&lt;200000,"Moderate Billing",Table14[[#This Row],[Treatment Cost]]&gt;=200000,"High Billing")</f>
        <v>High Billing</v>
      </c>
      <c r="M431" t="s">
        <v>8</v>
      </c>
      <c r="N431" t="str">
        <f>IF(AND(Table14[[#This Row],[Outcome]]="Follow-up",Table14[[#This Row],[Admission Status]]="Patient Discharged"),"High Risk Patient","Low Risk Patient")</f>
        <v>High Risk Patient</v>
      </c>
      <c r="O431" t="str">
        <f>IFERROR(VLOOKUP(Table14[[#This Row],[Department]],Doctor_Info!A:D,2,FALSE), "")</f>
        <v>Dr. Ada</v>
      </c>
      <c r="P431" t="str">
        <f>IF(COUNTIF(A:A,Table14[[#This Row],[Patient ID]]&gt;1),"Returning Patient","New Patient")</f>
        <v>New Patient</v>
      </c>
      <c r="Q431" t="str">
        <f>_xlfn.XLOOKUP(Table14[[#This Row],[Department]], Doctor_Info!A:A, Doctor_Info!C:C, "")&amp;""</f>
        <v>301</v>
      </c>
      <c r="R431" t="str">
        <f>TEXT(Table14[[#This Row],[Admission Date]],"ddd")</f>
        <v>Sun</v>
      </c>
      <c r="S431" t="str">
        <f>TEXT(Table14[[#This Row],[Admission Date]],"mmm")</f>
        <v>Jan</v>
      </c>
      <c r="T431" t="str">
        <f>TEXT(Table14[[#This Row],[Admission Date]],"yyyy")</f>
        <v>2024</v>
      </c>
      <c r="U431" t="str">
        <f>TEXT(Table14[[#This Row],[Admission Date]],"mmm-yyyy")</f>
        <v>Jan-2024</v>
      </c>
      <c r="V431">
        <f t="shared" ca="1" si="6"/>
        <v>8</v>
      </c>
    </row>
    <row r="432" spans="1:22" x14ac:dyDescent="0.2">
      <c r="A432" t="s">
        <v>451</v>
      </c>
      <c r="B432" s="3">
        <v>45323</v>
      </c>
      <c r="C432" s="3">
        <v>45324</v>
      </c>
      <c r="D432">
        <f ca="1">IF(ISBLANK(Table14[[#This Row],[Discharge Date]]),TODAY()-Table14[[#This Row],[Admission Date]], Table14[[#This Row],[Discharge Date]]-Table14[[#This Row],[Admission Date]])</f>
        <v>1</v>
      </c>
      <c r="E432" s="6" t="str">
        <f>IF(Table14[[#This Row],[Discharge Date]]="","Still Admitted","Patient Discharged")</f>
        <v>Patient Discharged</v>
      </c>
      <c r="F432" s="6" t="str">
        <f>IF(WEEKDAY(Table14[[#This Row],[Admission Date]],2)&gt;5,"Weekend","Weekday")</f>
        <v>Weekday</v>
      </c>
      <c r="G432" t="s">
        <v>528</v>
      </c>
      <c r="H432">
        <v>22</v>
      </c>
      <c r="I432" t="str" cm="1">
        <f t="array" ref="I432">_xlfn.IFS(Table14[[#This Row],[Age]]&lt;18,"Children",Table14[[#This Row],[Age]]&lt;50,"Adult",Table14[[#This Row],[Age]]&gt;=50,"Elderly")</f>
        <v>Adult</v>
      </c>
      <c r="J432" t="s">
        <v>547</v>
      </c>
      <c r="K432" s="7">
        <v>427600</v>
      </c>
      <c r="L432" s="2" t="str" cm="1">
        <f t="array" ref="L432">_xlfn.IFS(Table14[[#This Row],[Treatment Cost]]&lt;50000,"Low Billing",Table14[[#This Row],[Treatment Cost]]&lt;200000,"Moderate Billing",Table14[[#This Row],[Treatment Cost]]&gt;=200000,"High Billing")</f>
        <v>High Billing</v>
      </c>
      <c r="M432" t="s">
        <v>6</v>
      </c>
      <c r="N432" t="str">
        <f>IF(AND(Table14[[#This Row],[Outcome]]="Follow-up",Table14[[#This Row],[Admission Status]]="Patient Discharged"),"High Risk Patient","Low Risk Patient")</f>
        <v>Low Risk Patient</v>
      </c>
      <c r="O432" t="str">
        <f>IFERROR(VLOOKUP(Table14[[#This Row],[Department]],Doctor_Info!A:D,2,FALSE), "")</f>
        <v>Dr. Kofi</v>
      </c>
      <c r="P432" t="str">
        <f>IF(COUNTIF(A:A,Table14[[#This Row],[Patient ID]]&gt;1),"Returning Patient","New Patient")</f>
        <v>New Patient</v>
      </c>
      <c r="Q432" t="str">
        <f>_xlfn.XLOOKUP(Table14[[#This Row],[Department]], Doctor_Info!A:A, Doctor_Info!C:C, "")&amp;""</f>
        <v>102</v>
      </c>
      <c r="R432" t="str">
        <f>TEXT(Table14[[#This Row],[Admission Date]],"ddd")</f>
        <v>Thu</v>
      </c>
      <c r="S432" t="str">
        <f>TEXT(Table14[[#This Row],[Admission Date]],"mmm")</f>
        <v>Feb</v>
      </c>
      <c r="T432" t="str">
        <f>TEXT(Table14[[#This Row],[Admission Date]],"yyyy")</f>
        <v>2024</v>
      </c>
      <c r="U432" t="str">
        <f>TEXT(Table14[[#This Row],[Admission Date]],"mmm-yyyy")</f>
        <v>Feb-2024</v>
      </c>
      <c r="V432">
        <f t="shared" ca="1" si="6"/>
        <v>8</v>
      </c>
    </row>
    <row r="433" spans="1:22" x14ac:dyDescent="0.2">
      <c r="A433" t="s">
        <v>452</v>
      </c>
      <c r="B433" s="3">
        <v>45325</v>
      </c>
      <c r="C433" s="3">
        <v>45337</v>
      </c>
      <c r="D433">
        <f ca="1">IF(ISBLANK(Table14[[#This Row],[Discharge Date]]),TODAY()-Table14[[#This Row],[Admission Date]], Table14[[#This Row],[Discharge Date]]-Table14[[#This Row],[Admission Date]])</f>
        <v>12</v>
      </c>
      <c r="E433" s="6" t="str">
        <f>IF(Table14[[#This Row],[Discharge Date]]="","Still Admitted","Patient Discharged")</f>
        <v>Patient Discharged</v>
      </c>
      <c r="F433" s="6" t="str">
        <f>IF(WEEKDAY(Table14[[#This Row],[Admission Date]],2)&gt;5,"Weekend","Weekday")</f>
        <v>Weekend</v>
      </c>
      <c r="G433" t="s">
        <v>12</v>
      </c>
      <c r="H433">
        <v>24</v>
      </c>
      <c r="I433" t="str" cm="1">
        <f t="array" ref="I433">_xlfn.IFS(Table14[[#This Row],[Age]]&lt;18,"Children",Table14[[#This Row],[Age]]&lt;50,"Adult",Table14[[#This Row],[Age]]&gt;=50,"Elderly")</f>
        <v>Adult</v>
      </c>
      <c r="J433" t="s">
        <v>546</v>
      </c>
      <c r="K433" s="7">
        <v>428570</v>
      </c>
      <c r="L433" s="2" t="str" cm="1">
        <f t="array" ref="L433">_xlfn.IFS(Table14[[#This Row],[Treatment Cost]]&lt;50000,"Low Billing",Table14[[#This Row],[Treatment Cost]]&lt;200000,"Moderate Billing",Table14[[#This Row],[Treatment Cost]]&gt;=200000,"High Billing")</f>
        <v>High Billing</v>
      </c>
      <c r="M433" t="s">
        <v>8</v>
      </c>
      <c r="N433" t="str">
        <f>IF(AND(Table14[[#This Row],[Outcome]]="Follow-up",Table14[[#This Row],[Admission Status]]="Patient Discharged"),"High Risk Patient","Low Risk Patient")</f>
        <v>High Risk Patient</v>
      </c>
      <c r="O433" t="str">
        <f>IFERROR(VLOOKUP(Table14[[#This Row],[Department]],Doctor_Info!A:D,2,FALSE), "")</f>
        <v>Dr. Temi</v>
      </c>
      <c r="P433" t="str">
        <f>IF(COUNTIF(A:A,Table14[[#This Row],[Patient ID]]&gt;1),"Returning Patient","New Patient")</f>
        <v>New Patient</v>
      </c>
      <c r="Q433" t="str">
        <f>_xlfn.XLOOKUP(Table14[[#This Row],[Department]], Doctor_Info!A:A, Doctor_Info!C:C, "")&amp;""</f>
        <v>502</v>
      </c>
      <c r="R433" t="str">
        <f>TEXT(Table14[[#This Row],[Admission Date]],"ddd")</f>
        <v>Sat</v>
      </c>
      <c r="S433" t="str">
        <f>TEXT(Table14[[#This Row],[Admission Date]],"mmm")</f>
        <v>Feb</v>
      </c>
      <c r="T433" t="str">
        <f>TEXT(Table14[[#This Row],[Admission Date]],"yyyy")</f>
        <v>2024</v>
      </c>
      <c r="U433" t="str">
        <f>TEXT(Table14[[#This Row],[Admission Date]],"mmm-yyyy")</f>
        <v>Feb-2024</v>
      </c>
      <c r="V433">
        <f t="shared" ca="1" si="6"/>
        <v>8</v>
      </c>
    </row>
    <row r="434" spans="1:22" x14ac:dyDescent="0.2">
      <c r="A434" t="s">
        <v>453</v>
      </c>
      <c r="B434" s="3">
        <v>45327</v>
      </c>
      <c r="C434" s="3">
        <v>45328</v>
      </c>
      <c r="D434">
        <f ca="1">IF(ISBLANK(Table14[[#This Row],[Discharge Date]]),TODAY()-Table14[[#This Row],[Admission Date]], Table14[[#This Row],[Discharge Date]]-Table14[[#This Row],[Admission Date]])</f>
        <v>1</v>
      </c>
      <c r="E434" s="6" t="str">
        <f>IF(Table14[[#This Row],[Discharge Date]]="","Still Admitted","Patient Discharged")</f>
        <v>Patient Discharged</v>
      </c>
      <c r="F434" s="6" t="str">
        <f>IF(WEEKDAY(Table14[[#This Row],[Admission Date]],2)&gt;5,"Weekend","Weekday")</f>
        <v>Weekday</v>
      </c>
      <c r="G434" t="s">
        <v>528</v>
      </c>
      <c r="H434">
        <v>26</v>
      </c>
      <c r="I434" t="str" cm="1">
        <f t="array" ref="I434">_xlfn.IFS(Table14[[#This Row],[Age]]&lt;18,"Children",Table14[[#This Row],[Age]]&lt;50,"Adult",Table14[[#This Row],[Age]]&gt;=50,"Elderly")</f>
        <v>Adult</v>
      </c>
      <c r="J434" t="s">
        <v>547</v>
      </c>
      <c r="K434" s="7">
        <v>429540</v>
      </c>
      <c r="L434" s="2" t="str" cm="1">
        <f t="array" ref="L434">_xlfn.IFS(Table14[[#This Row],[Treatment Cost]]&lt;50000,"Low Billing",Table14[[#This Row],[Treatment Cost]]&lt;200000,"Moderate Billing",Table14[[#This Row],[Treatment Cost]]&gt;=200000,"High Billing")</f>
        <v>High Billing</v>
      </c>
      <c r="M434" t="s">
        <v>6</v>
      </c>
      <c r="N434" t="str">
        <f>IF(AND(Table14[[#This Row],[Outcome]]="Follow-up",Table14[[#This Row],[Admission Status]]="Patient Discharged"),"High Risk Patient","Low Risk Patient")</f>
        <v>Low Risk Patient</v>
      </c>
      <c r="O434" t="str">
        <f>IFERROR(VLOOKUP(Table14[[#This Row],[Department]],Doctor_Info!A:D,2,FALSE), "")</f>
        <v>Dr. Kofi</v>
      </c>
      <c r="P434" t="str">
        <f>IF(COUNTIF(A:A,Table14[[#This Row],[Patient ID]]&gt;1),"Returning Patient","New Patient")</f>
        <v>New Patient</v>
      </c>
      <c r="Q434" t="str">
        <f>_xlfn.XLOOKUP(Table14[[#This Row],[Department]], Doctor_Info!A:A, Doctor_Info!C:C, "")&amp;""</f>
        <v>102</v>
      </c>
      <c r="R434" t="str">
        <f>TEXT(Table14[[#This Row],[Admission Date]],"ddd")</f>
        <v>Mon</v>
      </c>
      <c r="S434" t="str">
        <f>TEXT(Table14[[#This Row],[Admission Date]],"mmm")</f>
        <v>Feb</v>
      </c>
      <c r="T434" t="str">
        <f>TEXT(Table14[[#This Row],[Admission Date]],"yyyy")</f>
        <v>2024</v>
      </c>
      <c r="U434" t="str">
        <f>TEXT(Table14[[#This Row],[Admission Date]],"mmm-yyyy")</f>
        <v>Feb-2024</v>
      </c>
      <c r="V434">
        <f t="shared" ca="1" si="6"/>
        <v>8</v>
      </c>
    </row>
    <row r="435" spans="1:22" x14ac:dyDescent="0.2">
      <c r="A435" t="s">
        <v>454</v>
      </c>
      <c r="B435" s="3">
        <v>45332</v>
      </c>
      <c r="D435">
        <f ca="1">IF(ISBLANK(Table14[[#This Row],[Discharge Date]]),TODAY()-Table14[[#This Row],[Admission Date]], Table14[[#This Row],[Discharge Date]]-Table14[[#This Row],[Admission Date]])</f>
        <v>806</v>
      </c>
      <c r="E435" s="6" t="str">
        <f>IF(Table14[[#This Row],[Discharge Date]]="","Still Admitted","Patient Discharged")</f>
        <v>Still Admitted</v>
      </c>
      <c r="F435" s="6" t="str">
        <f>IF(WEEKDAY(Table14[[#This Row],[Admission Date]],2)&gt;5,"Weekend","Weekday")</f>
        <v>Weekend</v>
      </c>
      <c r="G435" t="s">
        <v>10</v>
      </c>
      <c r="H435">
        <v>28</v>
      </c>
      <c r="I435" t="str" cm="1">
        <f t="array" ref="I435">_xlfn.IFS(Table14[[#This Row],[Age]]&lt;18,"Children",Table14[[#This Row],[Age]]&lt;50,"Adult",Table14[[#This Row],[Age]]&gt;=50,"Elderly")</f>
        <v>Adult</v>
      </c>
      <c r="J435" t="s">
        <v>547</v>
      </c>
      <c r="K435" s="7">
        <v>430510</v>
      </c>
      <c r="L435" s="2" t="str" cm="1">
        <f t="array" ref="L435">_xlfn.IFS(Table14[[#This Row],[Treatment Cost]]&lt;50000,"Low Billing",Table14[[#This Row],[Treatment Cost]]&lt;200000,"Moderate Billing",Table14[[#This Row],[Treatment Cost]]&gt;=200000,"High Billing")</f>
        <v>High Billing</v>
      </c>
      <c r="M435" t="s">
        <v>403</v>
      </c>
      <c r="N435" t="str">
        <f>IF(AND(Table14[[#This Row],[Outcome]]="Follow-up",Table14[[#This Row],[Admission Status]]="Patient Discharged"),"High Risk Patient","Low Risk Patient")</f>
        <v>Low Risk Patient</v>
      </c>
      <c r="O435" t="str">
        <f>IFERROR(VLOOKUP(Table14[[#This Row],[Department]],Doctor_Info!A:D,2,FALSE), "")</f>
        <v>Dr. George</v>
      </c>
      <c r="P435" t="str">
        <f>IF(COUNTIF(A:A,Table14[[#This Row],[Patient ID]]&gt;1),"Returning Patient","New Patient")</f>
        <v>New Patient</v>
      </c>
      <c r="Q435" t="str">
        <f>_xlfn.XLOOKUP(Table14[[#This Row],[Department]], Doctor_Info!A:A, Doctor_Info!C:C, "")&amp;""</f>
        <v>405</v>
      </c>
      <c r="R435" t="str">
        <f>TEXT(Table14[[#This Row],[Admission Date]],"ddd")</f>
        <v>Sat</v>
      </c>
      <c r="S435" t="str">
        <f>TEXT(Table14[[#This Row],[Admission Date]],"mmm")</f>
        <v>Feb</v>
      </c>
      <c r="T435" t="str">
        <f>TEXT(Table14[[#This Row],[Admission Date]],"yyyy")</f>
        <v>2024</v>
      </c>
      <c r="U435" t="str">
        <f>TEXT(Table14[[#This Row],[Admission Date]],"mmm-yyyy")</f>
        <v>Feb-2024</v>
      </c>
      <c r="V435">
        <f t="shared" ca="1" si="6"/>
        <v>8</v>
      </c>
    </row>
    <row r="436" spans="1:22" x14ac:dyDescent="0.2">
      <c r="A436" t="s">
        <v>455</v>
      </c>
      <c r="B436" s="3">
        <v>45319</v>
      </c>
      <c r="C436" s="3">
        <v>45327</v>
      </c>
      <c r="D436">
        <f ca="1">IF(ISBLANK(Table14[[#This Row],[Discharge Date]]),TODAY()-Table14[[#This Row],[Admission Date]], Table14[[#This Row],[Discharge Date]]-Table14[[#This Row],[Admission Date]])</f>
        <v>8</v>
      </c>
      <c r="E436" s="6" t="str">
        <f>IF(Table14[[#This Row],[Discharge Date]]="","Still Admitted","Patient Discharged")</f>
        <v>Patient Discharged</v>
      </c>
      <c r="F436" s="6" t="str">
        <f>IF(WEEKDAY(Table14[[#This Row],[Admission Date]],2)&gt;5,"Weekend","Weekday")</f>
        <v>Weekend</v>
      </c>
      <c r="G436" t="s">
        <v>7</v>
      </c>
      <c r="H436">
        <v>30</v>
      </c>
      <c r="I436" t="str" cm="1">
        <f t="array" ref="I436">_xlfn.IFS(Table14[[#This Row],[Age]]&lt;18,"Children",Table14[[#This Row],[Age]]&lt;50,"Adult",Table14[[#This Row],[Age]]&gt;=50,"Elderly")</f>
        <v>Adult</v>
      </c>
      <c r="J436" t="s">
        <v>546</v>
      </c>
      <c r="K436" s="7">
        <v>431480</v>
      </c>
      <c r="L436" s="2" t="str" cm="1">
        <f t="array" ref="L436">_xlfn.IFS(Table14[[#This Row],[Treatment Cost]]&lt;50000,"Low Billing",Table14[[#This Row],[Treatment Cost]]&lt;200000,"Moderate Billing",Table14[[#This Row],[Treatment Cost]]&gt;=200000,"High Billing")</f>
        <v>High Billing</v>
      </c>
      <c r="M436" t="s">
        <v>8</v>
      </c>
      <c r="N436" t="str">
        <f>IF(AND(Table14[[#This Row],[Outcome]]="Follow-up",Table14[[#This Row],[Admission Status]]="Patient Discharged"),"High Risk Patient","Low Risk Patient")</f>
        <v>High Risk Patient</v>
      </c>
      <c r="O436" t="str">
        <f>IFERROR(VLOOKUP(Table14[[#This Row],[Department]],Doctor_Info!A:D,2,FALSE), "")</f>
        <v>Dr. Ada</v>
      </c>
      <c r="P436" t="str">
        <f>IF(COUNTIF(A:A,Table14[[#This Row],[Patient ID]]&gt;1),"Returning Patient","New Patient")</f>
        <v>New Patient</v>
      </c>
      <c r="Q436" t="str">
        <f>_xlfn.XLOOKUP(Table14[[#This Row],[Department]], Doctor_Info!A:A, Doctor_Info!C:C, "")&amp;""</f>
        <v>301</v>
      </c>
      <c r="R436" t="str">
        <f>TEXT(Table14[[#This Row],[Admission Date]],"ddd")</f>
        <v>Sun</v>
      </c>
      <c r="S436" t="str">
        <f>TEXT(Table14[[#This Row],[Admission Date]],"mmm")</f>
        <v>Jan</v>
      </c>
      <c r="T436" t="str">
        <f>TEXT(Table14[[#This Row],[Admission Date]],"yyyy")</f>
        <v>2024</v>
      </c>
      <c r="U436" t="str">
        <f>TEXT(Table14[[#This Row],[Admission Date]],"mmm-yyyy")</f>
        <v>Jan-2024</v>
      </c>
      <c r="V436">
        <f t="shared" ca="1" si="6"/>
        <v>8</v>
      </c>
    </row>
    <row r="437" spans="1:22" x14ac:dyDescent="0.2">
      <c r="A437" t="s">
        <v>456</v>
      </c>
      <c r="B437" s="3">
        <v>45323</v>
      </c>
      <c r="C437" s="3">
        <v>45324</v>
      </c>
      <c r="D437">
        <f ca="1">IF(ISBLANK(Table14[[#This Row],[Discharge Date]]),TODAY()-Table14[[#This Row],[Admission Date]], Table14[[#This Row],[Discharge Date]]-Table14[[#This Row],[Admission Date]])</f>
        <v>1</v>
      </c>
      <c r="E437" s="6" t="str">
        <f>IF(Table14[[#This Row],[Discharge Date]]="","Still Admitted","Patient Discharged")</f>
        <v>Patient Discharged</v>
      </c>
      <c r="F437" s="6" t="str">
        <f>IF(WEEKDAY(Table14[[#This Row],[Admission Date]],2)&gt;5,"Weekend","Weekday")</f>
        <v>Weekday</v>
      </c>
      <c r="G437" t="s">
        <v>528</v>
      </c>
      <c r="H437">
        <v>32</v>
      </c>
      <c r="I437" t="str" cm="1">
        <f t="array" ref="I437">_xlfn.IFS(Table14[[#This Row],[Age]]&lt;18,"Children",Table14[[#This Row],[Age]]&lt;50,"Adult",Table14[[#This Row],[Age]]&gt;=50,"Elderly")</f>
        <v>Adult</v>
      </c>
      <c r="J437" t="s">
        <v>547</v>
      </c>
      <c r="K437" s="7">
        <v>432450</v>
      </c>
      <c r="L437" s="2" t="str" cm="1">
        <f t="array" ref="L437">_xlfn.IFS(Table14[[#This Row],[Treatment Cost]]&lt;50000,"Low Billing",Table14[[#This Row],[Treatment Cost]]&lt;200000,"Moderate Billing",Table14[[#This Row],[Treatment Cost]]&gt;=200000,"High Billing")</f>
        <v>High Billing</v>
      </c>
      <c r="M437" t="s">
        <v>6</v>
      </c>
      <c r="N437" t="str">
        <f>IF(AND(Table14[[#This Row],[Outcome]]="Follow-up",Table14[[#This Row],[Admission Status]]="Patient Discharged"),"High Risk Patient","Low Risk Patient")</f>
        <v>Low Risk Patient</v>
      </c>
      <c r="O437" t="str">
        <f>IFERROR(VLOOKUP(Table14[[#This Row],[Department]],Doctor_Info!A:D,2,FALSE), "")</f>
        <v>Dr. Kofi</v>
      </c>
      <c r="P437" t="str">
        <f>IF(COUNTIF(A:A,Table14[[#This Row],[Patient ID]]&gt;1),"Returning Patient","New Patient")</f>
        <v>New Patient</v>
      </c>
      <c r="Q437" t="str">
        <f>_xlfn.XLOOKUP(Table14[[#This Row],[Department]], Doctor_Info!A:A, Doctor_Info!C:C, "")&amp;""</f>
        <v>102</v>
      </c>
      <c r="R437" t="str">
        <f>TEXT(Table14[[#This Row],[Admission Date]],"ddd")</f>
        <v>Thu</v>
      </c>
      <c r="S437" t="str">
        <f>TEXT(Table14[[#This Row],[Admission Date]],"mmm")</f>
        <v>Feb</v>
      </c>
      <c r="T437" t="str">
        <f>TEXT(Table14[[#This Row],[Admission Date]],"yyyy")</f>
        <v>2024</v>
      </c>
      <c r="U437" t="str">
        <f>TEXT(Table14[[#This Row],[Admission Date]],"mmm-yyyy")</f>
        <v>Feb-2024</v>
      </c>
      <c r="V437">
        <f t="shared" ca="1" si="6"/>
        <v>8</v>
      </c>
    </row>
    <row r="438" spans="1:22" x14ac:dyDescent="0.2">
      <c r="A438" t="s">
        <v>457</v>
      </c>
      <c r="B438" s="3">
        <v>45325</v>
      </c>
      <c r="C438" s="3">
        <v>45337</v>
      </c>
      <c r="D438">
        <f ca="1">IF(ISBLANK(Table14[[#This Row],[Discharge Date]]),TODAY()-Table14[[#This Row],[Admission Date]], Table14[[#This Row],[Discharge Date]]-Table14[[#This Row],[Admission Date]])</f>
        <v>12</v>
      </c>
      <c r="E438" s="6" t="str">
        <f>IF(Table14[[#This Row],[Discharge Date]]="","Still Admitted","Patient Discharged")</f>
        <v>Patient Discharged</v>
      </c>
      <c r="F438" s="6" t="str">
        <f>IF(WEEKDAY(Table14[[#This Row],[Admission Date]],2)&gt;5,"Weekend","Weekday")</f>
        <v>Weekend</v>
      </c>
      <c r="G438" t="s">
        <v>12</v>
      </c>
      <c r="H438">
        <v>34</v>
      </c>
      <c r="I438" t="str" cm="1">
        <f t="array" ref="I438">_xlfn.IFS(Table14[[#This Row],[Age]]&lt;18,"Children",Table14[[#This Row],[Age]]&lt;50,"Adult",Table14[[#This Row],[Age]]&gt;=50,"Elderly")</f>
        <v>Adult</v>
      </c>
      <c r="J438" t="s">
        <v>546</v>
      </c>
      <c r="K438" s="7">
        <v>433420</v>
      </c>
      <c r="L438" s="2" t="str" cm="1">
        <f t="array" ref="L438">_xlfn.IFS(Table14[[#This Row],[Treatment Cost]]&lt;50000,"Low Billing",Table14[[#This Row],[Treatment Cost]]&lt;200000,"Moderate Billing",Table14[[#This Row],[Treatment Cost]]&gt;=200000,"High Billing")</f>
        <v>High Billing</v>
      </c>
      <c r="M438" t="s">
        <v>8</v>
      </c>
      <c r="N438" t="str">
        <f>IF(AND(Table14[[#This Row],[Outcome]]="Follow-up",Table14[[#This Row],[Admission Status]]="Patient Discharged"),"High Risk Patient","Low Risk Patient")</f>
        <v>High Risk Patient</v>
      </c>
      <c r="O438" t="str">
        <f>IFERROR(VLOOKUP(Table14[[#This Row],[Department]],Doctor_Info!A:D,2,FALSE), "")</f>
        <v>Dr. Temi</v>
      </c>
      <c r="P438" t="str">
        <f>IF(COUNTIF(A:A,Table14[[#This Row],[Patient ID]]&gt;1),"Returning Patient","New Patient")</f>
        <v>New Patient</v>
      </c>
      <c r="Q438" t="str">
        <f>_xlfn.XLOOKUP(Table14[[#This Row],[Department]], Doctor_Info!A:A, Doctor_Info!C:C, "")&amp;""</f>
        <v>502</v>
      </c>
      <c r="R438" t="str">
        <f>TEXT(Table14[[#This Row],[Admission Date]],"ddd")</f>
        <v>Sat</v>
      </c>
      <c r="S438" t="str">
        <f>TEXT(Table14[[#This Row],[Admission Date]],"mmm")</f>
        <v>Feb</v>
      </c>
      <c r="T438" t="str">
        <f>TEXT(Table14[[#This Row],[Admission Date]],"yyyy")</f>
        <v>2024</v>
      </c>
      <c r="U438" t="str">
        <f>TEXT(Table14[[#This Row],[Admission Date]],"mmm-yyyy")</f>
        <v>Feb-2024</v>
      </c>
      <c r="V438">
        <f t="shared" ca="1" si="6"/>
        <v>8</v>
      </c>
    </row>
    <row r="439" spans="1:22" x14ac:dyDescent="0.2">
      <c r="A439" t="s">
        <v>458</v>
      </c>
      <c r="B439" s="3">
        <v>45327</v>
      </c>
      <c r="C439" s="3">
        <v>45328</v>
      </c>
      <c r="D439">
        <f ca="1">IF(ISBLANK(Table14[[#This Row],[Discharge Date]]),TODAY()-Table14[[#This Row],[Admission Date]], Table14[[#This Row],[Discharge Date]]-Table14[[#This Row],[Admission Date]])</f>
        <v>1</v>
      </c>
      <c r="E439" s="6" t="str">
        <f>IF(Table14[[#This Row],[Discharge Date]]="","Still Admitted","Patient Discharged")</f>
        <v>Patient Discharged</v>
      </c>
      <c r="F439" s="6" t="str">
        <f>IF(WEEKDAY(Table14[[#This Row],[Admission Date]],2)&gt;5,"Weekend","Weekday")</f>
        <v>Weekday</v>
      </c>
      <c r="G439" t="s">
        <v>528</v>
      </c>
      <c r="H439">
        <v>36</v>
      </c>
      <c r="I439" t="str" cm="1">
        <f t="array" ref="I439">_xlfn.IFS(Table14[[#This Row],[Age]]&lt;18,"Children",Table14[[#This Row],[Age]]&lt;50,"Adult",Table14[[#This Row],[Age]]&gt;=50,"Elderly")</f>
        <v>Adult</v>
      </c>
      <c r="J439" t="s">
        <v>547</v>
      </c>
      <c r="K439" s="7">
        <v>434390</v>
      </c>
      <c r="L439" s="2" t="str" cm="1">
        <f t="array" ref="L439">_xlfn.IFS(Table14[[#This Row],[Treatment Cost]]&lt;50000,"Low Billing",Table14[[#This Row],[Treatment Cost]]&lt;200000,"Moderate Billing",Table14[[#This Row],[Treatment Cost]]&gt;=200000,"High Billing")</f>
        <v>High Billing</v>
      </c>
      <c r="M439" t="s">
        <v>6</v>
      </c>
      <c r="N439" t="str">
        <f>IF(AND(Table14[[#This Row],[Outcome]]="Follow-up",Table14[[#This Row],[Admission Status]]="Patient Discharged"),"High Risk Patient","Low Risk Patient")</f>
        <v>Low Risk Patient</v>
      </c>
      <c r="O439" t="str">
        <f>IFERROR(VLOOKUP(Table14[[#This Row],[Department]],Doctor_Info!A:D,2,FALSE), "")</f>
        <v>Dr. Kofi</v>
      </c>
      <c r="P439" t="str">
        <f>IF(COUNTIF(A:A,Table14[[#This Row],[Patient ID]]&gt;1),"Returning Patient","New Patient")</f>
        <v>New Patient</v>
      </c>
      <c r="Q439" t="str">
        <f>_xlfn.XLOOKUP(Table14[[#This Row],[Department]], Doctor_Info!A:A, Doctor_Info!C:C, "")&amp;""</f>
        <v>102</v>
      </c>
      <c r="R439" t="str">
        <f>TEXT(Table14[[#This Row],[Admission Date]],"ddd")</f>
        <v>Mon</v>
      </c>
      <c r="S439" t="str">
        <f>TEXT(Table14[[#This Row],[Admission Date]],"mmm")</f>
        <v>Feb</v>
      </c>
      <c r="T439" t="str">
        <f>TEXT(Table14[[#This Row],[Admission Date]],"yyyy")</f>
        <v>2024</v>
      </c>
      <c r="U439" t="str">
        <f>TEXT(Table14[[#This Row],[Admission Date]],"mmm-yyyy")</f>
        <v>Feb-2024</v>
      </c>
      <c r="V439">
        <f t="shared" ca="1" si="6"/>
        <v>8</v>
      </c>
    </row>
    <row r="440" spans="1:22" x14ac:dyDescent="0.2">
      <c r="A440" t="s">
        <v>459</v>
      </c>
      <c r="B440" s="3">
        <v>45332</v>
      </c>
      <c r="D440">
        <f ca="1">IF(ISBLANK(Table14[[#This Row],[Discharge Date]]),TODAY()-Table14[[#This Row],[Admission Date]], Table14[[#This Row],[Discharge Date]]-Table14[[#This Row],[Admission Date]])</f>
        <v>806</v>
      </c>
      <c r="E440" s="6" t="str">
        <f>IF(Table14[[#This Row],[Discharge Date]]="","Still Admitted","Patient Discharged")</f>
        <v>Still Admitted</v>
      </c>
      <c r="F440" s="6" t="str">
        <f>IF(WEEKDAY(Table14[[#This Row],[Admission Date]],2)&gt;5,"Weekend","Weekday")</f>
        <v>Weekend</v>
      </c>
      <c r="G440" t="s">
        <v>10</v>
      </c>
      <c r="H440">
        <v>38</v>
      </c>
      <c r="I440" t="str" cm="1">
        <f t="array" ref="I440">_xlfn.IFS(Table14[[#This Row],[Age]]&lt;18,"Children",Table14[[#This Row],[Age]]&lt;50,"Adult",Table14[[#This Row],[Age]]&gt;=50,"Elderly")</f>
        <v>Adult</v>
      </c>
      <c r="J440" t="s">
        <v>547</v>
      </c>
      <c r="K440" s="7">
        <v>435360</v>
      </c>
      <c r="L440" s="2" t="str" cm="1">
        <f t="array" ref="L440">_xlfn.IFS(Table14[[#This Row],[Treatment Cost]]&lt;50000,"Low Billing",Table14[[#This Row],[Treatment Cost]]&lt;200000,"Moderate Billing",Table14[[#This Row],[Treatment Cost]]&gt;=200000,"High Billing")</f>
        <v>High Billing</v>
      </c>
      <c r="M440" t="s">
        <v>403</v>
      </c>
      <c r="N440" t="str">
        <f>IF(AND(Table14[[#This Row],[Outcome]]="Follow-up",Table14[[#This Row],[Admission Status]]="Patient Discharged"),"High Risk Patient","Low Risk Patient")</f>
        <v>Low Risk Patient</v>
      </c>
      <c r="O440" t="str">
        <f>IFERROR(VLOOKUP(Table14[[#This Row],[Department]],Doctor_Info!A:D,2,FALSE), "")</f>
        <v>Dr. George</v>
      </c>
      <c r="P440" t="str">
        <f>IF(COUNTIF(A:A,Table14[[#This Row],[Patient ID]]&gt;1),"Returning Patient","New Patient")</f>
        <v>New Patient</v>
      </c>
      <c r="Q440" t="str">
        <f>_xlfn.XLOOKUP(Table14[[#This Row],[Department]], Doctor_Info!A:A, Doctor_Info!C:C, "")&amp;""</f>
        <v>405</v>
      </c>
      <c r="R440" t="str">
        <f>TEXT(Table14[[#This Row],[Admission Date]],"ddd")</f>
        <v>Sat</v>
      </c>
      <c r="S440" t="str">
        <f>TEXT(Table14[[#This Row],[Admission Date]],"mmm")</f>
        <v>Feb</v>
      </c>
      <c r="T440" t="str">
        <f>TEXT(Table14[[#This Row],[Admission Date]],"yyyy")</f>
        <v>2024</v>
      </c>
      <c r="U440" t="str">
        <f>TEXT(Table14[[#This Row],[Admission Date]],"mmm-yyyy")</f>
        <v>Feb-2024</v>
      </c>
      <c r="V440">
        <f t="shared" ca="1" si="6"/>
        <v>8</v>
      </c>
    </row>
    <row r="441" spans="1:22" x14ac:dyDescent="0.2">
      <c r="A441" t="s">
        <v>460</v>
      </c>
      <c r="B441" s="3">
        <v>45319</v>
      </c>
      <c r="C441" s="3">
        <v>45327</v>
      </c>
      <c r="D441">
        <f ca="1">IF(ISBLANK(Table14[[#This Row],[Discharge Date]]),TODAY()-Table14[[#This Row],[Admission Date]], Table14[[#This Row],[Discharge Date]]-Table14[[#This Row],[Admission Date]])</f>
        <v>8</v>
      </c>
      <c r="E441" s="6" t="str">
        <f>IF(Table14[[#This Row],[Discharge Date]]="","Still Admitted","Patient Discharged")</f>
        <v>Patient Discharged</v>
      </c>
      <c r="F441" s="6" t="str">
        <f>IF(WEEKDAY(Table14[[#This Row],[Admission Date]],2)&gt;5,"Weekend","Weekday")</f>
        <v>Weekend</v>
      </c>
      <c r="G441" t="s">
        <v>7</v>
      </c>
      <c r="H441">
        <v>40</v>
      </c>
      <c r="I441" t="str" cm="1">
        <f t="array" ref="I441">_xlfn.IFS(Table14[[#This Row],[Age]]&lt;18,"Children",Table14[[#This Row],[Age]]&lt;50,"Adult",Table14[[#This Row],[Age]]&gt;=50,"Elderly")</f>
        <v>Adult</v>
      </c>
      <c r="J441" t="s">
        <v>546</v>
      </c>
      <c r="K441" s="7">
        <v>436330</v>
      </c>
      <c r="L441" s="2" t="str" cm="1">
        <f t="array" ref="L441">_xlfn.IFS(Table14[[#This Row],[Treatment Cost]]&lt;50000,"Low Billing",Table14[[#This Row],[Treatment Cost]]&lt;200000,"Moderate Billing",Table14[[#This Row],[Treatment Cost]]&gt;=200000,"High Billing")</f>
        <v>High Billing</v>
      </c>
      <c r="M441" t="s">
        <v>8</v>
      </c>
      <c r="N441" t="str">
        <f>IF(AND(Table14[[#This Row],[Outcome]]="Follow-up",Table14[[#This Row],[Admission Status]]="Patient Discharged"),"High Risk Patient","Low Risk Patient")</f>
        <v>High Risk Patient</v>
      </c>
      <c r="O441" t="str">
        <f>IFERROR(VLOOKUP(Table14[[#This Row],[Department]],Doctor_Info!A:D,2,FALSE), "")</f>
        <v>Dr. Ada</v>
      </c>
      <c r="P441" t="str">
        <f>IF(COUNTIF(A:A,Table14[[#This Row],[Patient ID]]&gt;1),"Returning Patient","New Patient")</f>
        <v>New Patient</v>
      </c>
      <c r="Q441" t="str">
        <f>_xlfn.XLOOKUP(Table14[[#This Row],[Department]], Doctor_Info!A:A, Doctor_Info!C:C, "")&amp;""</f>
        <v>301</v>
      </c>
      <c r="R441" t="str">
        <f>TEXT(Table14[[#This Row],[Admission Date]],"ddd")</f>
        <v>Sun</v>
      </c>
      <c r="S441" t="str">
        <f>TEXT(Table14[[#This Row],[Admission Date]],"mmm")</f>
        <v>Jan</v>
      </c>
      <c r="T441" t="str">
        <f>TEXT(Table14[[#This Row],[Admission Date]],"yyyy")</f>
        <v>2024</v>
      </c>
      <c r="U441" t="str">
        <f>TEXT(Table14[[#This Row],[Admission Date]],"mmm-yyyy")</f>
        <v>Jan-2024</v>
      </c>
      <c r="V441">
        <f t="shared" ca="1" si="6"/>
        <v>8</v>
      </c>
    </row>
    <row r="442" spans="1:22" x14ac:dyDescent="0.2">
      <c r="A442" t="s">
        <v>461</v>
      </c>
      <c r="B442" s="3">
        <v>45323</v>
      </c>
      <c r="C442" s="3">
        <v>45324</v>
      </c>
      <c r="D442">
        <f ca="1">IF(ISBLANK(Table14[[#This Row],[Discharge Date]]),TODAY()-Table14[[#This Row],[Admission Date]], Table14[[#This Row],[Discharge Date]]-Table14[[#This Row],[Admission Date]])</f>
        <v>1</v>
      </c>
      <c r="E442" s="6" t="str">
        <f>IF(Table14[[#This Row],[Discharge Date]]="","Still Admitted","Patient Discharged")</f>
        <v>Patient Discharged</v>
      </c>
      <c r="F442" s="6" t="str">
        <f>IF(WEEKDAY(Table14[[#This Row],[Admission Date]],2)&gt;5,"Weekend","Weekday")</f>
        <v>Weekday</v>
      </c>
      <c r="G442" t="s">
        <v>528</v>
      </c>
      <c r="H442">
        <v>42</v>
      </c>
      <c r="I442" t="str" cm="1">
        <f t="array" ref="I442">_xlfn.IFS(Table14[[#This Row],[Age]]&lt;18,"Children",Table14[[#This Row],[Age]]&lt;50,"Adult",Table14[[#This Row],[Age]]&gt;=50,"Elderly")</f>
        <v>Adult</v>
      </c>
      <c r="J442" t="s">
        <v>547</v>
      </c>
      <c r="K442" s="7">
        <v>437300</v>
      </c>
      <c r="L442" s="2" t="str" cm="1">
        <f t="array" ref="L442">_xlfn.IFS(Table14[[#This Row],[Treatment Cost]]&lt;50000,"Low Billing",Table14[[#This Row],[Treatment Cost]]&lt;200000,"Moderate Billing",Table14[[#This Row],[Treatment Cost]]&gt;=200000,"High Billing")</f>
        <v>High Billing</v>
      </c>
      <c r="M442" t="s">
        <v>6</v>
      </c>
      <c r="N442" t="str">
        <f>IF(AND(Table14[[#This Row],[Outcome]]="Follow-up",Table14[[#This Row],[Admission Status]]="Patient Discharged"),"High Risk Patient","Low Risk Patient")</f>
        <v>Low Risk Patient</v>
      </c>
      <c r="O442" t="str">
        <f>IFERROR(VLOOKUP(Table14[[#This Row],[Department]],Doctor_Info!A:D,2,FALSE), "")</f>
        <v>Dr. Kofi</v>
      </c>
      <c r="P442" t="str">
        <f>IF(COUNTIF(A:A,Table14[[#This Row],[Patient ID]]&gt;1),"Returning Patient","New Patient")</f>
        <v>New Patient</v>
      </c>
      <c r="Q442" t="str">
        <f>_xlfn.XLOOKUP(Table14[[#This Row],[Department]], Doctor_Info!A:A, Doctor_Info!C:C, "")&amp;""</f>
        <v>102</v>
      </c>
      <c r="R442" t="str">
        <f>TEXT(Table14[[#This Row],[Admission Date]],"ddd")</f>
        <v>Thu</v>
      </c>
      <c r="S442" t="str">
        <f>TEXT(Table14[[#This Row],[Admission Date]],"mmm")</f>
        <v>Feb</v>
      </c>
      <c r="T442" t="str">
        <f>TEXT(Table14[[#This Row],[Admission Date]],"yyyy")</f>
        <v>2024</v>
      </c>
      <c r="U442" t="str">
        <f>TEXT(Table14[[#This Row],[Admission Date]],"mmm-yyyy")</f>
        <v>Feb-2024</v>
      </c>
      <c r="V442">
        <f t="shared" ca="1" si="6"/>
        <v>8</v>
      </c>
    </row>
    <row r="443" spans="1:22" x14ac:dyDescent="0.2">
      <c r="A443" t="s">
        <v>462</v>
      </c>
      <c r="B443" s="3">
        <v>45325</v>
      </c>
      <c r="C443" s="3">
        <v>45337</v>
      </c>
      <c r="D443">
        <f ca="1">IF(ISBLANK(Table14[[#This Row],[Discharge Date]]),TODAY()-Table14[[#This Row],[Admission Date]], Table14[[#This Row],[Discharge Date]]-Table14[[#This Row],[Admission Date]])</f>
        <v>12</v>
      </c>
      <c r="E443" s="6" t="str">
        <f>IF(Table14[[#This Row],[Discharge Date]]="","Still Admitted","Patient Discharged")</f>
        <v>Patient Discharged</v>
      </c>
      <c r="F443" s="6" t="str">
        <f>IF(WEEKDAY(Table14[[#This Row],[Admission Date]],2)&gt;5,"Weekend","Weekday")</f>
        <v>Weekend</v>
      </c>
      <c r="G443" t="s">
        <v>12</v>
      </c>
      <c r="H443">
        <v>44</v>
      </c>
      <c r="I443" t="str" cm="1">
        <f t="array" ref="I443">_xlfn.IFS(Table14[[#This Row],[Age]]&lt;18,"Children",Table14[[#This Row],[Age]]&lt;50,"Adult",Table14[[#This Row],[Age]]&gt;=50,"Elderly")</f>
        <v>Adult</v>
      </c>
      <c r="J443" t="s">
        <v>546</v>
      </c>
      <c r="K443" s="7">
        <v>438270</v>
      </c>
      <c r="L443" s="2" t="str" cm="1">
        <f t="array" ref="L443">_xlfn.IFS(Table14[[#This Row],[Treatment Cost]]&lt;50000,"Low Billing",Table14[[#This Row],[Treatment Cost]]&lt;200000,"Moderate Billing",Table14[[#This Row],[Treatment Cost]]&gt;=200000,"High Billing")</f>
        <v>High Billing</v>
      </c>
      <c r="M443" t="s">
        <v>8</v>
      </c>
      <c r="N443" t="str">
        <f>IF(AND(Table14[[#This Row],[Outcome]]="Follow-up",Table14[[#This Row],[Admission Status]]="Patient Discharged"),"High Risk Patient","Low Risk Patient")</f>
        <v>High Risk Patient</v>
      </c>
      <c r="O443" t="str">
        <f>IFERROR(VLOOKUP(Table14[[#This Row],[Department]],Doctor_Info!A:D,2,FALSE), "")</f>
        <v>Dr. Temi</v>
      </c>
      <c r="P443" t="str">
        <f>IF(COUNTIF(A:A,Table14[[#This Row],[Patient ID]]&gt;1),"Returning Patient","New Patient")</f>
        <v>New Patient</v>
      </c>
      <c r="Q443" t="str">
        <f>_xlfn.XLOOKUP(Table14[[#This Row],[Department]], Doctor_Info!A:A, Doctor_Info!C:C, "")&amp;""</f>
        <v>502</v>
      </c>
      <c r="R443" t="str">
        <f>TEXT(Table14[[#This Row],[Admission Date]],"ddd")</f>
        <v>Sat</v>
      </c>
      <c r="S443" t="str">
        <f>TEXT(Table14[[#This Row],[Admission Date]],"mmm")</f>
        <v>Feb</v>
      </c>
      <c r="T443" t="str">
        <f>TEXT(Table14[[#This Row],[Admission Date]],"yyyy")</f>
        <v>2024</v>
      </c>
      <c r="U443" t="str">
        <f>TEXT(Table14[[#This Row],[Admission Date]],"mmm-yyyy")</f>
        <v>Feb-2024</v>
      </c>
      <c r="V443">
        <f t="shared" ca="1" si="6"/>
        <v>8</v>
      </c>
    </row>
    <row r="444" spans="1:22" x14ac:dyDescent="0.2">
      <c r="A444" t="s">
        <v>463</v>
      </c>
      <c r="B444" s="3">
        <v>45327</v>
      </c>
      <c r="C444" s="3">
        <v>45328</v>
      </c>
      <c r="D444">
        <f ca="1">IF(ISBLANK(Table14[[#This Row],[Discharge Date]]),TODAY()-Table14[[#This Row],[Admission Date]], Table14[[#This Row],[Discharge Date]]-Table14[[#This Row],[Admission Date]])</f>
        <v>1</v>
      </c>
      <c r="E444" s="6" t="str">
        <f>IF(Table14[[#This Row],[Discharge Date]]="","Still Admitted","Patient Discharged")</f>
        <v>Patient Discharged</v>
      </c>
      <c r="F444" s="6" t="str">
        <f>IF(WEEKDAY(Table14[[#This Row],[Admission Date]],2)&gt;5,"Weekend","Weekday")</f>
        <v>Weekday</v>
      </c>
      <c r="G444" t="s">
        <v>528</v>
      </c>
      <c r="H444">
        <v>46</v>
      </c>
      <c r="I444" t="str" cm="1">
        <f t="array" ref="I444">_xlfn.IFS(Table14[[#This Row],[Age]]&lt;18,"Children",Table14[[#This Row],[Age]]&lt;50,"Adult",Table14[[#This Row],[Age]]&gt;=50,"Elderly")</f>
        <v>Adult</v>
      </c>
      <c r="J444" t="s">
        <v>547</v>
      </c>
      <c r="K444" s="7">
        <v>439240</v>
      </c>
      <c r="L444" s="2" t="str" cm="1">
        <f t="array" ref="L444">_xlfn.IFS(Table14[[#This Row],[Treatment Cost]]&lt;50000,"Low Billing",Table14[[#This Row],[Treatment Cost]]&lt;200000,"Moderate Billing",Table14[[#This Row],[Treatment Cost]]&gt;=200000,"High Billing")</f>
        <v>High Billing</v>
      </c>
      <c r="M444" t="s">
        <v>6</v>
      </c>
      <c r="N444" t="str">
        <f>IF(AND(Table14[[#This Row],[Outcome]]="Follow-up",Table14[[#This Row],[Admission Status]]="Patient Discharged"),"High Risk Patient","Low Risk Patient")</f>
        <v>Low Risk Patient</v>
      </c>
      <c r="O444" t="str">
        <f>IFERROR(VLOOKUP(Table14[[#This Row],[Department]],Doctor_Info!A:D,2,FALSE), "")</f>
        <v>Dr. Kofi</v>
      </c>
      <c r="P444" t="str">
        <f>IF(COUNTIF(A:A,Table14[[#This Row],[Patient ID]]&gt;1),"Returning Patient","New Patient")</f>
        <v>New Patient</v>
      </c>
      <c r="Q444" t="str">
        <f>_xlfn.XLOOKUP(Table14[[#This Row],[Department]], Doctor_Info!A:A, Doctor_Info!C:C, "")&amp;""</f>
        <v>102</v>
      </c>
      <c r="R444" t="str">
        <f>TEXT(Table14[[#This Row],[Admission Date]],"ddd")</f>
        <v>Mon</v>
      </c>
      <c r="S444" t="str">
        <f>TEXT(Table14[[#This Row],[Admission Date]],"mmm")</f>
        <v>Feb</v>
      </c>
      <c r="T444" t="str">
        <f>TEXT(Table14[[#This Row],[Admission Date]],"yyyy")</f>
        <v>2024</v>
      </c>
      <c r="U444" t="str">
        <f>TEXT(Table14[[#This Row],[Admission Date]],"mmm-yyyy")</f>
        <v>Feb-2024</v>
      </c>
      <c r="V444">
        <f t="shared" ca="1" si="6"/>
        <v>8</v>
      </c>
    </row>
    <row r="445" spans="1:22" x14ac:dyDescent="0.2">
      <c r="A445" t="s">
        <v>464</v>
      </c>
      <c r="B445" s="3">
        <v>45332</v>
      </c>
      <c r="D445">
        <f ca="1">IF(ISBLANK(Table14[[#This Row],[Discharge Date]]),TODAY()-Table14[[#This Row],[Admission Date]], Table14[[#This Row],[Discharge Date]]-Table14[[#This Row],[Admission Date]])</f>
        <v>806</v>
      </c>
      <c r="E445" s="6" t="str">
        <f>IF(Table14[[#This Row],[Discharge Date]]="","Still Admitted","Patient Discharged")</f>
        <v>Still Admitted</v>
      </c>
      <c r="F445" s="6" t="str">
        <f>IF(WEEKDAY(Table14[[#This Row],[Admission Date]],2)&gt;5,"Weekend","Weekday")</f>
        <v>Weekend</v>
      </c>
      <c r="G445" t="s">
        <v>10</v>
      </c>
      <c r="H445">
        <v>48</v>
      </c>
      <c r="I445" t="str" cm="1">
        <f t="array" ref="I445">_xlfn.IFS(Table14[[#This Row],[Age]]&lt;18,"Children",Table14[[#This Row],[Age]]&lt;50,"Adult",Table14[[#This Row],[Age]]&gt;=50,"Elderly")</f>
        <v>Adult</v>
      </c>
      <c r="J445" t="s">
        <v>547</v>
      </c>
      <c r="K445" s="7">
        <v>440210</v>
      </c>
      <c r="L445" s="2" t="str" cm="1">
        <f t="array" ref="L445">_xlfn.IFS(Table14[[#This Row],[Treatment Cost]]&lt;50000,"Low Billing",Table14[[#This Row],[Treatment Cost]]&lt;200000,"Moderate Billing",Table14[[#This Row],[Treatment Cost]]&gt;=200000,"High Billing")</f>
        <v>High Billing</v>
      </c>
      <c r="M445" t="s">
        <v>403</v>
      </c>
      <c r="N445" t="str">
        <f>IF(AND(Table14[[#This Row],[Outcome]]="Follow-up",Table14[[#This Row],[Admission Status]]="Patient Discharged"),"High Risk Patient","Low Risk Patient")</f>
        <v>Low Risk Patient</v>
      </c>
      <c r="O445" t="str">
        <f>IFERROR(VLOOKUP(Table14[[#This Row],[Department]],Doctor_Info!A:D,2,FALSE), "")</f>
        <v>Dr. George</v>
      </c>
      <c r="P445" t="str">
        <f>IF(COUNTIF(A:A,Table14[[#This Row],[Patient ID]]&gt;1),"Returning Patient","New Patient")</f>
        <v>New Patient</v>
      </c>
      <c r="Q445" t="str">
        <f>_xlfn.XLOOKUP(Table14[[#This Row],[Department]], Doctor_Info!A:A, Doctor_Info!C:C, "")&amp;""</f>
        <v>405</v>
      </c>
      <c r="R445" t="str">
        <f>TEXT(Table14[[#This Row],[Admission Date]],"ddd")</f>
        <v>Sat</v>
      </c>
      <c r="S445" t="str">
        <f>TEXT(Table14[[#This Row],[Admission Date]],"mmm")</f>
        <v>Feb</v>
      </c>
      <c r="T445" t="str">
        <f>TEXT(Table14[[#This Row],[Admission Date]],"yyyy")</f>
        <v>2024</v>
      </c>
      <c r="U445" t="str">
        <f>TEXT(Table14[[#This Row],[Admission Date]],"mmm-yyyy")</f>
        <v>Feb-2024</v>
      </c>
      <c r="V445">
        <f t="shared" ca="1" si="6"/>
        <v>8</v>
      </c>
    </row>
    <row r="446" spans="1:22" x14ac:dyDescent="0.2">
      <c r="A446" t="s">
        <v>465</v>
      </c>
      <c r="B446" s="3">
        <v>45319</v>
      </c>
      <c r="C446" s="3">
        <v>45327</v>
      </c>
      <c r="D446">
        <f ca="1">IF(ISBLANK(Table14[[#This Row],[Discharge Date]]),TODAY()-Table14[[#This Row],[Admission Date]], Table14[[#This Row],[Discharge Date]]-Table14[[#This Row],[Admission Date]])</f>
        <v>8</v>
      </c>
      <c r="E446" s="6" t="str">
        <f>IF(Table14[[#This Row],[Discharge Date]]="","Still Admitted","Patient Discharged")</f>
        <v>Patient Discharged</v>
      </c>
      <c r="F446" s="6" t="str">
        <f>IF(WEEKDAY(Table14[[#This Row],[Admission Date]],2)&gt;5,"Weekend","Weekday")</f>
        <v>Weekend</v>
      </c>
      <c r="G446" t="s">
        <v>7</v>
      </c>
      <c r="H446">
        <v>50</v>
      </c>
      <c r="I446" t="str" cm="1">
        <f t="array" ref="I446">_xlfn.IFS(Table14[[#This Row],[Age]]&lt;18,"Children",Table14[[#This Row],[Age]]&lt;50,"Adult",Table14[[#This Row],[Age]]&gt;=50,"Elderly")</f>
        <v>Elderly</v>
      </c>
      <c r="J446" t="s">
        <v>546</v>
      </c>
      <c r="K446" s="7">
        <v>441180</v>
      </c>
      <c r="L446" s="2" t="str" cm="1">
        <f t="array" ref="L446">_xlfn.IFS(Table14[[#This Row],[Treatment Cost]]&lt;50000,"Low Billing",Table14[[#This Row],[Treatment Cost]]&lt;200000,"Moderate Billing",Table14[[#This Row],[Treatment Cost]]&gt;=200000,"High Billing")</f>
        <v>High Billing</v>
      </c>
      <c r="M446" t="s">
        <v>8</v>
      </c>
      <c r="N446" t="str">
        <f>IF(AND(Table14[[#This Row],[Outcome]]="Follow-up",Table14[[#This Row],[Admission Status]]="Patient Discharged"),"High Risk Patient","Low Risk Patient")</f>
        <v>High Risk Patient</v>
      </c>
      <c r="O446" t="str">
        <f>IFERROR(VLOOKUP(Table14[[#This Row],[Department]],Doctor_Info!A:D,2,FALSE), "")</f>
        <v>Dr. Ada</v>
      </c>
      <c r="P446" t="str">
        <f>IF(COUNTIF(A:A,Table14[[#This Row],[Patient ID]]&gt;1),"Returning Patient","New Patient")</f>
        <v>New Patient</v>
      </c>
      <c r="Q446" t="str">
        <f>_xlfn.XLOOKUP(Table14[[#This Row],[Department]], Doctor_Info!A:A, Doctor_Info!C:C, "")&amp;""</f>
        <v>301</v>
      </c>
      <c r="R446" t="str">
        <f>TEXT(Table14[[#This Row],[Admission Date]],"ddd")</f>
        <v>Sun</v>
      </c>
      <c r="S446" t="str">
        <f>TEXT(Table14[[#This Row],[Admission Date]],"mmm")</f>
        <v>Jan</v>
      </c>
      <c r="T446" t="str">
        <f>TEXT(Table14[[#This Row],[Admission Date]],"yyyy")</f>
        <v>2024</v>
      </c>
      <c r="U446" t="str">
        <f>TEXT(Table14[[#This Row],[Admission Date]],"mmm-yyyy")</f>
        <v>Jan-2024</v>
      </c>
      <c r="V446">
        <f t="shared" ca="1" si="6"/>
        <v>8</v>
      </c>
    </row>
    <row r="447" spans="1:22" x14ac:dyDescent="0.2">
      <c r="A447" t="s">
        <v>466</v>
      </c>
      <c r="B447" s="3">
        <v>45323</v>
      </c>
      <c r="C447" s="3">
        <v>45324</v>
      </c>
      <c r="D447">
        <f ca="1">IF(ISBLANK(Table14[[#This Row],[Discharge Date]]),TODAY()-Table14[[#This Row],[Admission Date]], Table14[[#This Row],[Discharge Date]]-Table14[[#This Row],[Admission Date]])</f>
        <v>1</v>
      </c>
      <c r="E447" s="6" t="str">
        <f>IF(Table14[[#This Row],[Discharge Date]]="","Still Admitted","Patient Discharged")</f>
        <v>Patient Discharged</v>
      </c>
      <c r="F447" s="6" t="str">
        <f>IF(WEEKDAY(Table14[[#This Row],[Admission Date]],2)&gt;5,"Weekend","Weekday")</f>
        <v>Weekday</v>
      </c>
      <c r="G447" t="s">
        <v>528</v>
      </c>
      <c r="H447">
        <v>52</v>
      </c>
      <c r="I447" t="str" cm="1">
        <f t="array" ref="I447">_xlfn.IFS(Table14[[#This Row],[Age]]&lt;18,"Children",Table14[[#This Row],[Age]]&lt;50,"Adult",Table14[[#This Row],[Age]]&gt;=50,"Elderly")</f>
        <v>Elderly</v>
      </c>
      <c r="J447" t="s">
        <v>547</v>
      </c>
      <c r="K447" s="7">
        <v>442150</v>
      </c>
      <c r="L447" s="2" t="str" cm="1">
        <f t="array" ref="L447">_xlfn.IFS(Table14[[#This Row],[Treatment Cost]]&lt;50000,"Low Billing",Table14[[#This Row],[Treatment Cost]]&lt;200000,"Moderate Billing",Table14[[#This Row],[Treatment Cost]]&gt;=200000,"High Billing")</f>
        <v>High Billing</v>
      </c>
      <c r="M447" t="s">
        <v>6</v>
      </c>
      <c r="N447" t="str">
        <f>IF(AND(Table14[[#This Row],[Outcome]]="Follow-up",Table14[[#This Row],[Admission Status]]="Patient Discharged"),"High Risk Patient","Low Risk Patient")</f>
        <v>Low Risk Patient</v>
      </c>
      <c r="O447" t="str">
        <f>IFERROR(VLOOKUP(Table14[[#This Row],[Department]],Doctor_Info!A:D,2,FALSE), "")</f>
        <v>Dr. Kofi</v>
      </c>
      <c r="P447" t="str">
        <f>IF(COUNTIF(A:A,Table14[[#This Row],[Patient ID]]&gt;1),"Returning Patient","New Patient")</f>
        <v>New Patient</v>
      </c>
      <c r="Q447" t="str">
        <f>_xlfn.XLOOKUP(Table14[[#This Row],[Department]], Doctor_Info!A:A, Doctor_Info!C:C, "")&amp;""</f>
        <v>102</v>
      </c>
      <c r="R447" t="str">
        <f>TEXT(Table14[[#This Row],[Admission Date]],"ddd")</f>
        <v>Thu</v>
      </c>
      <c r="S447" t="str">
        <f>TEXT(Table14[[#This Row],[Admission Date]],"mmm")</f>
        <v>Feb</v>
      </c>
      <c r="T447" t="str">
        <f>TEXT(Table14[[#This Row],[Admission Date]],"yyyy")</f>
        <v>2024</v>
      </c>
      <c r="U447" t="str">
        <f>TEXT(Table14[[#This Row],[Admission Date]],"mmm-yyyy")</f>
        <v>Feb-2024</v>
      </c>
      <c r="V447">
        <f t="shared" ca="1" si="6"/>
        <v>8</v>
      </c>
    </row>
    <row r="448" spans="1:22" x14ac:dyDescent="0.2">
      <c r="A448" t="s">
        <v>467</v>
      </c>
      <c r="B448" s="3">
        <v>45325</v>
      </c>
      <c r="C448" s="3">
        <v>45337</v>
      </c>
      <c r="D448">
        <f ca="1">IF(ISBLANK(Table14[[#This Row],[Discharge Date]]),TODAY()-Table14[[#This Row],[Admission Date]], Table14[[#This Row],[Discharge Date]]-Table14[[#This Row],[Admission Date]])</f>
        <v>12</v>
      </c>
      <c r="E448" s="6" t="str">
        <f>IF(Table14[[#This Row],[Discharge Date]]="","Still Admitted","Patient Discharged")</f>
        <v>Patient Discharged</v>
      </c>
      <c r="F448" s="6" t="str">
        <f>IF(WEEKDAY(Table14[[#This Row],[Admission Date]],2)&gt;5,"Weekend","Weekday")</f>
        <v>Weekend</v>
      </c>
      <c r="G448" t="s">
        <v>12</v>
      </c>
      <c r="H448">
        <v>54</v>
      </c>
      <c r="I448" t="str" cm="1">
        <f t="array" ref="I448">_xlfn.IFS(Table14[[#This Row],[Age]]&lt;18,"Children",Table14[[#This Row],[Age]]&lt;50,"Adult",Table14[[#This Row],[Age]]&gt;=50,"Elderly")</f>
        <v>Elderly</v>
      </c>
      <c r="J448" t="s">
        <v>546</v>
      </c>
      <c r="K448" s="7">
        <v>443120</v>
      </c>
      <c r="L448" s="2" t="str" cm="1">
        <f t="array" ref="L448">_xlfn.IFS(Table14[[#This Row],[Treatment Cost]]&lt;50000,"Low Billing",Table14[[#This Row],[Treatment Cost]]&lt;200000,"Moderate Billing",Table14[[#This Row],[Treatment Cost]]&gt;=200000,"High Billing")</f>
        <v>High Billing</v>
      </c>
      <c r="M448" t="s">
        <v>8</v>
      </c>
      <c r="N448" t="str">
        <f>IF(AND(Table14[[#This Row],[Outcome]]="Follow-up",Table14[[#This Row],[Admission Status]]="Patient Discharged"),"High Risk Patient","Low Risk Patient")</f>
        <v>High Risk Patient</v>
      </c>
      <c r="O448" t="str">
        <f>IFERROR(VLOOKUP(Table14[[#This Row],[Department]],Doctor_Info!A:D,2,FALSE), "")</f>
        <v>Dr. Temi</v>
      </c>
      <c r="P448" t="str">
        <f>IF(COUNTIF(A:A,Table14[[#This Row],[Patient ID]]&gt;1),"Returning Patient","New Patient")</f>
        <v>New Patient</v>
      </c>
      <c r="Q448" t="str">
        <f>_xlfn.XLOOKUP(Table14[[#This Row],[Department]], Doctor_Info!A:A, Doctor_Info!C:C, "")&amp;""</f>
        <v>502</v>
      </c>
      <c r="R448" t="str">
        <f>TEXT(Table14[[#This Row],[Admission Date]],"ddd")</f>
        <v>Sat</v>
      </c>
      <c r="S448" t="str">
        <f>TEXT(Table14[[#This Row],[Admission Date]],"mmm")</f>
        <v>Feb</v>
      </c>
      <c r="T448" t="str">
        <f>TEXT(Table14[[#This Row],[Admission Date]],"yyyy")</f>
        <v>2024</v>
      </c>
      <c r="U448" t="str">
        <f>TEXT(Table14[[#This Row],[Admission Date]],"mmm-yyyy")</f>
        <v>Feb-2024</v>
      </c>
      <c r="V448">
        <f t="shared" ca="1" si="6"/>
        <v>8</v>
      </c>
    </row>
    <row r="449" spans="1:22" x14ac:dyDescent="0.2">
      <c r="A449" t="s">
        <v>468</v>
      </c>
      <c r="B449" s="3">
        <v>45327</v>
      </c>
      <c r="C449" s="3">
        <v>45328</v>
      </c>
      <c r="D449">
        <f ca="1">IF(ISBLANK(Table14[[#This Row],[Discharge Date]]),TODAY()-Table14[[#This Row],[Admission Date]], Table14[[#This Row],[Discharge Date]]-Table14[[#This Row],[Admission Date]])</f>
        <v>1</v>
      </c>
      <c r="E449" s="6" t="str">
        <f>IF(Table14[[#This Row],[Discharge Date]]="","Still Admitted","Patient Discharged")</f>
        <v>Patient Discharged</v>
      </c>
      <c r="F449" s="6" t="str">
        <f>IF(WEEKDAY(Table14[[#This Row],[Admission Date]],2)&gt;5,"Weekend","Weekday")</f>
        <v>Weekday</v>
      </c>
      <c r="G449" t="s">
        <v>528</v>
      </c>
      <c r="H449">
        <v>56</v>
      </c>
      <c r="I449" t="str" cm="1">
        <f t="array" ref="I449">_xlfn.IFS(Table14[[#This Row],[Age]]&lt;18,"Children",Table14[[#This Row],[Age]]&lt;50,"Adult",Table14[[#This Row],[Age]]&gt;=50,"Elderly")</f>
        <v>Elderly</v>
      </c>
      <c r="J449" t="s">
        <v>547</v>
      </c>
      <c r="K449" s="7">
        <v>444090</v>
      </c>
      <c r="L449" s="2" t="str" cm="1">
        <f t="array" ref="L449">_xlfn.IFS(Table14[[#This Row],[Treatment Cost]]&lt;50000,"Low Billing",Table14[[#This Row],[Treatment Cost]]&lt;200000,"Moderate Billing",Table14[[#This Row],[Treatment Cost]]&gt;=200000,"High Billing")</f>
        <v>High Billing</v>
      </c>
      <c r="M449" t="s">
        <v>6</v>
      </c>
      <c r="N449" t="str">
        <f>IF(AND(Table14[[#This Row],[Outcome]]="Follow-up",Table14[[#This Row],[Admission Status]]="Patient Discharged"),"High Risk Patient","Low Risk Patient")</f>
        <v>Low Risk Patient</v>
      </c>
      <c r="O449" t="str">
        <f>IFERROR(VLOOKUP(Table14[[#This Row],[Department]],Doctor_Info!A:D,2,FALSE), "")</f>
        <v>Dr. Kofi</v>
      </c>
      <c r="P449" t="str">
        <f>IF(COUNTIF(A:A,Table14[[#This Row],[Patient ID]]&gt;1),"Returning Patient","New Patient")</f>
        <v>New Patient</v>
      </c>
      <c r="Q449" t="str">
        <f>_xlfn.XLOOKUP(Table14[[#This Row],[Department]], Doctor_Info!A:A, Doctor_Info!C:C, "")&amp;""</f>
        <v>102</v>
      </c>
      <c r="R449" t="str">
        <f>TEXT(Table14[[#This Row],[Admission Date]],"ddd")</f>
        <v>Mon</v>
      </c>
      <c r="S449" t="str">
        <f>TEXT(Table14[[#This Row],[Admission Date]],"mmm")</f>
        <v>Feb</v>
      </c>
      <c r="T449" t="str">
        <f>TEXT(Table14[[#This Row],[Admission Date]],"yyyy")</f>
        <v>2024</v>
      </c>
      <c r="U449" t="str">
        <f>TEXT(Table14[[#This Row],[Admission Date]],"mmm-yyyy")</f>
        <v>Feb-2024</v>
      </c>
      <c r="V449">
        <f t="shared" ca="1" si="6"/>
        <v>8</v>
      </c>
    </row>
    <row r="450" spans="1:22" x14ac:dyDescent="0.2">
      <c r="A450" t="s">
        <v>469</v>
      </c>
      <c r="B450" s="3">
        <v>45332</v>
      </c>
      <c r="D450">
        <f ca="1">IF(ISBLANK(Table14[[#This Row],[Discharge Date]]),TODAY()-Table14[[#This Row],[Admission Date]], Table14[[#This Row],[Discharge Date]]-Table14[[#This Row],[Admission Date]])</f>
        <v>806</v>
      </c>
      <c r="E450" s="6" t="str">
        <f>IF(Table14[[#This Row],[Discharge Date]]="","Still Admitted","Patient Discharged")</f>
        <v>Still Admitted</v>
      </c>
      <c r="F450" s="6" t="str">
        <f>IF(WEEKDAY(Table14[[#This Row],[Admission Date]],2)&gt;5,"Weekend","Weekday")</f>
        <v>Weekend</v>
      </c>
      <c r="G450" t="s">
        <v>10</v>
      </c>
      <c r="H450">
        <v>58</v>
      </c>
      <c r="I450" t="str" cm="1">
        <f t="array" ref="I450">_xlfn.IFS(Table14[[#This Row],[Age]]&lt;18,"Children",Table14[[#This Row],[Age]]&lt;50,"Adult",Table14[[#This Row],[Age]]&gt;=50,"Elderly")</f>
        <v>Elderly</v>
      </c>
      <c r="J450" t="s">
        <v>547</v>
      </c>
      <c r="K450" s="7">
        <v>445060</v>
      </c>
      <c r="L450" s="2" t="str" cm="1">
        <f t="array" ref="L450">_xlfn.IFS(Table14[[#This Row],[Treatment Cost]]&lt;50000,"Low Billing",Table14[[#This Row],[Treatment Cost]]&lt;200000,"Moderate Billing",Table14[[#This Row],[Treatment Cost]]&gt;=200000,"High Billing")</f>
        <v>High Billing</v>
      </c>
      <c r="M450" t="s">
        <v>403</v>
      </c>
      <c r="N450" t="str">
        <f>IF(AND(Table14[[#This Row],[Outcome]]="Follow-up",Table14[[#This Row],[Admission Status]]="Patient Discharged"),"High Risk Patient","Low Risk Patient")</f>
        <v>Low Risk Patient</v>
      </c>
      <c r="O450" t="str">
        <f>IFERROR(VLOOKUP(Table14[[#This Row],[Department]],Doctor_Info!A:D,2,FALSE), "")</f>
        <v>Dr. George</v>
      </c>
      <c r="P450" t="str">
        <f>IF(COUNTIF(A:A,Table14[[#This Row],[Patient ID]]&gt;1),"Returning Patient","New Patient")</f>
        <v>New Patient</v>
      </c>
      <c r="Q450" t="str">
        <f>_xlfn.XLOOKUP(Table14[[#This Row],[Department]], Doctor_Info!A:A, Doctor_Info!C:C, "")&amp;""</f>
        <v>405</v>
      </c>
      <c r="R450" t="str">
        <f>TEXT(Table14[[#This Row],[Admission Date]],"ddd")</f>
        <v>Sat</v>
      </c>
      <c r="S450" t="str">
        <f>TEXT(Table14[[#This Row],[Admission Date]],"mmm")</f>
        <v>Feb</v>
      </c>
      <c r="T450" t="str">
        <f>TEXT(Table14[[#This Row],[Admission Date]],"yyyy")</f>
        <v>2024</v>
      </c>
      <c r="U450" t="str">
        <f>TEXT(Table14[[#This Row],[Admission Date]],"mmm-yyyy")</f>
        <v>Feb-2024</v>
      </c>
      <c r="V450">
        <f t="shared" ref="V450:V484" ca="1" si="7">MEDIAN($D$2:$D$484)</f>
        <v>8</v>
      </c>
    </row>
    <row r="451" spans="1:22" x14ac:dyDescent="0.2">
      <c r="A451" t="s">
        <v>470</v>
      </c>
      <c r="B451" s="3">
        <v>45319</v>
      </c>
      <c r="C451" s="3">
        <v>45327</v>
      </c>
      <c r="D451">
        <f ca="1">IF(ISBLANK(Table14[[#This Row],[Discharge Date]]),TODAY()-Table14[[#This Row],[Admission Date]], Table14[[#This Row],[Discharge Date]]-Table14[[#This Row],[Admission Date]])</f>
        <v>8</v>
      </c>
      <c r="E451" s="6" t="str">
        <f>IF(Table14[[#This Row],[Discharge Date]]="","Still Admitted","Patient Discharged")</f>
        <v>Patient Discharged</v>
      </c>
      <c r="F451" s="6" t="str">
        <f>IF(WEEKDAY(Table14[[#This Row],[Admission Date]],2)&gt;5,"Weekend","Weekday")</f>
        <v>Weekend</v>
      </c>
      <c r="G451" t="s">
        <v>7</v>
      </c>
      <c r="H451">
        <v>60</v>
      </c>
      <c r="I451" t="str" cm="1">
        <f t="array" ref="I451">_xlfn.IFS(Table14[[#This Row],[Age]]&lt;18,"Children",Table14[[#This Row],[Age]]&lt;50,"Adult",Table14[[#This Row],[Age]]&gt;=50,"Elderly")</f>
        <v>Elderly</v>
      </c>
      <c r="J451" t="s">
        <v>546</v>
      </c>
      <c r="K451" s="7">
        <v>446030</v>
      </c>
      <c r="L451" s="2" t="str" cm="1">
        <f t="array" ref="L451">_xlfn.IFS(Table14[[#This Row],[Treatment Cost]]&lt;50000,"Low Billing",Table14[[#This Row],[Treatment Cost]]&lt;200000,"Moderate Billing",Table14[[#This Row],[Treatment Cost]]&gt;=200000,"High Billing")</f>
        <v>High Billing</v>
      </c>
      <c r="M451" t="s">
        <v>8</v>
      </c>
      <c r="N451" t="str">
        <f>IF(AND(Table14[[#This Row],[Outcome]]="Follow-up",Table14[[#This Row],[Admission Status]]="Patient Discharged"),"High Risk Patient","Low Risk Patient")</f>
        <v>High Risk Patient</v>
      </c>
      <c r="O451" t="str">
        <f>IFERROR(VLOOKUP(Table14[[#This Row],[Department]],Doctor_Info!A:D,2,FALSE), "")</f>
        <v>Dr. Ada</v>
      </c>
      <c r="P451" t="str">
        <f>IF(COUNTIF(A:A,Table14[[#This Row],[Patient ID]]&gt;1),"Returning Patient","New Patient")</f>
        <v>New Patient</v>
      </c>
      <c r="Q451" t="str">
        <f>_xlfn.XLOOKUP(Table14[[#This Row],[Department]], Doctor_Info!A:A, Doctor_Info!C:C, "")&amp;""</f>
        <v>301</v>
      </c>
      <c r="R451" t="str">
        <f>TEXT(Table14[[#This Row],[Admission Date]],"ddd")</f>
        <v>Sun</v>
      </c>
      <c r="S451" t="str">
        <f>TEXT(Table14[[#This Row],[Admission Date]],"mmm")</f>
        <v>Jan</v>
      </c>
      <c r="T451" t="str">
        <f>TEXT(Table14[[#This Row],[Admission Date]],"yyyy")</f>
        <v>2024</v>
      </c>
      <c r="U451" t="str">
        <f>TEXT(Table14[[#This Row],[Admission Date]],"mmm-yyyy")</f>
        <v>Jan-2024</v>
      </c>
      <c r="V451">
        <f t="shared" ca="1" si="7"/>
        <v>8</v>
      </c>
    </row>
    <row r="452" spans="1:22" x14ac:dyDescent="0.2">
      <c r="A452" t="s">
        <v>471</v>
      </c>
      <c r="B452" s="3">
        <v>45323</v>
      </c>
      <c r="C452" s="3">
        <v>45324</v>
      </c>
      <c r="D452">
        <f ca="1">IF(ISBLANK(Table14[[#This Row],[Discharge Date]]),TODAY()-Table14[[#This Row],[Admission Date]], Table14[[#This Row],[Discharge Date]]-Table14[[#This Row],[Admission Date]])</f>
        <v>1</v>
      </c>
      <c r="E452" s="6" t="str">
        <f>IF(Table14[[#This Row],[Discharge Date]]="","Still Admitted","Patient Discharged")</f>
        <v>Patient Discharged</v>
      </c>
      <c r="F452" s="6" t="str">
        <f>IF(WEEKDAY(Table14[[#This Row],[Admission Date]],2)&gt;5,"Weekend","Weekday")</f>
        <v>Weekday</v>
      </c>
      <c r="G452" t="s">
        <v>528</v>
      </c>
      <c r="H452">
        <v>62</v>
      </c>
      <c r="I452" t="str" cm="1">
        <f t="array" ref="I452">_xlfn.IFS(Table14[[#This Row],[Age]]&lt;18,"Children",Table14[[#This Row],[Age]]&lt;50,"Adult",Table14[[#This Row],[Age]]&gt;=50,"Elderly")</f>
        <v>Elderly</v>
      </c>
      <c r="J452" t="s">
        <v>547</v>
      </c>
      <c r="K452" s="7">
        <v>447000</v>
      </c>
      <c r="L452" s="2" t="str" cm="1">
        <f t="array" ref="L452">_xlfn.IFS(Table14[[#This Row],[Treatment Cost]]&lt;50000,"Low Billing",Table14[[#This Row],[Treatment Cost]]&lt;200000,"Moderate Billing",Table14[[#This Row],[Treatment Cost]]&gt;=200000,"High Billing")</f>
        <v>High Billing</v>
      </c>
      <c r="M452" t="s">
        <v>6</v>
      </c>
      <c r="N452" t="str">
        <f>IF(AND(Table14[[#This Row],[Outcome]]="Follow-up",Table14[[#This Row],[Admission Status]]="Patient Discharged"),"High Risk Patient","Low Risk Patient")</f>
        <v>Low Risk Patient</v>
      </c>
      <c r="O452" t="str">
        <f>IFERROR(VLOOKUP(Table14[[#This Row],[Department]],Doctor_Info!A:D,2,FALSE), "")</f>
        <v>Dr. Kofi</v>
      </c>
      <c r="P452" t="str">
        <f>IF(COUNTIF(A:A,Table14[[#This Row],[Patient ID]]&gt;1),"Returning Patient","New Patient")</f>
        <v>New Patient</v>
      </c>
      <c r="Q452" t="str">
        <f>_xlfn.XLOOKUP(Table14[[#This Row],[Department]], Doctor_Info!A:A, Doctor_Info!C:C, "")&amp;""</f>
        <v>102</v>
      </c>
      <c r="R452" t="str">
        <f>TEXT(Table14[[#This Row],[Admission Date]],"ddd")</f>
        <v>Thu</v>
      </c>
      <c r="S452" t="str">
        <f>TEXT(Table14[[#This Row],[Admission Date]],"mmm")</f>
        <v>Feb</v>
      </c>
      <c r="T452" t="str">
        <f>TEXT(Table14[[#This Row],[Admission Date]],"yyyy")</f>
        <v>2024</v>
      </c>
      <c r="U452" t="str">
        <f>TEXT(Table14[[#This Row],[Admission Date]],"mmm-yyyy")</f>
        <v>Feb-2024</v>
      </c>
      <c r="V452">
        <f t="shared" ca="1" si="7"/>
        <v>8</v>
      </c>
    </row>
    <row r="453" spans="1:22" x14ac:dyDescent="0.2">
      <c r="A453" t="s">
        <v>472</v>
      </c>
      <c r="B453" s="3">
        <v>45325</v>
      </c>
      <c r="C453" s="3">
        <v>45337</v>
      </c>
      <c r="D453">
        <f ca="1">IF(ISBLANK(Table14[[#This Row],[Discharge Date]]),TODAY()-Table14[[#This Row],[Admission Date]], Table14[[#This Row],[Discharge Date]]-Table14[[#This Row],[Admission Date]])</f>
        <v>12</v>
      </c>
      <c r="E453" s="6" t="str">
        <f>IF(Table14[[#This Row],[Discharge Date]]="","Still Admitted","Patient Discharged")</f>
        <v>Patient Discharged</v>
      </c>
      <c r="F453" s="6" t="str">
        <f>IF(WEEKDAY(Table14[[#This Row],[Admission Date]],2)&gt;5,"Weekend","Weekday")</f>
        <v>Weekend</v>
      </c>
      <c r="G453" t="s">
        <v>12</v>
      </c>
      <c r="H453">
        <v>64</v>
      </c>
      <c r="I453" t="str" cm="1">
        <f t="array" ref="I453">_xlfn.IFS(Table14[[#This Row],[Age]]&lt;18,"Children",Table14[[#This Row],[Age]]&lt;50,"Adult",Table14[[#This Row],[Age]]&gt;=50,"Elderly")</f>
        <v>Elderly</v>
      </c>
      <c r="J453" t="s">
        <v>546</v>
      </c>
      <c r="K453" s="7">
        <v>447970</v>
      </c>
      <c r="L453" s="2" t="str" cm="1">
        <f t="array" ref="L453">_xlfn.IFS(Table14[[#This Row],[Treatment Cost]]&lt;50000,"Low Billing",Table14[[#This Row],[Treatment Cost]]&lt;200000,"Moderate Billing",Table14[[#This Row],[Treatment Cost]]&gt;=200000,"High Billing")</f>
        <v>High Billing</v>
      </c>
      <c r="M453" t="s">
        <v>8</v>
      </c>
      <c r="N453" t="str">
        <f>IF(AND(Table14[[#This Row],[Outcome]]="Follow-up",Table14[[#This Row],[Admission Status]]="Patient Discharged"),"High Risk Patient","Low Risk Patient")</f>
        <v>High Risk Patient</v>
      </c>
      <c r="O453" t="str">
        <f>IFERROR(VLOOKUP(Table14[[#This Row],[Department]],Doctor_Info!A:D,2,FALSE), "")</f>
        <v>Dr. Temi</v>
      </c>
      <c r="P453" t="str">
        <f>IF(COUNTIF(A:A,Table14[[#This Row],[Patient ID]]&gt;1),"Returning Patient","New Patient")</f>
        <v>New Patient</v>
      </c>
      <c r="Q453" t="str">
        <f>_xlfn.XLOOKUP(Table14[[#This Row],[Department]], Doctor_Info!A:A, Doctor_Info!C:C, "")&amp;""</f>
        <v>502</v>
      </c>
      <c r="R453" t="str">
        <f>TEXT(Table14[[#This Row],[Admission Date]],"ddd")</f>
        <v>Sat</v>
      </c>
      <c r="S453" t="str">
        <f>TEXT(Table14[[#This Row],[Admission Date]],"mmm")</f>
        <v>Feb</v>
      </c>
      <c r="T453" t="str">
        <f>TEXT(Table14[[#This Row],[Admission Date]],"yyyy")</f>
        <v>2024</v>
      </c>
      <c r="U453" t="str">
        <f>TEXT(Table14[[#This Row],[Admission Date]],"mmm-yyyy")</f>
        <v>Feb-2024</v>
      </c>
      <c r="V453">
        <f t="shared" ca="1" si="7"/>
        <v>8</v>
      </c>
    </row>
    <row r="454" spans="1:22" x14ac:dyDescent="0.2">
      <c r="A454" t="s">
        <v>473</v>
      </c>
      <c r="B454" s="3">
        <v>45327</v>
      </c>
      <c r="C454" s="3">
        <v>45328</v>
      </c>
      <c r="D454">
        <f ca="1">IF(ISBLANK(Table14[[#This Row],[Discharge Date]]),TODAY()-Table14[[#This Row],[Admission Date]], Table14[[#This Row],[Discharge Date]]-Table14[[#This Row],[Admission Date]])</f>
        <v>1</v>
      </c>
      <c r="E454" s="6" t="str">
        <f>IF(Table14[[#This Row],[Discharge Date]]="","Still Admitted","Patient Discharged")</f>
        <v>Patient Discharged</v>
      </c>
      <c r="F454" s="6" t="str">
        <f>IF(WEEKDAY(Table14[[#This Row],[Admission Date]],2)&gt;5,"Weekend","Weekday")</f>
        <v>Weekday</v>
      </c>
      <c r="G454" t="s">
        <v>528</v>
      </c>
      <c r="H454">
        <v>66</v>
      </c>
      <c r="I454" t="str" cm="1">
        <f t="array" ref="I454">_xlfn.IFS(Table14[[#This Row],[Age]]&lt;18,"Children",Table14[[#This Row],[Age]]&lt;50,"Adult",Table14[[#This Row],[Age]]&gt;=50,"Elderly")</f>
        <v>Elderly</v>
      </c>
      <c r="J454" t="s">
        <v>547</v>
      </c>
      <c r="K454" s="7">
        <v>448940</v>
      </c>
      <c r="L454" s="2" t="str" cm="1">
        <f t="array" ref="L454">_xlfn.IFS(Table14[[#This Row],[Treatment Cost]]&lt;50000,"Low Billing",Table14[[#This Row],[Treatment Cost]]&lt;200000,"Moderate Billing",Table14[[#This Row],[Treatment Cost]]&gt;=200000,"High Billing")</f>
        <v>High Billing</v>
      </c>
      <c r="M454" t="s">
        <v>6</v>
      </c>
      <c r="N454" t="str">
        <f>IF(AND(Table14[[#This Row],[Outcome]]="Follow-up",Table14[[#This Row],[Admission Status]]="Patient Discharged"),"High Risk Patient","Low Risk Patient")</f>
        <v>Low Risk Patient</v>
      </c>
      <c r="O454" t="str">
        <f>IFERROR(VLOOKUP(Table14[[#This Row],[Department]],Doctor_Info!A:D,2,FALSE), "")</f>
        <v>Dr. Kofi</v>
      </c>
      <c r="P454" t="str">
        <f>IF(COUNTIF(A:A,Table14[[#This Row],[Patient ID]]&gt;1),"Returning Patient","New Patient")</f>
        <v>New Patient</v>
      </c>
      <c r="Q454" t="str">
        <f>_xlfn.XLOOKUP(Table14[[#This Row],[Department]], Doctor_Info!A:A, Doctor_Info!C:C, "")&amp;""</f>
        <v>102</v>
      </c>
      <c r="R454" t="str">
        <f>TEXT(Table14[[#This Row],[Admission Date]],"ddd")</f>
        <v>Mon</v>
      </c>
      <c r="S454" t="str">
        <f>TEXT(Table14[[#This Row],[Admission Date]],"mmm")</f>
        <v>Feb</v>
      </c>
      <c r="T454" t="str">
        <f>TEXT(Table14[[#This Row],[Admission Date]],"yyyy")</f>
        <v>2024</v>
      </c>
      <c r="U454" t="str">
        <f>TEXT(Table14[[#This Row],[Admission Date]],"mmm-yyyy")</f>
        <v>Feb-2024</v>
      </c>
      <c r="V454">
        <f t="shared" ca="1" si="7"/>
        <v>8</v>
      </c>
    </row>
    <row r="455" spans="1:22" x14ac:dyDescent="0.2">
      <c r="A455" t="s">
        <v>474</v>
      </c>
      <c r="B455" s="3">
        <v>45332</v>
      </c>
      <c r="D455">
        <f ca="1">IF(ISBLANK(Table14[[#This Row],[Discharge Date]]),TODAY()-Table14[[#This Row],[Admission Date]], Table14[[#This Row],[Discharge Date]]-Table14[[#This Row],[Admission Date]])</f>
        <v>806</v>
      </c>
      <c r="E455" s="6" t="str">
        <f>IF(Table14[[#This Row],[Discharge Date]]="","Still Admitted","Patient Discharged")</f>
        <v>Still Admitted</v>
      </c>
      <c r="F455" s="6" t="str">
        <f>IF(WEEKDAY(Table14[[#This Row],[Admission Date]],2)&gt;5,"Weekend","Weekday")</f>
        <v>Weekend</v>
      </c>
      <c r="G455" t="s">
        <v>10</v>
      </c>
      <c r="H455">
        <v>68</v>
      </c>
      <c r="I455" t="str" cm="1">
        <f t="array" ref="I455">_xlfn.IFS(Table14[[#This Row],[Age]]&lt;18,"Children",Table14[[#This Row],[Age]]&lt;50,"Adult",Table14[[#This Row],[Age]]&gt;=50,"Elderly")</f>
        <v>Elderly</v>
      </c>
      <c r="J455" t="s">
        <v>547</v>
      </c>
      <c r="K455" s="7">
        <v>449910</v>
      </c>
      <c r="L455" s="2" t="str" cm="1">
        <f t="array" ref="L455">_xlfn.IFS(Table14[[#This Row],[Treatment Cost]]&lt;50000,"Low Billing",Table14[[#This Row],[Treatment Cost]]&lt;200000,"Moderate Billing",Table14[[#This Row],[Treatment Cost]]&gt;=200000,"High Billing")</f>
        <v>High Billing</v>
      </c>
      <c r="M455" t="s">
        <v>403</v>
      </c>
      <c r="N455" t="str">
        <f>IF(AND(Table14[[#This Row],[Outcome]]="Follow-up",Table14[[#This Row],[Admission Status]]="Patient Discharged"),"High Risk Patient","Low Risk Patient")</f>
        <v>Low Risk Patient</v>
      </c>
      <c r="O455" t="str">
        <f>IFERROR(VLOOKUP(Table14[[#This Row],[Department]],Doctor_Info!A:D,2,FALSE), "")</f>
        <v>Dr. George</v>
      </c>
      <c r="P455" t="str">
        <f>IF(COUNTIF(A:A,Table14[[#This Row],[Patient ID]]&gt;1),"Returning Patient","New Patient")</f>
        <v>New Patient</v>
      </c>
      <c r="Q455" t="str">
        <f>_xlfn.XLOOKUP(Table14[[#This Row],[Department]], Doctor_Info!A:A, Doctor_Info!C:C, "")&amp;""</f>
        <v>405</v>
      </c>
      <c r="R455" t="str">
        <f>TEXT(Table14[[#This Row],[Admission Date]],"ddd")</f>
        <v>Sat</v>
      </c>
      <c r="S455" t="str">
        <f>TEXT(Table14[[#This Row],[Admission Date]],"mmm")</f>
        <v>Feb</v>
      </c>
      <c r="T455" t="str">
        <f>TEXT(Table14[[#This Row],[Admission Date]],"yyyy")</f>
        <v>2024</v>
      </c>
      <c r="U455" t="str">
        <f>TEXT(Table14[[#This Row],[Admission Date]],"mmm-yyyy")</f>
        <v>Feb-2024</v>
      </c>
      <c r="V455">
        <f t="shared" ca="1" si="7"/>
        <v>8</v>
      </c>
    </row>
    <row r="456" spans="1:22" x14ac:dyDescent="0.2">
      <c r="A456" t="s">
        <v>475</v>
      </c>
      <c r="B456" s="3">
        <v>45319</v>
      </c>
      <c r="C456" s="3">
        <v>45327</v>
      </c>
      <c r="D456">
        <f ca="1">IF(ISBLANK(Table14[[#This Row],[Discharge Date]]),TODAY()-Table14[[#This Row],[Admission Date]], Table14[[#This Row],[Discharge Date]]-Table14[[#This Row],[Admission Date]])</f>
        <v>8</v>
      </c>
      <c r="E456" s="6" t="str">
        <f>IF(Table14[[#This Row],[Discharge Date]]="","Still Admitted","Patient Discharged")</f>
        <v>Patient Discharged</v>
      </c>
      <c r="F456" s="6" t="str">
        <f>IF(WEEKDAY(Table14[[#This Row],[Admission Date]],2)&gt;5,"Weekend","Weekday")</f>
        <v>Weekend</v>
      </c>
      <c r="G456" t="s">
        <v>7</v>
      </c>
      <c r="H456">
        <v>70</v>
      </c>
      <c r="I456" t="str" cm="1">
        <f t="array" ref="I456">_xlfn.IFS(Table14[[#This Row],[Age]]&lt;18,"Children",Table14[[#This Row],[Age]]&lt;50,"Adult",Table14[[#This Row],[Age]]&gt;=50,"Elderly")</f>
        <v>Elderly</v>
      </c>
      <c r="J456" t="s">
        <v>546</v>
      </c>
      <c r="K456" s="7">
        <v>450880</v>
      </c>
      <c r="L456" s="2" t="str" cm="1">
        <f t="array" ref="L456">_xlfn.IFS(Table14[[#This Row],[Treatment Cost]]&lt;50000,"Low Billing",Table14[[#This Row],[Treatment Cost]]&lt;200000,"Moderate Billing",Table14[[#This Row],[Treatment Cost]]&gt;=200000,"High Billing")</f>
        <v>High Billing</v>
      </c>
      <c r="M456" t="s">
        <v>8</v>
      </c>
      <c r="N456" t="str">
        <f>IF(AND(Table14[[#This Row],[Outcome]]="Follow-up",Table14[[#This Row],[Admission Status]]="Patient Discharged"),"High Risk Patient","Low Risk Patient")</f>
        <v>High Risk Patient</v>
      </c>
      <c r="O456" t="str">
        <f>IFERROR(VLOOKUP(Table14[[#This Row],[Department]],Doctor_Info!A:D,2,FALSE), "")</f>
        <v>Dr. Ada</v>
      </c>
      <c r="P456" t="str">
        <f>IF(COUNTIF(A:A,Table14[[#This Row],[Patient ID]]&gt;1),"Returning Patient","New Patient")</f>
        <v>New Patient</v>
      </c>
      <c r="Q456" t="str">
        <f>_xlfn.XLOOKUP(Table14[[#This Row],[Department]], Doctor_Info!A:A, Doctor_Info!C:C, "")&amp;""</f>
        <v>301</v>
      </c>
      <c r="R456" t="str">
        <f>TEXT(Table14[[#This Row],[Admission Date]],"ddd")</f>
        <v>Sun</v>
      </c>
      <c r="S456" t="str">
        <f>TEXT(Table14[[#This Row],[Admission Date]],"mmm")</f>
        <v>Jan</v>
      </c>
      <c r="T456" t="str">
        <f>TEXT(Table14[[#This Row],[Admission Date]],"yyyy")</f>
        <v>2024</v>
      </c>
      <c r="U456" t="str">
        <f>TEXT(Table14[[#This Row],[Admission Date]],"mmm-yyyy")</f>
        <v>Jan-2024</v>
      </c>
      <c r="V456">
        <f t="shared" ca="1" si="7"/>
        <v>8</v>
      </c>
    </row>
    <row r="457" spans="1:22" x14ac:dyDescent="0.2">
      <c r="A457" t="s">
        <v>476</v>
      </c>
      <c r="B457" s="3">
        <v>45323</v>
      </c>
      <c r="C457" s="3">
        <v>45324</v>
      </c>
      <c r="D457">
        <f ca="1">IF(ISBLANK(Table14[[#This Row],[Discharge Date]]),TODAY()-Table14[[#This Row],[Admission Date]], Table14[[#This Row],[Discharge Date]]-Table14[[#This Row],[Admission Date]])</f>
        <v>1</v>
      </c>
      <c r="E457" s="6" t="str">
        <f>IF(Table14[[#This Row],[Discharge Date]]="","Still Admitted","Patient Discharged")</f>
        <v>Patient Discharged</v>
      </c>
      <c r="F457" s="6" t="str">
        <f>IF(WEEKDAY(Table14[[#This Row],[Admission Date]],2)&gt;5,"Weekend","Weekday")</f>
        <v>Weekday</v>
      </c>
      <c r="G457" t="s">
        <v>528</v>
      </c>
      <c r="H457">
        <v>72</v>
      </c>
      <c r="I457" t="str" cm="1">
        <f t="array" ref="I457">_xlfn.IFS(Table14[[#This Row],[Age]]&lt;18,"Children",Table14[[#This Row],[Age]]&lt;50,"Adult",Table14[[#This Row],[Age]]&gt;=50,"Elderly")</f>
        <v>Elderly</v>
      </c>
      <c r="J457" t="s">
        <v>547</v>
      </c>
      <c r="K457" s="7">
        <v>451850</v>
      </c>
      <c r="L457" s="2" t="str" cm="1">
        <f t="array" ref="L457">_xlfn.IFS(Table14[[#This Row],[Treatment Cost]]&lt;50000,"Low Billing",Table14[[#This Row],[Treatment Cost]]&lt;200000,"Moderate Billing",Table14[[#This Row],[Treatment Cost]]&gt;=200000,"High Billing")</f>
        <v>High Billing</v>
      </c>
      <c r="M457" t="s">
        <v>6</v>
      </c>
      <c r="N457" t="str">
        <f>IF(AND(Table14[[#This Row],[Outcome]]="Follow-up",Table14[[#This Row],[Admission Status]]="Patient Discharged"),"High Risk Patient","Low Risk Patient")</f>
        <v>Low Risk Patient</v>
      </c>
      <c r="O457" t="str">
        <f>IFERROR(VLOOKUP(Table14[[#This Row],[Department]],Doctor_Info!A:D,2,FALSE), "")</f>
        <v>Dr. Kofi</v>
      </c>
      <c r="P457" t="str">
        <f>IF(COUNTIF(A:A,Table14[[#This Row],[Patient ID]]&gt;1),"Returning Patient","New Patient")</f>
        <v>New Patient</v>
      </c>
      <c r="Q457" t="str">
        <f>_xlfn.XLOOKUP(Table14[[#This Row],[Department]], Doctor_Info!A:A, Doctor_Info!C:C, "")&amp;""</f>
        <v>102</v>
      </c>
      <c r="R457" t="str">
        <f>TEXT(Table14[[#This Row],[Admission Date]],"ddd")</f>
        <v>Thu</v>
      </c>
      <c r="S457" t="str">
        <f>TEXT(Table14[[#This Row],[Admission Date]],"mmm")</f>
        <v>Feb</v>
      </c>
      <c r="T457" t="str">
        <f>TEXT(Table14[[#This Row],[Admission Date]],"yyyy")</f>
        <v>2024</v>
      </c>
      <c r="U457" t="str">
        <f>TEXT(Table14[[#This Row],[Admission Date]],"mmm-yyyy")</f>
        <v>Feb-2024</v>
      </c>
      <c r="V457">
        <f t="shared" ca="1" si="7"/>
        <v>8</v>
      </c>
    </row>
    <row r="458" spans="1:22" x14ac:dyDescent="0.2">
      <c r="A458" t="s">
        <v>477</v>
      </c>
      <c r="B458" s="3">
        <v>45325</v>
      </c>
      <c r="C458" s="3">
        <v>45337</v>
      </c>
      <c r="D458">
        <f ca="1">IF(ISBLANK(Table14[[#This Row],[Discharge Date]]),TODAY()-Table14[[#This Row],[Admission Date]], Table14[[#This Row],[Discharge Date]]-Table14[[#This Row],[Admission Date]])</f>
        <v>12</v>
      </c>
      <c r="E458" s="6" t="str">
        <f>IF(Table14[[#This Row],[Discharge Date]]="","Still Admitted","Patient Discharged")</f>
        <v>Patient Discharged</v>
      </c>
      <c r="F458" s="6" t="str">
        <f>IF(WEEKDAY(Table14[[#This Row],[Admission Date]],2)&gt;5,"Weekend","Weekday")</f>
        <v>Weekend</v>
      </c>
      <c r="G458" t="s">
        <v>12</v>
      </c>
      <c r="H458">
        <v>74</v>
      </c>
      <c r="I458" t="str" cm="1">
        <f t="array" ref="I458">_xlfn.IFS(Table14[[#This Row],[Age]]&lt;18,"Children",Table14[[#This Row],[Age]]&lt;50,"Adult",Table14[[#This Row],[Age]]&gt;=50,"Elderly")</f>
        <v>Elderly</v>
      </c>
      <c r="J458" t="s">
        <v>546</v>
      </c>
      <c r="K458" s="7">
        <v>452820</v>
      </c>
      <c r="L458" s="2" t="str" cm="1">
        <f t="array" ref="L458">_xlfn.IFS(Table14[[#This Row],[Treatment Cost]]&lt;50000,"Low Billing",Table14[[#This Row],[Treatment Cost]]&lt;200000,"Moderate Billing",Table14[[#This Row],[Treatment Cost]]&gt;=200000,"High Billing")</f>
        <v>High Billing</v>
      </c>
      <c r="M458" t="s">
        <v>8</v>
      </c>
      <c r="N458" t="str">
        <f>IF(AND(Table14[[#This Row],[Outcome]]="Follow-up",Table14[[#This Row],[Admission Status]]="Patient Discharged"),"High Risk Patient","Low Risk Patient")</f>
        <v>High Risk Patient</v>
      </c>
      <c r="O458" t="str">
        <f>IFERROR(VLOOKUP(Table14[[#This Row],[Department]],Doctor_Info!A:D,2,FALSE), "")</f>
        <v>Dr. Temi</v>
      </c>
      <c r="P458" t="str">
        <f>IF(COUNTIF(A:A,Table14[[#This Row],[Patient ID]]&gt;1),"Returning Patient","New Patient")</f>
        <v>New Patient</v>
      </c>
      <c r="Q458" t="str">
        <f>_xlfn.XLOOKUP(Table14[[#This Row],[Department]], Doctor_Info!A:A, Doctor_Info!C:C, "")&amp;""</f>
        <v>502</v>
      </c>
      <c r="R458" t="str">
        <f>TEXT(Table14[[#This Row],[Admission Date]],"ddd")</f>
        <v>Sat</v>
      </c>
      <c r="S458" t="str">
        <f>TEXT(Table14[[#This Row],[Admission Date]],"mmm")</f>
        <v>Feb</v>
      </c>
      <c r="T458" t="str">
        <f>TEXT(Table14[[#This Row],[Admission Date]],"yyyy")</f>
        <v>2024</v>
      </c>
      <c r="U458" t="str">
        <f>TEXT(Table14[[#This Row],[Admission Date]],"mmm-yyyy")</f>
        <v>Feb-2024</v>
      </c>
      <c r="V458">
        <f t="shared" ca="1" si="7"/>
        <v>8</v>
      </c>
    </row>
    <row r="459" spans="1:22" x14ac:dyDescent="0.2">
      <c r="A459" t="s">
        <v>478</v>
      </c>
      <c r="B459" s="3">
        <v>45327</v>
      </c>
      <c r="C459" s="3">
        <v>45328</v>
      </c>
      <c r="D459">
        <f ca="1">IF(ISBLANK(Table14[[#This Row],[Discharge Date]]),TODAY()-Table14[[#This Row],[Admission Date]], Table14[[#This Row],[Discharge Date]]-Table14[[#This Row],[Admission Date]])</f>
        <v>1</v>
      </c>
      <c r="E459" s="6" t="str">
        <f>IF(Table14[[#This Row],[Discharge Date]]="","Still Admitted","Patient Discharged")</f>
        <v>Patient Discharged</v>
      </c>
      <c r="F459" s="6" t="str">
        <f>IF(WEEKDAY(Table14[[#This Row],[Admission Date]],2)&gt;5,"Weekend","Weekday")</f>
        <v>Weekday</v>
      </c>
      <c r="G459" t="s">
        <v>528</v>
      </c>
      <c r="H459">
        <v>76</v>
      </c>
      <c r="I459" t="str" cm="1">
        <f t="array" ref="I459">_xlfn.IFS(Table14[[#This Row],[Age]]&lt;18,"Children",Table14[[#This Row],[Age]]&lt;50,"Adult",Table14[[#This Row],[Age]]&gt;=50,"Elderly")</f>
        <v>Elderly</v>
      </c>
      <c r="J459" t="s">
        <v>547</v>
      </c>
      <c r="K459" s="7">
        <v>453790</v>
      </c>
      <c r="L459" s="2" t="str" cm="1">
        <f t="array" ref="L459">_xlfn.IFS(Table14[[#This Row],[Treatment Cost]]&lt;50000,"Low Billing",Table14[[#This Row],[Treatment Cost]]&lt;200000,"Moderate Billing",Table14[[#This Row],[Treatment Cost]]&gt;=200000,"High Billing")</f>
        <v>High Billing</v>
      </c>
      <c r="M459" t="s">
        <v>6</v>
      </c>
      <c r="N459" t="str">
        <f>IF(AND(Table14[[#This Row],[Outcome]]="Follow-up",Table14[[#This Row],[Admission Status]]="Patient Discharged"),"High Risk Patient","Low Risk Patient")</f>
        <v>Low Risk Patient</v>
      </c>
      <c r="O459" t="str">
        <f>IFERROR(VLOOKUP(Table14[[#This Row],[Department]],Doctor_Info!A:D,2,FALSE), "")</f>
        <v>Dr. Kofi</v>
      </c>
      <c r="P459" t="str">
        <f>IF(COUNTIF(A:A,Table14[[#This Row],[Patient ID]]&gt;1),"Returning Patient","New Patient")</f>
        <v>New Patient</v>
      </c>
      <c r="Q459" t="str">
        <f>_xlfn.XLOOKUP(Table14[[#This Row],[Department]], Doctor_Info!A:A, Doctor_Info!C:C, "")&amp;""</f>
        <v>102</v>
      </c>
      <c r="R459" t="str">
        <f>TEXT(Table14[[#This Row],[Admission Date]],"ddd")</f>
        <v>Mon</v>
      </c>
      <c r="S459" t="str">
        <f>TEXT(Table14[[#This Row],[Admission Date]],"mmm")</f>
        <v>Feb</v>
      </c>
      <c r="T459" t="str">
        <f>TEXT(Table14[[#This Row],[Admission Date]],"yyyy")</f>
        <v>2024</v>
      </c>
      <c r="U459" t="str">
        <f>TEXT(Table14[[#This Row],[Admission Date]],"mmm-yyyy")</f>
        <v>Feb-2024</v>
      </c>
      <c r="V459">
        <f t="shared" ca="1" si="7"/>
        <v>8</v>
      </c>
    </row>
    <row r="460" spans="1:22" x14ac:dyDescent="0.2">
      <c r="A460" t="s">
        <v>479</v>
      </c>
      <c r="B460" s="3">
        <v>45332</v>
      </c>
      <c r="D460">
        <f ca="1">IF(ISBLANK(Table14[[#This Row],[Discharge Date]]),TODAY()-Table14[[#This Row],[Admission Date]], Table14[[#This Row],[Discharge Date]]-Table14[[#This Row],[Admission Date]])</f>
        <v>806</v>
      </c>
      <c r="E460" s="6" t="str">
        <f>IF(Table14[[#This Row],[Discharge Date]]="","Still Admitted","Patient Discharged")</f>
        <v>Still Admitted</v>
      </c>
      <c r="F460" s="6" t="str">
        <f>IF(WEEKDAY(Table14[[#This Row],[Admission Date]],2)&gt;5,"Weekend","Weekday")</f>
        <v>Weekend</v>
      </c>
      <c r="G460" t="s">
        <v>10</v>
      </c>
      <c r="H460">
        <v>78</v>
      </c>
      <c r="I460" t="str" cm="1">
        <f t="array" ref="I460">_xlfn.IFS(Table14[[#This Row],[Age]]&lt;18,"Children",Table14[[#This Row],[Age]]&lt;50,"Adult",Table14[[#This Row],[Age]]&gt;=50,"Elderly")</f>
        <v>Elderly</v>
      </c>
      <c r="J460" t="s">
        <v>547</v>
      </c>
      <c r="K460" s="7">
        <v>454760</v>
      </c>
      <c r="L460" s="2" t="str" cm="1">
        <f t="array" ref="L460">_xlfn.IFS(Table14[[#This Row],[Treatment Cost]]&lt;50000,"Low Billing",Table14[[#This Row],[Treatment Cost]]&lt;200000,"Moderate Billing",Table14[[#This Row],[Treatment Cost]]&gt;=200000,"High Billing")</f>
        <v>High Billing</v>
      </c>
      <c r="M460" t="s">
        <v>403</v>
      </c>
      <c r="N460" t="str">
        <f>IF(AND(Table14[[#This Row],[Outcome]]="Follow-up",Table14[[#This Row],[Admission Status]]="Patient Discharged"),"High Risk Patient","Low Risk Patient")</f>
        <v>Low Risk Patient</v>
      </c>
      <c r="O460" t="str">
        <f>IFERROR(VLOOKUP(Table14[[#This Row],[Department]],Doctor_Info!A:D,2,FALSE), "")</f>
        <v>Dr. George</v>
      </c>
      <c r="P460" t="str">
        <f>IF(COUNTIF(A:A,Table14[[#This Row],[Patient ID]]&gt;1),"Returning Patient","New Patient")</f>
        <v>New Patient</v>
      </c>
      <c r="Q460" t="str">
        <f>_xlfn.XLOOKUP(Table14[[#This Row],[Department]], Doctor_Info!A:A, Doctor_Info!C:C, "")&amp;""</f>
        <v>405</v>
      </c>
      <c r="R460" t="str">
        <f>TEXT(Table14[[#This Row],[Admission Date]],"ddd")</f>
        <v>Sat</v>
      </c>
      <c r="S460" t="str">
        <f>TEXT(Table14[[#This Row],[Admission Date]],"mmm")</f>
        <v>Feb</v>
      </c>
      <c r="T460" t="str">
        <f>TEXT(Table14[[#This Row],[Admission Date]],"yyyy")</f>
        <v>2024</v>
      </c>
      <c r="U460" t="str">
        <f>TEXT(Table14[[#This Row],[Admission Date]],"mmm-yyyy")</f>
        <v>Feb-2024</v>
      </c>
      <c r="V460">
        <f t="shared" ca="1" si="7"/>
        <v>8</v>
      </c>
    </row>
    <row r="461" spans="1:22" x14ac:dyDescent="0.2">
      <c r="A461" t="s">
        <v>480</v>
      </c>
      <c r="B461" s="3">
        <v>45319</v>
      </c>
      <c r="C461" s="3">
        <v>45327</v>
      </c>
      <c r="D461">
        <f ca="1">IF(ISBLANK(Table14[[#This Row],[Discharge Date]]),TODAY()-Table14[[#This Row],[Admission Date]], Table14[[#This Row],[Discharge Date]]-Table14[[#This Row],[Admission Date]])</f>
        <v>8</v>
      </c>
      <c r="E461" s="6" t="str">
        <f>IF(Table14[[#This Row],[Discharge Date]]="","Still Admitted","Patient Discharged")</f>
        <v>Patient Discharged</v>
      </c>
      <c r="F461" s="6" t="str">
        <f>IF(WEEKDAY(Table14[[#This Row],[Admission Date]],2)&gt;5,"Weekend","Weekday")</f>
        <v>Weekend</v>
      </c>
      <c r="G461" t="s">
        <v>7</v>
      </c>
      <c r="H461">
        <v>80</v>
      </c>
      <c r="I461" t="str" cm="1">
        <f t="array" ref="I461">_xlfn.IFS(Table14[[#This Row],[Age]]&lt;18,"Children",Table14[[#This Row],[Age]]&lt;50,"Adult",Table14[[#This Row],[Age]]&gt;=50,"Elderly")</f>
        <v>Elderly</v>
      </c>
      <c r="J461" t="s">
        <v>546</v>
      </c>
      <c r="K461" s="7">
        <v>455730</v>
      </c>
      <c r="L461" s="2" t="str" cm="1">
        <f t="array" ref="L461">_xlfn.IFS(Table14[[#This Row],[Treatment Cost]]&lt;50000,"Low Billing",Table14[[#This Row],[Treatment Cost]]&lt;200000,"Moderate Billing",Table14[[#This Row],[Treatment Cost]]&gt;=200000,"High Billing")</f>
        <v>High Billing</v>
      </c>
      <c r="M461" t="s">
        <v>8</v>
      </c>
      <c r="N461" t="str">
        <f>IF(AND(Table14[[#This Row],[Outcome]]="Follow-up",Table14[[#This Row],[Admission Status]]="Patient Discharged"),"High Risk Patient","Low Risk Patient")</f>
        <v>High Risk Patient</v>
      </c>
      <c r="O461" t="str">
        <f>IFERROR(VLOOKUP(Table14[[#This Row],[Department]],Doctor_Info!A:D,2,FALSE), "")</f>
        <v>Dr. Ada</v>
      </c>
      <c r="P461" t="str">
        <f>IF(COUNTIF(A:A,Table14[[#This Row],[Patient ID]]&gt;1),"Returning Patient","New Patient")</f>
        <v>New Patient</v>
      </c>
      <c r="Q461" t="str">
        <f>_xlfn.XLOOKUP(Table14[[#This Row],[Department]], Doctor_Info!A:A, Doctor_Info!C:C, "")&amp;""</f>
        <v>301</v>
      </c>
      <c r="R461" t="str">
        <f>TEXT(Table14[[#This Row],[Admission Date]],"ddd")</f>
        <v>Sun</v>
      </c>
      <c r="S461" t="str">
        <f>TEXT(Table14[[#This Row],[Admission Date]],"mmm")</f>
        <v>Jan</v>
      </c>
      <c r="T461" t="str">
        <f>TEXT(Table14[[#This Row],[Admission Date]],"yyyy")</f>
        <v>2024</v>
      </c>
      <c r="U461" t="str">
        <f>TEXT(Table14[[#This Row],[Admission Date]],"mmm-yyyy")</f>
        <v>Jan-2024</v>
      </c>
      <c r="V461">
        <f t="shared" ca="1" si="7"/>
        <v>8</v>
      </c>
    </row>
    <row r="462" spans="1:22" x14ac:dyDescent="0.2">
      <c r="A462" t="s">
        <v>481</v>
      </c>
      <c r="B462" s="3">
        <v>45323</v>
      </c>
      <c r="C462" s="3">
        <v>45324</v>
      </c>
      <c r="D462">
        <f ca="1">IF(ISBLANK(Table14[[#This Row],[Discharge Date]]),TODAY()-Table14[[#This Row],[Admission Date]], Table14[[#This Row],[Discharge Date]]-Table14[[#This Row],[Admission Date]])</f>
        <v>1</v>
      </c>
      <c r="E462" s="6" t="str">
        <f>IF(Table14[[#This Row],[Discharge Date]]="","Still Admitted","Patient Discharged")</f>
        <v>Patient Discharged</v>
      </c>
      <c r="F462" s="6" t="str">
        <f>IF(WEEKDAY(Table14[[#This Row],[Admission Date]],2)&gt;5,"Weekend","Weekday")</f>
        <v>Weekday</v>
      </c>
      <c r="G462" t="s">
        <v>528</v>
      </c>
      <c r="H462">
        <v>82</v>
      </c>
      <c r="I462" t="str" cm="1">
        <f t="array" ref="I462">_xlfn.IFS(Table14[[#This Row],[Age]]&lt;18,"Children",Table14[[#This Row],[Age]]&lt;50,"Adult",Table14[[#This Row],[Age]]&gt;=50,"Elderly")</f>
        <v>Elderly</v>
      </c>
      <c r="J462" t="s">
        <v>547</v>
      </c>
      <c r="K462" s="7">
        <v>456700</v>
      </c>
      <c r="L462" s="2" t="str" cm="1">
        <f t="array" ref="L462">_xlfn.IFS(Table14[[#This Row],[Treatment Cost]]&lt;50000,"Low Billing",Table14[[#This Row],[Treatment Cost]]&lt;200000,"Moderate Billing",Table14[[#This Row],[Treatment Cost]]&gt;=200000,"High Billing")</f>
        <v>High Billing</v>
      </c>
      <c r="M462" t="s">
        <v>6</v>
      </c>
      <c r="N462" t="str">
        <f>IF(AND(Table14[[#This Row],[Outcome]]="Follow-up",Table14[[#This Row],[Admission Status]]="Patient Discharged"),"High Risk Patient","Low Risk Patient")</f>
        <v>Low Risk Patient</v>
      </c>
      <c r="O462" t="str">
        <f>IFERROR(VLOOKUP(Table14[[#This Row],[Department]],Doctor_Info!A:D,2,FALSE), "")</f>
        <v>Dr. Kofi</v>
      </c>
      <c r="P462" t="str">
        <f>IF(COUNTIF(A:A,Table14[[#This Row],[Patient ID]]&gt;1),"Returning Patient","New Patient")</f>
        <v>New Patient</v>
      </c>
      <c r="Q462" t="str">
        <f>_xlfn.XLOOKUP(Table14[[#This Row],[Department]], Doctor_Info!A:A, Doctor_Info!C:C, "")&amp;""</f>
        <v>102</v>
      </c>
      <c r="R462" t="str">
        <f>TEXT(Table14[[#This Row],[Admission Date]],"ddd")</f>
        <v>Thu</v>
      </c>
      <c r="S462" t="str">
        <f>TEXT(Table14[[#This Row],[Admission Date]],"mmm")</f>
        <v>Feb</v>
      </c>
      <c r="T462" t="str">
        <f>TEXT(Table14[[#This Row],[Admission Date]],"yyyy")</f>
        <v>2024</v>
      </c>
      <c r="U462" t="str">
        <f>TEXT(Table14[[#This Row],[Admission Date]],"mmm-yyyy")</f>
        <v>Feb-2024</v>
      </c>
      <c r="V462">
        <f t="shared" ca="1" si="7"/>
        <v>8</v>
      </c>
    </row>
    <row r="463" spans="1:22" x14ac:dyDescent="0.2">
      <c r="A463" t="s">
        <v>482</v>
      </c>
      <c r="B463" s="3">
        <v>45325</v>
      </c>
      <c r="C463" s="3">
        <v>45337</v>
      </c>
      <c r="D463">
        <f ca="1">IF(ISBLANK(Table14[[#This Row],[Discharge Date]]),TODAY()-Table14[[#This Row],[Admission Date]], Table14[[#This Row],[Discharge Date]]-Table14[[#This Row],[Admission Date]])</f>
        <v>12</v>
      </c>
      <c r="E463" s="6" t="str">
        <f>IF(Table14[[#This Row],[Discharge Date]]="","Still Admitted","Patient Discharged")</f>
        <v>Patient Discharged</v>
      </c>
      <c r="F463" s="6" t="str">
        <f>IF(WEEKDAY(Table14[[#This Row],[Admission Date]],2)&gt;5,"Weekend","Weekday")</f>
        <v>Weekend</v>
      </c>
      <c r="G463" t="s">
        <v>12</v>
      </c>
      <c r="H463">
        <v>84</v>
      </c>
      <c r="I463" t="str" cm="1">
        <f t="array" ref="I463">_xlfn.IFS(Table14[[#This Row],[Age]]&lt;18,"Children",Table14[[#This Row],[Age]]&lt;50,"Adult",Table14[[#This Row],[Age]]&gt;=50,"Elderly")</f>
        <v>Elderly</v>
      </c>
      <c r="J463" t="s">
        <v>546</v>
      </c>
      <c r="K463" s="7">
        <v>457670</v>
      </c>
      <c r="L463" s="2" t="str" cm="1">
        <f t="array" ref="L463">_xlfn.IFS(Table14[[#This Row],[Treatment Cost]]&lt;50000,"Low Billing",Table14[[#This Row],[Treatment Cost]]&lt;200000,"Moderate Billing",Table14[[#This Row],[Treatment Cost]]&gt;=200000,"High Billing")</f>
        <v>High Billing</v>
      </c>
      <c r="M463" t="s">
        <v>8</v>
      </c>
      <c r="N463" t="str">
        <f>IF(AND(Table14[[#This Row],[Outcome]]="Follow-up",Table14[[#This Row],[Admission Status]]="Patient Discharged"),"High Risk Patient","Low Risk Patient")</f>
        <v>High Risk Patient</v>
      </c>
      <c r="O463" t="str">
        <f>IFERROR(VLOOKUP(Table14[[#This Row],[Department]],Doctor_Info!A:D,2,FALSE), "")</f>
        <v>Dr. Temi</v>
      </c>
      <c r="P463" t="str">
        <f>IF(COUNTIF(A:A,Table14[[#This Row],[Patient ID]]&gt;1),"Returning Patient","New Patient")</f>
        <v>New Patient</v>
      </c>
      <c r="Q463" t="str">
        <f>_xlfn.XLOOKUP(Table14[[#This Row],[Department]], Doctor_Info!A:A, Doctor_Info!C:C, "")&amp;""</f>
        <v>502</v>
      </c>
      <c r="R463" t="str">
        <f>TEXT(Table14[[#This Row],[Admission Date]],"ddd")</f>
        <v>Sat</v>
      </c>
      <c r="S463" t="str">
        <f>TEXT(Table14[[#This Row],[Admission Date]],"mmm")</f>
        <v>Feb</v>
      </c>
      <c r="T463" t="str">
        <f>TEXT(Table14[[#This Row],[Admission Date]],"yyyy")</f>
        <v>2024</v>
      </c>
      <c r="U463" t="str">
        <f>TEXT(Table14[[#This Row],[Admission Date]],"mmm-yyyy")</f>
        <v>Feb-2024</v>
      </c>
      <c r="V463">
        <f t="shared" ca="1" si="7"/>
        <v>8</v>
      </c>
    </row>
    <row r="464" spans="1:22" x14ac:dyDescent="0.2">
      <c r="A464" t="s">
        <v>483</v>
      </c>
      <c r="B464" s="3">
        <v>45327</v>
      </c>
      <c r="C464" s="3">
        <v>45328</v>
      </c>
      <c r="D464">
        <f ca="1">IF(ISBLANK(Table14[[#This Row],[Discharge Date]]),TODAY()-Table14[[#This Row],[Admission Date]], Table14[[#This Row],[Discharge Date]]-Table14[[#This Row],[Admission Date]])</f>
        <v>1</v>
      </c>
      <c r="E464" s="6" t="str">
        <f>IF(Table14[[#This Row],[Discharge Date]]="","Still Admitted","Patient Discharged")</f>
        <v>Patient Discharged</v>
      </c>
      <c r="F464" s="6" t="str">
        <f>IF(WEEKDAY(Table14[[#This Row],[Admission Date]],2)&gt;5,"Weekend","Weekday")</f>
        <v>Weekday</v>
      </c>
      <c r="G464" t="s">
        <v>528</v>
      </c>
      <c r="H464">
        <v>86</v>
      </c>
      <c r="I464" t="str" cm="1">
        <f t="array" ref="I464">_xlfn.IFS(Table14[[#This Row],[Age]]&lt;18,"Children",Table14[[#This Row],[Age]]&lt;50,"Adult",Table14[[#This Row],[Age]]&gt;=50,"Elderly")</f>
        <v>Elderly</v>
      </c>
      <c r="J464" t="s">
        <v>547</v>
      </c>
      <c r="K464" s="7">
        <v>458640</v>
      </c>
      <c r="L464" s="2" t="str" cm="1">
        <f t="array" ref="L464">_xlfn.IFS(Table14[[#This Row],[Treatment Cost]]&lt;50000,"Low Billing",Table14[[#This Row],[Treatment Cost]]&lt;200000,"Moderate Billing",Table14[[#This Row],[Treatment Cost]]&gt;=200000,"High Billing")</f>
        <v>High Billing</v>
      </c>
      <c r="M464" t="s">
        <v>6</v>
      </c>
      <c r="N464" t="str">
        <f>IF(AND(Table14[[#This Row],[Outcome]]="Follow-up",Table14[[#This Row],[Admission Status]]="Patient Discharged"),"High Risk Patient","Low Risk Patient")</f>
        <v>Low Risk Patient</v>
      </c>
      <c r="O464" t="str">
        <f>IFERROR(VLOOKUP(Table14[[#This Row],[Department]],Doctor_Info!A:D,2,FALSE), "")</f>
        <v>Dr. Kofi</v>
      </c>
      <c r="P464" t="str">
        <f>IF(COUNTIF(A:A,Table14[[#This Row],[Patient ID]]&gt;1),"Returning Patient","New Patient")</f>
        <v>New Patient</v>
      </c>
      <c r="Q464" t="str">
        <f>_xlfn.XLOOKUP(Table14[[#This Row],[Department]], Doctor_Info!A:A, Doctor_Info!C:C, "")&amp;""</f>
        <v>102</v>
      </c>
      <c r="R464" t="str">
        <f>TEXT(Table14[[#This Row],[Admission Date]],"ddd")</f>
        <v>Mon</v>
      </c>
      <c r="S464" t="str">
        <f>TEXT(Table14[[#This Row],[Admission Date]],"mmm")</f>
        <v>Feb</v>
      </c>
      <c r="T464" t="str">
        <f>TEXT(Table14[[#This Row],[Admission Date]],"yyyy")</f>
        <v>2024</v>
      </c>
      <c r="U464" t="str">
        <f>TEXT(Table14[[#This Row],[Admission Date]],"mmm-yyyy")</f>
        <v>Feb-2024</v>
      </c>
      <c r="V464">
        <f t="shared" ca="1" si="7"/>
        <v>8</v>
      </c>
    </row>
    <row r="465" spans="1:22" x14ac:dyDescent="0.2">
      <c r="A465" t="s">
        <v>484</v>
      </c>
      <c r="B465" s="3">
        <v>45319</v>
      </c>
      <c r="C465" s="3">
        <v>45327</v>
      </c>
      <c r="D465">
        <f ca="1">IF(ISBLANK(Table14[[#This Row],[Discharge Date]]),TODAY()-Table14[[#This Row],[Admission Date]], Table14[[#This Row],[Discharge Date]]-Table14[[#This Row],[Admission Date]])</f>
        <v>8</v>
      </c>
      <c r="E465" s="6" t="str">
        <f>IF(Table14[[#This Row],[Discharge Date]]="","Still Admitted","Patient Discharged")</f>
        <v>Patient Discharged</v>
      </c>
      <c r="F465" s="6" t="str">
        <f>IF(WEEKDAY(Table14[[#This Row],[Admission Date]],2)&gt;5,"Weekend","Weekday")</f>
        <v>Weekend</v>
      </c>
      <c r="G465" t="s">
        <v>7</v>
      </c>
      <c r="H465">
        <v>90</v>
      </c>
      <c r="I465" t="str" cm="1">
        <f t="array" ref="I465">_xlfn.IFS(Table14[[#This Row],[Age]]&lt;18,"Children",Table14[[#This Row],[Age]]&lt;50,"Adult",Table14[[#This Row],[Age]]&gt;=50,"Elderly")</f>
        <v>Elderly</v>
      </c>
      <c r="J465" t="s">
        <v>546</v>
      </c>
      <c r="K465" s="7">
        <v>460580</v>
      </c>
      <c r="L465" s="2" t="str" cm="1">
        <f t="array" ref="L465">_xlfn.IFS(Table14[[#This Row],[Treatment Cost]]&lt;50000,"Low Billing",Table14[[#This Row],[Treatment Cost]]&lt;200000,"Moderate Billing",Table14[[#This Row],[Treatment Cost]]&gt;=200000,"High Billing")</f>
        <v>High Billing</v>
      </c>
      <c r="M465" t="s">
        <v>8</v>
      </c>
      <c r="N465" t="str">
        <f>IF(AND(Table14[[#This Row],[Outcome]]="Follow-up",Table14[[#This Row],[Admission Status]]="Patient Discharged"),"High Risk Patient","Low Risk Patient")</f>
        <v>High Risk Patient</v>
      </c>
      <c r="O465" t="str">
        <f>IFERROR(VLOOKUP(Table14[[#This Row],[Department]],Doctor_Info!A:D,2,FALSE), "")</f>
        <v>Dr. Ada</v>
      </c>
      <c r="P465" t="str">
        <f>IF(COUNTIF(A:A,Table14[[#This Row],[Patient ID]]&gt;1),"Returning Patient","New Patient")</f>
        <v>New Patient</v>
      </c>
      <c r="Q465" t="str">
        <f>_xlfn.XLOOKUP(Table14[[#This Row],[Department]], Doctor_Info!A:A, Doctor_Info!C:C, "")&amp;""</f>
        <v>301</v>
      </c>
      <c r="R465" t="str">
        <f>TEXT(Table14[[#This Row],[Admission Date]],"ddd")</f>
        <v>Sun</v>
      </c>
      <c r="S465" t="str">
        <f>TEXT(Table14[[#This Row],[Admission Date]],"mmm")</f>
        <v>Jan</v>
      </c>
      <c r="T465" t="str">
        <f>TEXT(Table14[[#This Row],[Admission Date]],"yyyy")</f>
        <v>2024</v>
      </c>
      <c r="U465" t="str">
        <f>TEXT(Table14[[#This Row],[Admission Date]],"mmm-yyyy")</f>
        <v>Jan-2024</v>
      </c>
      <c r="V465">
        <f t="shared" ca="1" si="7"/>
        <v>8</v>
      </c>
    </row>
    <row r="466" spans="1:22" x14ac:dyDescent="0.2">
      <c r="A466" t="s">
        <v>485</v>
      </c>
      <c r="B466" s="3">
        <v>45323</v>
      </c>
      <c r="C466" s="3">
        <v>45324</v>
      </c>
      <c r="D466">
        <f ca="1">IF(ISBLANK(Table14[[#This Row],[Discharge Date]]),TODAY()-Table14[[#This Row],[Admission Date]], Table14[[#This Row],[Discharge Date]]-Table14[[#This Row],[Admission Date]])</f>
        <v>1</v>
      </c>
      <c r="E466" s="6" t="str">
        <f>IF(Table14[[#This Row],[Discharge Date]]="","Still Admitted","Patient Discharged")</f>
        <v>Patient Discharged</v>
      </c>
      <c r="F466" s="6" t="str">
        <f>IF(WEEKDAY(Table14[[#This Row],[Admission Date]],2)&gt;5,"Weekend","Weekday")</f>
        <v>Weekday</v>
      </c>
      <c r="G466" t="s">
        <v>528</v>
      </c>
      <c r="H466">
        <v>92</v>
      </c>
      <c r="I466" t="str" cm="1">
        <f t="array" ref="I466">_xlfn.IFS(Table14[[#This Row],[Age]]&lt;18,"Children",Table14[[#This Row],[Age]]&lt;50,"Adult",Table14[[#This Row],[Age]]&gt;=50,"Elderly")</f>
        <v>Elderly</v>
      </c>
      <c r="J466" t="s">
        <v>547</v>
      </c>
      <c r="K466" s="7">
        <v>461550</v>
      </c>
      <c r="L466" s="2" t="str" cm="1">
        <f t="array" ref="L466">_xlfn.IFS(Table14[[#This Row],[Treatment Cost]]&lt;50000,"Low Billing",Table14[[#This Row],[Treatment Cost]]&lt;200000,"Moderate Billing",Table14[[#This Row],[Treatment Cost]]&gt;=200000,"High Billing")</f>
        <v>High Billing</v>
      </c>
      <c r="M466" t="s">
        <v>6</v>
      </c>
      <c r="N466" t="str">
        <f>IF(AND(Table14[[#This Row],[Outcome]]="Follow-up",Table14[[#This Row],[Admission Status]]="Patient Discharged"),"High Risk Patient","Low Risk Patient")</f>
        <v>Low Risk Patient</v>
      </c>
      <c r="O466" t="str">
        <f>IFERROR(VLOOKUP(Table14[[#This Row],[Department]],Doctor_Info!A:D,2,FALSE), "")</f>
        <v>Dr. Kofi</v>
      </c>
      <c r="P466" t="str">
        <f>IF(COUNTIF(A:A,Table14[[#This Row],[Patient ID]]&gt;1),"Returning Patient","New Patient")</f>
        <v>New Patient</v>
      </c>
      <c r="Q466" t="str">
        <f>_xlfn.XLOOKUP(Table14[[#This Row],[Department]], Doctor_Info!A:A, Doctor_Info!C:C, "")&amp;""</f>
        <v>102</v>
      </c>
      <c r="R466" t="str">
        <f>TEXT(Table14[[#This Row],[Admission Date]],"ddd")</f>
        <v>Thu</v>
      </c>
      <c r="S466" t="str">
        <f>TEXT(Table14[[#This Row],[Admission Date]],"mmm")</f>
        <v>Feb</v>
      </c>
      <c r="T466" t="str">
        <f>TEXT(Table14[[#This Row],[Admission Date]],"yyyy")</f>
        <v>2024</v>
      </c>
      <c r="U466" t="str">
        <f>TEXT(Table14[[#This Row],[Admission Date]],"mmm-yyyy")</f>
        <v>Feb-2024</v>
      </c>
      <c r="V466">
        <f t="shared" ca="1" si="7"/>
        <v>8</v>
      </c>
    </row>
    <row r="467" spans="1:22" x14ac:dyDescent="0.2">
      <c r="A467" t="s">
        <v>486</v>
      </c>
      <c r="B467" s="3">
        <v>45325</v>
      </c>
      <c r="C467" s="3">
        <v>45337</v>
      </c>
      <c r="D467">
        <f ca="1">IF(ISBLANK(Table14[[#This Row],[Discharge Date]]),TODAY()-Table14[[#This Row],[Admission Date]], Table14[[#This Row],[Discharge Date]]-Table14[[#This Row],[Admission Date]])</f>
        <v>12</v>
      </c>
      <c r="E467" s="6" t="str">
        <f>IF(Table14[[#This Row],[Discharge Date]]="","Still Admitted","Patient Discharged")</f>
        <v>Patient Discharged</v>
      </c>
      <c r="F467" s="6" t="str">
        <f>IF(WEEKDAY(Table14[[#This Row],[Admission Date]],2)&gt;5,"Weekend","Weekday")</f>
        <v>Weekend</v>
      </c>
      <c r="G467" t="s">
        <v>12</v>
      </c>
      <c r="H467">
        <v>94</v>
      </c>
      <c r="I467" t="str" cm="1">
        <f t="array" ref="I467">_xlfn.IFS(Table14[[#This Row],[Age]]&lt;18,"Children",Table14[[#This Row],[Age]]&lt;50,"Adult",Table14[[#This Row],[Age]]&gt;=50,"Elderly")</f>
        <v>Elderly</v>
      </c>
      <c r="J467" t="s">
        <v>546</v>
      </c>
      <c r="K467" s="7">
        <v>462520</v>
      </c>
      <c r="L467" s="2" t="str" cm="1">
        <f t="array" ref="L467">_xlfn.IFS(Table14[[#This Row],[Treatment Cost]]&lt;50000,"Low Billing",Table14[[#This Row],[Treatment Cost]]&lt;200000,"Moderate Billing",Table14[[#This Row],[Treatment Cost]]&gt;=200000,"High Billing")</f>
        <v>High Billing</v>
      </c>
      <c r="M467" t="s">
        <v>8</v>
      </c>
      <c r="N467" t="str">
        <f>IF(AND(Table14[[#This Row],[Outcome]]="Follow-up",Table14[[#This Row],[Admission Status]]="Patient Discharged"),"High Risk Patient","Low Risk Patient")</f>
        <v>High Risk Patient</v>
      </c>
      <c r="O467" t="str">
        <f>IFERROR(VLOOKUP(Table14[[#This Row],[Department]],Doctor_Info!A:D,2,FALSE), "")</f>
        <v>Dr. Temi</v>
      </c>
      <c r="P467" t="str">
        <f>IF(COUNTIF(A:A,Table14[[#This Row],[Patient ID]]&gt;1),"Returning Patient","New Patient")</f>
        <v>New Patient</v>
      </c>
      <c r="Q467" t="str">
        <f>_xlfn.XLOOKUP(Table14[[#This Row],[Department]], Doctor_Info!A:A, Doctor_Info!C:C, "")&amp;""</f>
        <v>502</v>
      </c>
      <c r="R467" t="str">
        <f>TEXT(Table14[[#This Row],[Admission Date]],"ddd")</f>
        <v>Sat</v>
      </c>
      <c r="S467" t="str">
        <f>TEXT(Table14[[#This Row],[Admission Date]],"mmm")</f>
        <v>Feb</v>
      </c>
      <c r="T467" t="str">
        <f>TEXT(Table14[[#This Row],[Admission Date]],"yyyy")</f>
        <v>2024</v>
      </c>
      <c r="U467" t="str">
        <f>TEXT(Table14[[#This Row],[Admission Date]],"mmm-yyyy")</f>
        <v>Feb-2024</v>
      </c>
      <c r="V467">
        <f t="shared" ca="1" si="7"/>
        <v>8</v>
      </c>
    </row>
    <row r="468" spans="1:22" x14ac:dyDescent="0.2">
      <c r="A468" t="s">
        <v>487</v>
      </c>
      <c r="B468" s="3">
        <v>45327</v>
      </c>
      <c r="C468" s="3">
        <v>45328</v>
      </c>
      <c r="D468">
        <f ca="1">IF(ISBLANK(Table14[[#This Row],[Discharge Date]]),TODAY()-Table14[[#This Row],[Admission Date]], Table14[[#This Row],[Discharge Date]]-Table14[[#This Row],[Admission Date]])</f>
        <v>1</v>
      </c>
      <c r="E468" s="6" t="str">
        <f>IF(Table14[[#This Row],[Discharge Date]]="","Still Admitted","Patient Discharged")</f>
        <v>Patient Discharged</v>
      </c>
      <c r="F468" s="6" t="str">
        <f>IF(WEEKDAY(Table14[[#This Row],[Admission Date]],2)&gt;5,"Weekend","Weekday")</f>
        <v>Weekday</v>
      </c>
      <c r="G468" t="s">
        <v>528</v>
      </c>
      <c r="H468">
        <v>96</v>
      </c>
      <c r="I468" t="str" cm="1">
        <f t="array" ref="I468">_xlfn.IFS(Table14[[#This Row],[Age]]&lt;18,"Children",Table14[[#This Row],[Age]]&lt;50,"Adult",Table14[[#This Row],[Age]]&gt;=50,"Elderly")</f>
        <v>Elderly</v>
      </c>
      <c r="J468" t="s">
        <v>547</v>
      </c>
      <c r="K468" s="7">
        <v>463490</v>
      </c>
      <c r="L468" s="2" t="str" cm="1">
        <f t="array" ref="L468">_xlfn.IFS(Table14[[#This Row],[Treatment Cost]]&lt;50000,"Low Billing",Table14[[#This Row],[Treatment Cost]]&lt;200000,"Moderate Billing",Table14[[#This Row],[Treatment Cost]]&gt;=200000,"High Billing")</f>
        <v>High Billing</v>
      </c>
      <c r="M468" t="s">
        <v>6</v>
      </c>
      <c r="N468" t="str">
        <f>IF(AND(Table14[[#This Row],[Outcome]]="Follow-up",Table14[[#This Row],[Admission Status]]="Patient Discharged"),"High Risk Patient","Low Risk Patient")</f>
        <v>Low Risk Patient</v>
      </c>
      <c r="O468" t="str">
        <f>IFERROR(VLOOKUP(Table14[[#This Row],[Department]],Doctor_Info!A:D,2,FALSE), "")</f>
        <v>Dr. Kofi</v>
      </c>
      <c r="P468" t="str">
        <f>IF(COUNTIF(A:A,Table14[[#This Row],[Patient ID]]&gt;1),"Returning Patient","New Patient")</f>
        <v>New Patient</v>
      </c>
      <c r="Q468" t="str">
        <f>_xlfn.XLOOKUP(Table14[[#This Row],[Department]], Doctor_Info!A:A, Doctor_Info!C:C, "")&amp;""</f>
        <v>102</v>
      </c>
      <c r="R468" t="str">
        <f>TEXT(Table14[[#This Row],[Admission Date]],"ddd")</f>
        <v>Mon</v>
      </c>
      <c r="S468" t="str">
        <f>TEXT(Table14[[#This Row],[Admission Date]],"mmm")</f>
        <v>Feb</v>
      </c>
      <c r="T468" t="str">
        <f>TEXT(Table14[[#This Row],[Admission Date]],"yyyy")</f>
        <v>2024</v>
      </c>
      <c r="U468" t="str">
        <f>TEXT(Table14[[#This Row],[Admission Date]],"mmm-yyyy")</f>
        <v>Feb-2024</v>
      </c>
      <c r="V468">
        <f t="shared" ca="1" si="7"/>
        <v>8</v>
      </c>
    </row>
    <row r="469" spans="1:22" x14ac:dyDescent="0.2">
      <c r="A469" t="s">
        <v>488</v>
      </c>
      <c r="B469" s="3">
        <v>45332</v>
      </c>
      <c r="D469">
        <f ca="1">IF(ISBLANK(Table14[[#This Row],[Discharge Date]]),TODAY()-Table14[[#This Row],[Admission Date]], Table14[[#This Row],[Discharge Date]]-Table14[[#This Row],[Admission Date]])</f>
        <v>806</v>
      </c>
      <c r="E469" s="6" t="str">
        <f>IF(Table14[[#This Row],[Discharge Date]]="","Still Admitted","Patient Discharged")</f>
        <v>Still Admitted</v>
      </c>
      <c r="F469" s="6" t="str">
        <f>IF(WEEKDAY(Table14[[#This Row],[Admission Date]],2)&gt;5,"Weekend","Weekday")</f>
        <v>Weekend</v>
      </c>
      <c r="G469" t="s">
        <v>10</v>
      </c>
      <c r="H469">
        <v>98</v>
      </c>
      <c r="I469" t="str" cm="1">
        <f t="array" ref="I469">_xlfn.IFS(Table14[[#This Row],[Age]]&lt;18,"Children",Table14[[#This Row],[Age]]&lt;50,"Adult",Table14[[#This Row],[Age]]&gt;=50,"Elderly")</f>
        <v>Elderly</v>
      </c>
      <c r="J469" t="s">
        <v>547</v>
      </c>
      <c r="K469" s="7">
        <v>464460</v>
      </c>
      <c r="L469" s="2" t="str" cm="1">
        <f t="array" ref="L469">_xlfn.IFS(Table14[[#This Row],[Treatment Cost]]&lt;50000,"Low Billing",Table14[[#This Row],[Treatment Cost]]&lt;200000,"Moderate Billing",Table14[[#This Row],[Treatment Cost]]&gt;=200000,"High Billing")</f>
        <v>High Billing</v>
      </c>
      <c r="M469" t="s">
        <v>403</v>
      </c>
      <c r="N469" t="str">
        <f>IF(AND(Table14[[#This Row],[Outcome]]="Follow-up",Table14[[#This Row],[Admission Status]]="Patient Discharged"),"High Risk Patient","Low Risk Patient")</f>
        <v>Low Risk Patient</v>
      </c>
      <c r="O469" t="str">
        <f>IFERROR(VLOOKUP(Table14[[#This Row],[Department]],Doctor_Info!A:D,2,FALSE), "")</f>
        <v>Dr. George</v>
      </c>
      <c r="P469" t="str">
        <f>IF(COUNTIF(A:A,Table14[[#This Row],[Patient ID]]&gt;1),"Returning Patient","New Patient")</f>
        <v>New Patient</v>
      </c>
      <c r="Q469" t="str">
        <f>_xlfn.XLOOKUP(Table14[[#This Row],[Department]], Doctor_Info!A:A, Doctor_Info!C:C, "")&amp;""</f>
        <v>405</v>
      </c>
      <c r="R469" t="str">
        <f>TEXT(Table14[[#This Row],[Admission Date]],"ddd")</f>
        <v>Sat</v>
      </c>
      <c r="S469" t="str">
        <f>TEXT(Table14[[#This Row],[Admission Date]],"mmm")</f>
        <v>Feb</v>
      </c>
      <c r="T469" t="str">
        <f>TEXT(Table14[[#This Row],[Admission Date]],"yyyy")</f>
        <v>2024</v>
      </c>
      <c r="U469" t="str">
        <f>TEXT(Table14[[#This Row],[Admission Date]],"mmm-yyyy")</f>
        <v>Feb-2024</v>
      </c>
      <c r="V469">
        <f t="shared" ca="1" si="7"/>
        <v>8</v>
      </c>
    </row>
    <row r="470" spans="1:22" x14ac:dyDescent="0.2">
      <c r="A470" t="s">
        <v>489</v>
      </c>
      <c r="B470" s="3">
        <v>45319</v>
      </c>
      <c r="C470" s="3">
        <v>45327</v>
      </c>
      <c r="D470">
        <f ca="1">IF(ISBLANK(Table14[[#This Row],[Discharge Date]]),TODAY()-Table14[[#This Row],[Admission Date]], Table14[[#This Row],[Discharge Date]]-Table14[[#This Row],[Admission Date]])</f>
        <v>8</v>
      </c>
      <c r="E470" s="6" t="str">
        <f>IF(Table14[[#This Row],[Discharge Date]]="","Still Admitted","Patient Discharged")</f>
        <v>Patient Discharged</v>
      </c>
      <c r="F470" s="6" t="str">
        <f>IF(WEEKDAY(Table14[[#This Row],[Admission Date]],2)&gt;5,"Weekend","Weekday")</f>
        <v>Weekend</v>
      </c>
      <c r="G470" t="s">
        <v>7</v>
      </c>
      <c r="H470">
        <v>100</v>
      </c>
      <c r="I470" t="str" cm="1">
        <f t="array" ref="I470">_xlfn.IFS(Table14[[#This Row],[Age]]&lt;18,"Children",Table14[[#This Row],[Age]]&lt;50,"Adult",Table14[[#This Row],[Age]]&gt;=50,"Elderly")</f>
        <v>Elderly</v>
      </c>
      <c r="J470" t="s">
        <v>546</v>
      </c>
      <c r="K470" s="7">
        <v>465430</v>
      </c>
      <c r="L470" s="2" t="str" cm="1">
        <f t="array" ref="L470">_xlfn.IFS(Table14[[#This Row],[Treatment Cost]]&lt;50000,"Low Billing",Table14[[#This Row],[Treatment Cost]]&lt;200000,"Moderate Billing",Table14[[#This Row],[Treatment Cost]]&gt;=200000,"High Billing")</f>
        <v>High Billing</v>
      </c>
      <c r="M470" t="s">
        <v>8</v>
      </c>
      <c r="N470" t="str">
        <f>IF(AND(Table14[[#This Row],[Outcome]]="Follow-up",Table14[[#This Row],[Admission Status]]="Patient Discharged"),"High Risk Patient","Low Risk Patient")</f>
        <v>High Risk Patient</v>
      </c>
      <c r="O470" t="str">
        <f>IFERROR(VLOOKUP(Table14[[#This Row],[Department]],Doctor_Info!A:D,2,FALSE), "")</f>
        <v>Dr. Ada</v>
      </c>
      <c r="P470" t="str">
        <f>IF(COUNTIF(A:A,Table14[[#This Row],[Patient ID]]&gt;1),"Returning Patient","New Patient")</f>
        <v>New Patient</v>
      </c>
      <c r="Q470" t="str">
        <f>_xlfn.XLOOKUP(Table14[[#This Row],[Department]], Doctor_Info!A:A, Doctor_Info!C:C, "")&amp;""</f>
        <v>301</v>
      </c>
      <c r="R470" t="str">
        <f>TEXT(Table14[[#This Row],[Admission Date]],"ddd")</f>
        <v>Sun</v>
      </c>
      <c r="S470" t="str">
        <f>TEXT(Table14[[#This Row],[Admission Date]],"mmm")</f>
        <v>Jan</v>
      </c>
      <c r="T470" t="str">
        <f>TEXT(Table14[[#This Row],[Admission Date]],"yyyy")</f>
        <v>2024</v>
      </c>
      <c r="U470" t="str">
        <f>TEXT(Table14[[#This Row],[Admission Date]],"mmm-yyyy")</f>
        <v>Jan-2024</v>
      </c>
      <c r="V470">
        <f t="shared" ca="1" si="7"/>
        <v>8</v>
      </c>
    </row>
    <row r="471" spans="1:22" x14ac:dyDescent="0.2">
      <c r="A471" t="s">
        <v>490</v>
      </c>
      <c r="B471" s="3">
        <v>45323</v>
      </c>
      <c r="C471" s="3">
        <v>45324</v>
      </c>
      <c r="D471">
        <f ca="1">IF(ISBLANK(Table14[[#This Row],[Discharge Date]]),TODAY()-Table14[[#This Row],[Admission Date]], Table14[[#This Row],[Discharge Date]]-Table14[[#This Row],[Admission Date]])</f>
        <v>1</v>
      </c>
      <c r="E471" s="6" t="str">
        <f>IF(Table14[[#This Row],[Discharge Date]]="","Still Admitted","Patient Discharged")</f>
        <v>Patient Discharged</v>
      </c>
      <c r="F471" s="6" t="str">
        <f>IF(WEEKDAY(Table14[[#This Row],[Admission Date]],2)&gt;5,"Weekend","Weekday")</f>
        <v>Weekday</v>
      </c>
      <c r="G471" t="s">
        <v>528</v>
      </c>
      <c r="H471">
        <v>2</v>
      </c>
      <c r="I471" t="str" cm="1">
        <f t="array" ref="I471">_xlfn.IFS(Table14[[#This Row],[Age]]&lt;18,"Children",Table14[[#This Row],[Age]]&lt;50,"Adult",Table14[[#This Row],[Age]]&gt;=50,"Elderly")</f>
        <v>Children</v>
      </c>
      <c r="J471" t="s">
        <v>547</v>
      </c>
      <c r="K471" s="7">
        <v>466400</v>
      </c>
      <c r="L471" s="2" t="str" cm="1">
        <f t="array" ref="L471">_xlfn.IFS(Table14[[#This Row],[Treatment Cost]]&lt;50000,"Low Billing",Table14[[#This Row],[Treatment Cost]]&lt;200000,"Moderate Billing",Table14[[#This Row],[Treatment Cost]]&gt;=200000,"High Billing")</f>
        <v>High Billing</v>
      </c>
      <c r="M471" t="s">
        <v>6</v>
      </c>
      <c r="N471" t="str">
        <f>IF(AND(Table14[[#This Row],[Outcome]]="Follow-up",Table14[[#This Row],[Admission Status]]="Patient Discharged"),"High Risk Patient","Low Risk Patient")</f>
        <v>Low Risk Patient</v>
      </c>
      <c r="O471" t="str">
        <f>IFERROR(VLOOKUP(Table14[[#This Row],[Department]],Doctor_Info!A:D,2,FALSE), "")</f>
        <v>Dr. Kofi</v>
      </c>
      <c r="P471" t="str">
        <f>IF(COUNTIF(A:A,Table14[[#This Row],[Patient ID]]&gt;1),"Returning Patient","New Patient")</f>
        <v>New Patient</v>
      </c>
      <c r="Q471" t="str">
        <f>_xlfn.XLOOKUP(Table14[[#This Row],[Department]], Doctor_Info!A:A, Doctor_Info!C:C, "")&amp;""</f>
        <v>102</v>
      </c>
      <c r="R471" t="str">
        <f>TEXT(Table14[[#This Row],[Admission Date]],"ddd")</f>
        <v>Thu</v>
      </c>
      <c r="S471" t="str">
        <f>TEXT(Table14[[#This Row],[Admission Date]],"mmm")</f>
        <v>Feb</v>
      </c>
      <c r="T471" t="str">
        <f>TEXT(Table14[[#This Row],[Admission Date]],"yyyy")</f>
        <v>2024</v>
      </c>
      <c r="U471" t="str">
        <f>TEXT(Table14[[#This Row],[Admission Date]],"mmm-yyyy")</f>
        <v>Feb-2024</v>
      </c>
      <c r="V471">
        <f t="shared" ca="1" si="7"/>
        <v>8</v>
      </c>
    </row>
    <row r="472" spans="1:22" x14ac:dyDescent="0.2">
      <c r="A472" t="s">
        <v>491</v>
      </c>
      <c r="B472" s="3">
        <v>45325</v>
      </c>
      <c r="C472" s="3">
        <v>45337</v>
      </c>
      <c r="D472">
        <f ca="1">IF(ISBLANK(Table14[[#This Row],[Discharge Date]]),TODAY()-Table14[[#This Row],[Admission Date]], Table14[[#This Row],[Discharge Date]]-Table14[[#This Row],[Admission Date]])</f>
        <v>12</v>
      </c>
      <c r="E472" s="6" t="str">
        <f>IF(Table14[[#This Row],[Discharge Date]]="","Still Admitted","Patient Discharged")</f>
        <v>Patient Discharged</v>
      </c>
      <c r="F472" s="6" t="str">
        <f>IF(WEEKDAY(Table14[[#This Row],[Admission Date]],2)&gt;5,"Weekend","Weekday")</f>
        <v>Weekend</v>
      </c>
      <c r="G472" t="s">
        <v>12</v>
      </c>
      <c r="H472">
        <v>4</v>
      </c>
      <c r="I472" t="str" cm="1">
        <f t="array" ref="I472">_xlfn.IFS(Table14[[#This Row],[Age]]&lt;18,"Children",Table14[[#This Row],[Age]]&lt;50,"Adult",Table14[[#This Row],[Age]]&gt;=50,"Elderly")</f>
        <v>Children</v>
      </c>
      <c r="J472" t="s">
        <v>546</v>
      </c>
      <c r="K472" s="7">
        <v>467370</v>
      </c>
      <c r="L472" s="2" t="str" cm="1">
        <f t="array" ref="L472">_xlfn.IFS(Table14[[#This Row],[Treatment Cost]]&lt;50000,"Low Billing",Table14[[#This Row],[Treatment Cost]]&lt;200000,"Moderate Billing",Table14[[#This Row],[Treatment Cost]]&gt;=200000,"High Billing")</f>
        <v>High Billing</v>
      </c>
      <c r="M472" t="s">
        <v>8</v>
      </c>
      <c r="N472" t="str">
        <f>IF(AND(Table14[[#This Row],[Outcome]]="Follow-up",Table14[[#This Row],[Admission Status]]="Patient Discharged"),"High Risk Patient","Low Risk Patient")</f>
        <v>High Risk Patient</v>
      </c>
      <c r="O472" t="str">
        <f>IFERROR(VLOOKUP(Table14[[#This Row],[Department]],Doctor_Info!A:D,2,FALSE), "")</f>
        <v>Dr. Temi</v>
      </c>
      <c r="P472" t="str">
        <f>IF(COUNTIF(A:A,Table14[[#This Row],[Patient ID]]&gt;1),"Returning Patient","New Patient")</f>
        <v>New Patient</v>
      </c>
      <c r="Q472" t="str">
        <f>_xlfn.XLOOKUP(Table14[[#This Row],[Department]], Doctor_Info!A:A, Doctor_Info!C:C, "")&amp;""</f>
        <v>502</v>
      </c>
      <c r="R472" t="str">
        <f>TEXT(Table14[[#This Row],[Admission Date]],"ddd")</f>
        <v>Sat</v>
      </c>
      <c r="S472" t="str">
        <f>TEXT(Table14[[#This Row],[Admission Date]],"mmm")</f>
        <v>Feb</v>
      </c>
      <c r="T472" t="str">
        <f>TEXT(Table14[[#This Row],[Admission Date]],"yyyy")</f>
        <v>2024</v>
      </c>
      <c r="U472" t="str">
        <f>TEXT(Table14[[#This Row],[Admission Date]],"mmm-yyyy")</f>
        <v>Feb-2024</v>
      </c>
      <c r="V472">
        <f t="shared" ca="1" si="7"/>
        <v>8</v>
      </c>
    </row>
    <row r="473" spans="1:22" x14ac:dyDescent="0.2">
      <c r="A473" t="s">
        <v>492</v>
      </c>
      <c r="B473" s="3">
        <v>45327</v>
      </c>
      <c r="C473" s="3">
        <v>45328</v>
      </c>
      <c r="D473">
        <f ca="1">IF(ISBLANK(Table14[[#This Row],[Discharge Date]]),TODAY()-Table14[[#This Row],[Admission Date]], Table14[[#This Row],[Discharge Date]]-Table14[[#This Row],[Admission Date]])</f>
        <v>1</v>
      </c>
      <c r="E473" s="6" t="str">
        <f>IF(Table14[[#This Row],[Discharge Date]]="","Still Admitted","Patient Discharged")</f>
        <v>Patient Discharged</v>
      </c>
      <c r="F473" s="6" t="str">
        <f>IF(WEEKDAY(Table14[[#This Row],[Admission Date]],2)&gt;5,"Weekend","Weekday")</f>
        <v>Weekday</v>
      </c>
      <c r="G473" t="s">
        <v>528</v>
      </c>
      <c r="H473">
        <v>6</v>
      </c>
      <c r="I473" t="str" cm="1">
        <f t="array" ref="I473">_xlfn.IFS(Table14[[#This Row],[Age]]&lt;18,"Children",Table14[[#This Row],[Age]]&lt;50,"Adult",Table14[[#This Row],[Age]]&gt;=50,"Elderly")</f>
        <v>Children</v>
      </c>
      <c r="J473" t="s">
        <v>547</v>
      </c>
      <c r="K473" s="7">
        <v>468340</v>
      </c>
      <c r="L473" s="2" t="str" cm="1">
        <f t="array" ref="L473">_xlfn.IFS(Table14[[#This Row],[Treatment Cost]]&lt;50000,"Low Billing",Table14[[#This Row],[Treatment Cost]]&lt;200000,"Moderate Billing",Table14[[#This Row],[Treatment Cost]]&gt;=200000,"High Billing")</f>
        <v>High Billing</v>
      </c>
      <c r="M473" t="s">
        <v>6</v>
      </c>
      <c r="N473" t="str">
        <f>IF(AND(Table14[[#This Row],[Outcome]]="Follow-up",Table14[[#This Row],[Admission Status]]="Patient Discharged"),"High Risk Patient","Low Risk Patient")</f>
        <v>Low Risk Patient</v>
      </c>
      <c r="O473" t="str">
        <f>IFERROR(VLOOKUP(Table14[[#This Row],[Department]],Doctor_Info!A:D,2,FALSE), "")</f>
        <v>Dr. Kofi</v>
      </c>
      <c r="P473" t="str">
        <f>IF(COUNTIF(A:A,Table14[[#This Row],[Patient ID]]&gt;1),"Returning Patient","New Patient")</f>
        <v>New Patient</v>
      </c>
      <c r="Q473" t="str">
        <f>_xlfn.XLOOKUP(Table14[[#This Row],[Department]], Doctor_Info!A:A, Doctor_Info!C:C, "")&amp;""</f>
        <v>102</v>
      </c>
      <c r="R473" t="str">
        <f>TEXT(Table14[[#This Row],[Admission Date]],"ddd")</f>
        <v>Mon</v>
      </c>
      <c r="S473" t="str">
        <f>TEXT(Table14[[#This Row],[Admission Date]],"mmm")</f>
        <v>Feb</v>
      </c>
      <c r="T473" t="str">
        <f>TEXT(Table14[[#This Row],[Admission Date]],"yyyy")</f>
        <v>2024</v>
      </c>
      <c r="U473" t="str">
        <f>TEXT(Table14[[#This Row],[Admission Date]],"mmm-yyyy")</f>
        <v>Feb-2024</v>
      </c>
      <c r="V473">
        <f t="shared" ca="1" si="7"/>
        <v>8</v>
      </c>
    </row>
    <row r="474" spans="1:22" x14ac:dyDescent="0.2">
      <c r="A474" t="s">
        <v>493</v>
      </c>
      <c r="B474" s="3">
        <v>45332</v>
      </c>
      <c r="D474">
        <f ca="1">IF(ISBLANK(Table14[[#This Row],[Discharge Date]]),TODAY()-Table14[[#This Row],[Admission Date]], Table14[[#This Row],[Discharge Date]]-Table14[[#This Row],[Admission Date]])</f>
        <v>806</v>
      </c>
      <c r="E474" s="6" t="str">
        <f>IF(Table14[[#This Row],[Discharge Date]]="","Still Admitted","Patient Discharged")</f>
        <v>Still Admitted</v>
      </c>
      <c r="F474" s="6" t="str">
        <f>IF(WEEKDAY(Table14[[#This Row],[Admission Date]],2)&gt;5,"Weekend","Weekday")</f>
        <v>Weekend</v>
      </c>
      <c r="G474" t="s">
        <v>10</v>
      </c>
      <c r="H474">
        <v>8</v>
      </c>
      <c r="I474" t="str" cm="1">
        <f t="array" ref="I474">_xlfn.IFS(Table14[[#This Row],[Age]]&lt;18,"Children",Table14[[#This Row],[Age]]&lt;50,"Adult",Table14[[#This Row],[Age]]&gt;=50,"Elderly")</f>
        <v>Children</v>
      </c>
      <c r="J474" t="s">
        <v>547</v>
      </c>
      <c r="K474" s="7">
        <v>469310</v>
      </c>
      <c r="L474" s="2" t="str" cm="1">
        <f t="array" ref="L474">_xlfn.IFS(Table14[[#This Row],[Treatment Cost]]&lt;50000,"Low Billing",Table14[[#This Row],[Treatment Cost]]&lt;200000,"Moderate Billing",Table14[[#This Row],[Treatment Cost]]&gt;=200000,"High Billing")</f>
        <v>High Billing</v>
      </c>
      <c r="M474" t="s">
        <v>403</v>
      </c>
      <c r="N474" t="str">
        <f>IF(AND(Table14[[#This Row],[Outcome]]="Follow-up",Table14[[#This Row],[Admission Status]]="Patient Discharged"),"High Risk Patient","Low Risk Patient")</f>
        <v>Low Risk Patient</v>
      </c>
      <c r="O474" t="str">
        <f>IFERROR(VLOOKUP(Table14[[#This Row],[Department]],Doctor_Info!A:D,2,FALSE), "")</f>
        <v>Dr. George</v>
      </c>
      <c r="P474" t="str">
        <f>IF(COUNTIF(A:A,Table14[[#This Row],[Patient ID]]&gt;1),"Returning Patient","New Patient")</f>
        <v>New Patient</v>
      </c>
      <c r="Q474" t="str">
        <f>_xlfn.XLOOKUP(Table14[[#This Row],[Department]], Doctor_Info!A:A, Doctor_Info!C:C, "")&amp;""</f>
        <v>405</v>
      </c>
      <c r="R474" t="str">
        <f>TEXT(Table14[[#This Row],[Admission Date]],"ddd")</f>
        <v>Sat</v>
      </c>
      <c r="S474" t="str">
        <f>TEXT(Table14[[#This Row],[Admission Date]],"mmm")</f>
        <v>Feb</v>
      </c>
      <c r="T474" t="str">
        <f>TEXT(Table14[[#This Row],[Admission Date]],"yyyy")</f>
        <v>2024</v>
      </c>
      <c r="U474" t="str">
        <f>TEXT(Table14[[#This Row],[Admission Date]],"mmm-yyyy")</f>
        <v>Feb-2024</v>
      </c>
      <c r="V474">
        <f t="shared" ca="1" si="7"/>
        <v>8</v>
      </c>
    </row>
    <row r="475" spans="1:22" x14ac:dyDescent="0.2">
      <c r="A475" t="s">
        <v>494</v>
      </c>
      <c r="B475" s="3">
        <v>45319</v>
      </c>
      <c r="C475" s="3">
        <v>45327</v>
      </c>
      <c r="D475">
        <f ca="1">IF(ISBLANK(Table14[[#This Row],[Discharge Date]]),TODAY()-Table14[[#This Row],[Admission Date]], Table14[[#This Row],[Discharge Date]]-Table14[[#This Row],[Admission Date]])</f>
        <v>8</v>
      </c>
      <c r="E475" s="6" t="str">
        <f>IF(Table14[[#This Row],[Discharge Date]]="","Still Admitted","Patient Discharged")</f>
        <v>Patient Discharged</v>
      </c>
      <c r="F475" s="6" t="str">
        <f>IF(WEEKDAY(Table14[[#This Row],[Admission Date]],2)&gt;5,"Weekend","Weekday")</f>
        <v>Weekend</v>
      </c>
      <c r="G475" t="s">
        <v>7</v>
      </c>
      <c r="H475">
        <v>10</v>
      </c>
      <c r="I475" t="str" cm="1">
        <f t="array" ref="I475">_xlfn.IFS(Table14[[#This Row],[Age]]&lt;18,"Children",Table14[[#This Row],[Age]]&lt;50,"Adult",Table14[[#This Row],[Age]]&gt;=50,"Elderly")</f>
        <v>Children</v>
      </c>
      <c r="J475" t="s">
        <v>546</v>
      </c>
      <c r="K475" s="7">
        <v>470280</v>
      </c>
      <c r="L475" s="2" t="str" cm="1">
        <f t="array" ref="L475">_xlfn.IFS(Table14[[#This Row],[Treatment Cost]]&lt;50000,"Low Billing",Table14[[#This Row],[Treatment Cost]]&lt;200000,"Moderate Billing",Table14[[#This Row],[Treatment Cost]]&gt;=200000,"High Billing")</f>
        <v>High Billing</v>
      </c>
      <c r="M475" t="s">
        <v>8</v>
      </c>
      <c r="N475" t="str">
        <f>IF(AND(Table14[[#This Row],[Outcome]]="Follow-up",Table14[[#This Row],[Admission Status]]="Patient Discharged"),"High Risk Patient","Low Risk Patient")</f>
        <v>High Risk Patient</v>
      </c>
      <c r="O475" t="str">
        <f>IFERROR(VLOOKUP(Table14[[#This Row],[Department]],Doctor_Info!A:D,2,FALSE), "")</f>
        <v>Dr. Ada</v>
      </c>
      <c r="P475" t="str">
        <f>IF(COUNTIF(A:A,Table14[[#This Row],[Patient ID]]&gt;1),"Returning Patient","New Patient")</f>
        <v>New Patient</v>
      </c>
      <c r="Q475" t="str">
        <f>_xlfn.XLOOKUP(Table14[[#This Row],[Department]], Doctor_Info!A:A, Doctor_Info!C:C, "")&amp;""</f>
        <v>301</v>
      </c>
      <c r="R475" t="str">
        <f>TEXT(Table14[[#This Row],[Admission Date]],"ddd")</f>
        <v>Sun</v>
      </c>
      <c r="S475" t="str">
        <f>TEXT(Table14[[#This Row],[Admission Date]],"mmm")</f>
        <v>Jan</v>
      </c>
      <c r="T475" t="str">
        <f>TEXT(Table14[[#This Row],[Admission Date]],"yyyy")</f>
        <v>2024</v>
      </c>
      <c r="U475" t="str">
        <f>TEXT(Table14[[#This Row],[Admission Date]],"mmm-yyyy")</f>
        <v>Jan-2024</v>
      </c>
      <c r="V475">
        <f t="shared" ca="1" si="7"/>
        <v>8</v>
      </c>
    </row>
    <row r="476" spans="1:22" x14ac:dyDescent="0.2">
      <c r="A476" t="s">
        <v>495</v>
      </c>
      <c r="B476" s="3">
        <v>45323</v>
      </c>
      <c r="C476" s="3">
        <v>45324</v>
      </c>
      <c r="D476">
        <f ca="1">IF(ISBLANK(Table14[[#This Row],[Discharge Date]]),TODAY()-Table14[[#This Row],[Admission Date]], Table14[[#This Row],[Discharge Date]]-Table14[[#This Row],[Admission Date]])</f>
        <v>1</v>
      </c>
      <c r="E476" s="6" t="str">
        <f>IF(Table14[[#This Row],[Discharge Date]]="","Still Admitted","Patient Discharged")</f>
        <v>Patient Discharged</v>
      </c>
      <c r="F476" s="6" t="str">
        <f>IF(WEEKDAY(Table14[[#This Row],[Admission Date]],2)&gt;5,"Weekend","Weekday")</f>
        <v>Weekday</v>
      </c>
      <c r="G476" t="s">
        <v>528</v>
      </c>
      <c r="H476">
        <v>12</v>
      </c>
      <c r="I476" t="str" cm="1">
        <f t="array" ref="I476">_xlfn.IFS(Table14[[#This Row],[Age]]&lt;18,"Children",Table14[[#This Row],[Age]]&lt;50,"Adult",Table14[[#This Row],[Age]]&gt;=50,"Elderly")</f>
        <v>Children</v>
      </c>
      <c r="J476" t="s">
        <v>547</v>
      </c>
      <c r="K476" s="7">
        <v>471250</v>
      </c>
      <c r="L476" s="2" t="str" cm="1">
        <f t="array" ref="L476">_xlfn.IFS(Table14[[#This Row],[Treatment Cost]]&lt;50000,"Low Billing",Table14[[#This Row],[Treatment Cost]]&lt;200000,"Moderate Billing",Table14[[#This Row],[Treatment Cost]]&gt;=200000,"High Billing")</f>
        <v>High Billing</v>
      </c>
      <c r="M476" t="s">
        <v>6</v>
      </c>
      <c r="N476" t="str">
        <f>IF(AND(Table14[[#This Row],[Outcome]]="Follow-up",Table14[[#This Row],[Admission Status]]="Patient Discharged"),"High Risk Patient","Low Risk Patient")</f>
        <v>Low Risk Patient</v>
      </c>
      <c r="O476" t="str">
        <f>IFERROR(VLOOKUP(Table14[[#This Row],[Department]],Doctor_Info!A:D,2,FALSE), "")</f>
        <v>Dr. Kofi</v>
      </c>
      <c r="P476" t="str">
        <f>IF(COUNTIF(A:A,Table14[[#This Row],[Patient ID]]&gt;1),"Returning Patient","New Patient")</f>
        <v>New Patient</v>
      </c>
      <c r="Q476" t="str">
        <f>_xlfn.XLOOKUP(Table14[[#This Row],[Department]], Doctor_Info!A:A, Doctor_Info!C:C, "")&amp;""</f>
        <v>102</v>
      </c>
      <c r="R476" t="str">
        <f>TEXT(Table14[[#This Row],[Admission Date]],"ddd")</f>
        <v>Thu</v>
      </c>
      <c r="S476" t="str">
        <f>TEXT(Table14[[#This Row],[Admission Date]],"mmm")</f>
        <v>Feb</v>
      </c>
      <c r="T476" t="str">
        <f>TEXT(Table14[[#This Row],[Admission Date]],"yyyy")</f>
        <v>2024</v>
      </c>
      <c r="U476" t="str">
        <f>TEXT(Table14[[#This Row],[Admission Date]],"mmm-yyyy")</f>
        <v>Feb-2024</v>
      </c>
      <c r="V476">
        <f t="shared" ca="1" si="7"/>
        <v>8</v>
      </c>
    </row>
    <row r="477" spans="1:22" x14ac:dyDescent="0.2">
      <c r="A477" t="s">
        <v>496</v>
      </c>
      <c r="B477" s="3">
        <v>45325</v>
      </c>
      <c r="C477" s="3">
        <v>45337</v>
      </c>
      <c r="D477">
        <f ca="1">IF(ISBLANK(Table14[[#This Row],[Discharge Date]]),TODAY()-Table14[[#This Row],[Admission Date]], Table14[[#This Row],[Discharge Date]]-Table14[[#This Row],[Admission Date]])</f>
        <v>12</v>
      </c>
      <c r="E477" s="6" t="str">
        <f>IF(Table14[[#This Row],[Discharge Date]]="","Still Admitted","Patient Discharged")</f>
        <v>Patient Discharged</v>
      </c>
      <c r="F477" s="6" t="str">
        <f>IF(WEEKDAY(Table14[[#This Row],[Admission Date]],2)&gt;5,"Weekend","Weekday")</f>
        <v>Weekend</v>
      </c>
      <c r="G477" t="s">
        <v>12</v>
      </c>
      <c r="H477">
        <v>14</v>
      </c>
      <c r="I477" t="str" cm="1">
        <f t="array" ref="I477">_xlfn.IFS(Table14[[#This Row],[Age]]&lt;18,"Children",Table14[[#This Row],[Age]]&lt;50,"Adult",Table14[[#This Row],[Age]]&gt;=50,"Elderly")</f>
        <v>Children</v>
      </c>
      <c r="J477" t="s">
        <v>546</v>
      </c>
      <c r="K477" s="7">
        <v>472220</v>
      </c>
      <c r="L477" s="2" t="str" cm="1">
        <f t="array" ref="L477">_xlfn.IFS(Table14[[#This Row],[Treatment Cost]]&lt;50000,"Low Billing",Table14[[#This Row],[Treatment Cost]]&lt;200000,"Moderate Billing",Table14[[#This Row],[Treatment Cost]]&gt;=200000,"High Billing")</f>
        <v>High Billing</v>
      </c>
      <c r="M477" t="s">
        <v>8</v>
      </c>
      <c r="N477" t="str">
        <f>IF(AND(Table14[[#This Row],[Outcome]]="Follow-up",Table14[[#This Row],[Admission Status]]="Patient Discharged"),"High Risk Patient","Low Risk Patient")</f>
        <v>High Risk Patient</v>
      </c>
      <c r="O477" t="str">
        <f>IFERROR(VLOOKUP(Table14[[#This Row],[Department]],Doctor_Info!A:D,2,FALSE), "")</f>
        <v>Dr. Temi</v>
      </c>
      <c r="P477" t="str">
        <f>IF(COUNTIF(A:A,Table14[[#This Row],[Patient ID]]&gt;1),"Returning Patient","New Patient")</f>
        <v>New Patient</v>
      </c>
      <c r="Q477" t="str">
        <f>_xlfn.XLOOKUP(Table14[[#This Row],[Department]], Doctor_Info!A:A, Doctor_Info!C:C, "")&amp;""</f>
        <v>502</v>
      </c>
      <c r="R477" t="str">
        <f>TEXT(Table14[[#This Row],[Admission Date]],"ddd")</f>
        <v>Sat</v>
      </c>
      <c r="S477" t="str">
        <f>TEXT(Table14[[#This Row],[Admission Date]],"mmm")</f>
        <v>Feb</v>
      </c>
      <c r="T477" t="str">
        <f>TEXT(Table14[[#This Row],[Admission Date]],"yyyy")</f>
        <v>2024</v>
      </c>
      <c r="U477" t="str">
        <f>TEXT(Table14[[#This Row],[Admission Date]],"mmm-yyyy")</f>
        <v>Feb-2024</v>
      </c>
      <c r="V477">
        <f t="shared" ca="1" si="7"/>
        <v>8</v>
      </c>
    </row>
    <row r="478" spans="1:22" x14ac:dyDescent="0.2">
      <c r="A478" t="s">
        <v>497</v>
      </c>
      <c r="B478" s="3">
        <v>45327</v>
      </c>
      <c r="C478" s="3">
        <v>45328</v>
      </c>
      <c r="D478">
        <f ca="1">IF(ISBLANK(Table14[[#This Row],[Discharge Date]]),TODAY()-Table14[[#This Row],[Admission Date]], Table14[[#This Row],[Discharge Date]]-Table14[[#This Row],[Admission Date]])</f>
        <v>1</v>
      </c>
      <c r="E478" s="6" t="str">
        <f>IF(Table14[[#This Row],[Discharge Date]]="","Still Admitted","Patient Discharged")</f>
        <v>Patient Discharged</v>
      </c>
      <c r="F478" s="6" t="str">
        <f>IF(WEEKDAY(Table14[[#This Row],[Admission Date]],2)&gt;5,"Weekend","Weekday")</f>
        <v>Weekday</v>
      </c>
      <c r="G478" t="s">
        <v>528</v>
      </c>
      <c r="H478">
        <v>16</v>
      </c>
      <c r="I478" t="str" cm="1">
        <f t="array" ref="I478">_xlfn.IFS(Table14[[#This Row],[Age]]&lt;18,"Children",Table14[[#This Row],[Age]]&lt;50,"Adult",Table14[[#This Row],[Age]]&gt;=50,"Elderly")</f>
        <v>Children</v>
      </c>
      <c r="J478" t="s">
        <v>547</v>
      </c>
      <c r="K478" s="7">
        <v>473190</v>
      </c>
      <c r="L478" s="2" t="str" cm="1">
        <f t="array" ref="L478">_xlfn.IFS(Table14[[#This Row],[Treatment Cost]]&lt;50000,"Low Billing",Table14[[#This Row],[Treatment Cost]]&lt;200000,"Moderate Billing",Table14[[#This Row],[Treatment Cost]]&gt;=200000,"High Billing")</f>
        <v>High Billing</v>
      </c>
      <c r="M478" t="s">
        <v>6</v>
      </c>
      <c r="N478" t="str">
        <f>IF(AND(Table14[[#This Row],[Outcome]]="Follow-up",Table14[[#This Row],[Admission Status]]="Patient Discharged"),"High Risk Patient","Low Risk Patient")</f>
        <v>Low Risk Patient</v>
      </c>
      <c r="O478" t="str">
        <f>IFERROR(VLOOKUP(Table14[[#This Row],[Department]],Doctor_Info!A:D,2,FALSE), "")</f>
        <v>Dr. Kofi</v>
      </c>
      <c r="P478" t="str">
        <f>IF(COUNTIF(A:A,Table14[[#This Row],[Patient ID]]&gt;1),"Returning Patient","New Patient")</f>
        <v>New Patient</v>
      </c>
      <c r="Q478" t="str">
        <f>_xlfn.XLOOKUP(Table14[[#This Row],[Department]], Doctor_Info!A:A, Doctor_Info!C:C, "")&amp;""</f>
        <v>102</v>
      </c>
      <c r="R478" t="str">
        <f>TEXT(Table14[[#This Row],[Admission Date]],"ddd")</f>
        <v>Mon</v>
      </c>
      <c r="S478" t="str">
        <f>TEXT(Table14[[#This Row],[Admission Date]],"mmm")</f>
        <v>Feb</v>
      </c>
      <c r="T478" t="str">
        <f>TEXT(Table14[[#This Row],[Admission Date]],"yyyy")</f>
        <v>2024</v>
      </c>
      <c r="U478" t="str">
        <f>TEXT(Table14[[#This Row],[Admission Date]],"mmm-yyyy")</f>
        <v>Feb-2024</v>
      </c>
      <c r="V478">
        <f t="shared" ca="1" si="7"/>
        <v>8</v>
      </c>
    </row>
    <row r="479" spans="1:22" x14ac:dyDescent="0.2">
      <c r="A479" t="s">
        <v>498</v>
      </c>
      <c r="B479" s="3">
        <v>45332</v>
      </c>
      <c r="D479">
        <f ca="1">IF(ISBLANK(Table14[[#This Row],[Discharge Date]]),TODAY()-Table14[[#This Row],[Admission Date]], Table14[[#This Row],[Discharge Date]]-Table14[[#This Row],[Admission Date]])</f>
        <v>806</v>
      </c>
      <c r="E479" s="6" t="str">
        <f>IF(Table14[[#This Row],[Discharge Date]]="","Still Admitted","Patient Discharged")</f>
        <v>Still Admitted</v>
      </c>
      <c r="F479" s="6" t="str">
        <f>IF(WEEKDAY(Table14[[#This Row],[Admission Date]],2)&gt;5,"Weekend","Weekday")</f>
        <v>Weekend</v>
      </c>
      <c r="G479" t="s">
        <v>10</v>
      </c>
      <c r="H479">
        <v>18</v>
      </c>
      <c r="I479" t="str" cm="1">
        <f t="array" ref="I479">_xlfn.IFS(Table14[[#This Row],[Age]]&lt;18,"Children",Table14[[#This Row],[Age]]&lt;50,"Adult",Table14[[#This Row],[Age]]&gt;=50,"Elderly")</f>
        <v>Adult</v>
      </c>
      <c r="J479" t="s">
        <v>547</v>
      </c>
      <c r="K479" s="7">
        <v>474160</v>
      </c>
      <c r="L479" s="2" t="str" cm="1">
        <f t="array" ref="L479">_xlfn.IFS(Table14[[#This Row],[Treatment Cost]]&lt;50000,"Low Billing",Table14[[#This Row],[Treatment Cost]]&lt;200000,"Moderate Billing",Table14[[#This Row],[Treatment Cost]]&gt;=200000,"High Billing")</f>
        <v>High Billing</v>
      </c>
      <c r="M479" t="s">
        <v>403</v>
      </c>
      <c r="N479" t="str">
        <f>IF(AND(Table14[[#This Row],[Outcome]]="Follow-up",Table14[[#This Row],[Admission Status]]="Patient Discharged"),"High Risk Patient","Low Risk Patient")</f>
        <v>Low Risk Patient</v>
      </c>
      <c r="O479" t="str">
        <f>IFERROR(VLOOKUP(Table14[[#This Row],[Department]],Doctor_Info!A:D,2,FALSE), "")</f>
        <v>Dr. George</v>
      </c>
      <c r="P479" t="str">
        <f>IF(COUNTIF(A:A,Table14[[#This Row],[Patient ID]]&gt;1),"Returning Patient","New Patient")</f>
        <v>New Patient</v>
      </c>
      <c r="Q479" t="str">
        <f>_xlfn.XLOOKUP(Table14[[#This Row],[Department]], Doctor_Info!A:A, Doctor_Info!C:C, "")&amp;""</f>
        <v>405</v>
      </c>
      <c r="R479" t="str">
        <f>TEXT(Table14[[#This Row],[Admission Date]],"ddd")</f>
        <v>Sat</v>
      </c>
      <c r="S479" t="str">
        <f>TEXT(Table14[[#This Row],[Admission Date]],"mmm")</f>
        <v>Feb</v>
      </c>
      <c r="T479" t="str">
        <f>TEXT(Table14[[#This Row],[Admission Date]],"yyyy")</f>
        <v>2024</v>
      </c>
      <c r="U479" t="str">
        <f>TEXT(Table14[[#This Row],[Admission Date]],"mmm-yyyy")</f>
        <v>Feb-2024</v>
      </c>
      <c r="V479">
        <f t="shared" ca="1" si="7"/>
        <v>8</v>
      </c>
    </row>
    <row r="480" spans="1:22" x14ac:dyDescent="0.2">
      <c r="A480" t="s">
        <v>499</v>
      </c>
      <c r="B480" s="3">
        <v>45319</v>
      </c>
      <c r="C480" s="3">
        <v>45327</v>
      </c>
      <c r="D480">
        <f ca="1">IF(ISBLANK(Table14[[#This Row],[Discharge Date]]),TODAY()-Table14[[#This Row],[Admission Date]], Table14[[#This Row],[Discharge Date]]-Table14[[#This Row],[Admission Date]])</f>
        <v>8</v>
      </c>
      <c r="E480" s="6" t="str">
        <f>IF(Table14[[#This Row],[Discharge Date]]="","Still Admitted","Patient Discharged")</f>
        <v>Patient Discharged</v>
      </c>
      <c r="F480" s="6" t="str">
        <f>IF(WEEKDAY(Table14[[#This Row],[Admission Date]],2)&gt;5,"Weekend","Weekday")</f>
        <v>Weekend</v>
      </c>
      <c r="G480" t="s">
        <v>7</v>
      </c>
      <c r="H480">
        <v>20</v>
      </c>
      <c r="I480" t="str" cm="1">
        <f t="array" ref="I480">_xlfn.IFS(Table14[[#This Row],[Age]]&lt;18,"Children",Table14[[#This Row],[Age]]&lt;50,"Adult",Table14[[#This Row],[Age]]&gt;=50,"Elderly")</f>
        <v>Adult</v>
      </c>
      <c r="J480" t="s">
        <v>546</v>
      </c>
      <c r="K480" s="7">
        <v>475130</v>
      </c>
      <c r="L480" s="2" t="str" cm="1">
        <f t="array" ref="L480">_xlfn.IFS(Table14[[#This Row],[Treatment Cost]]&lt;50000,"Low Billing",Table14[[#This Row],[Treatment Cost]]&lt;200000,"Moderate Billing",Table14[[#This Row],[Treatment Cost]]&gt;=200000,"High Billing")</f>
        <v>High Billing</v>
      </c>
      <c r="M480" t="s">
        <v>8</v>
      </c>
      <c r="N480" t="str">
        <f>IF(AND(Table14[[#This Row],[Outcome]]="Follow-up",Table14[[#This Row],[Admission Status]]="Patient Discharged"),"High Risk Patient","Low Risk Patient")</f>
        <v>High Risk Patient</v>
      </c>
      <c r="O480" t="str">
        <f>IFERROR(VLOOKUP(Table14[[#This Row],[Department]],Doctor_Info!A:D,2,FALSE), "")</f>
        <v>Dr. Ada</v>
      </c>
      <c r="P480" t="str">
        <f>IF(COUNTIF(A:A,Table14[[#This Row],[Patient ID]]&gt;1),"Returning Patient","New Patient")</f>
        <v>New Patient</v>
      </c>
      <c r="Q480" t="str">
        <f>_xlfn.XLOOKUP(Table14[[#This Row],[Department]], Doctor_Info!A:A, Doctor_Info!C:C, "")&amp;""</f>
        <v>301</v>
      </c>
      <c r="R480" t="str">
        <f>TEXT(Table14[[#This Row],[Admission Date]],"ddd")</f>
        <v>Sun</v>
      </c>
      <c r="S480" t="str">
        <f>TEXT(Table14[[#This Row],[Admission Date]],"mmm")</f>
        <v>Jan</v>
      </c>
      <c r="T480" t="str">
        <f>TEXT(Table14[[#This Row],[Admission Date]],"yyyy")</f>
        <v>2024</v>
      </c>
      <c r="U480" t="str">
        <f>TEXT(Table14[[#This Row],[Admission Date]],"mmm-yyyy")</f>
        <v>Jan-2024</v>
      </c>
      <c r="V480">
        <f t="shared" ca="1" si="7"/>
        <v>8</v>
      </c>
    </row>
    <row r="481" spans="1:22" x14ac:dyDescent="0.2">
      <c r="A481" t="s">
        <v>500</v>
      </c>
      <c r="B481" s="3">
        <v>45323</v>
      </c>
      <c r="C481" s="3">
        <v>45324</v>
      </c>
      <c r="D481">
        <f ca="1">IF(ISBLANK(Table14[[#This Row],[Discharge Date]]),TODAY()-Table14[[#This Row],[Admission Date]], Table14[[#This Row],[Discharge Date]]-Table14[[#This Row],[Admission Date]])</f>
        <v>1</v>
      </c>
      <c r="E481" s="6" t="str">
        <f>IF(Table14[[#This Row],[Discharge Date]]="","Still Admitted","Patient Discharged")</f>
        <v>Patient Discharged</v>
      </c>
      <c r="F481" s="6" t="str">
        <f>IF(WEEKDAY(Table14[[#This Row],[Admission Date]],2)&gt;5,"Weekend","Weekday")</f>
        <v>Weekday</v>
      </c>
      <c r="G481" t="s">
        <v>528</v>
      </c>
      <c r="H481">
        <v>22</v>
      </c>
      <c r="I481" t="str" cm="1">
        <f t="array" ref="I481">_xlfn.IFS(Table14[[#This Row],[Age]]&lt;18,"Children",Table14[[#This Row],[Age]]&lt;50,"Adult",Table14[[#This Row],[Age]]&gt;=50,"Elderly")</f>
        <v>Adult</v>
      </c>
      <c r="J481" t="s">
        <v>547</v>
      </c>
      <c r="K481" s="7">
        <v>476100</v>
      </c>
      <c r="L481" s="2" t="str" cm="1">
        <f t="array" ref="L481">_xlfn.IFS(Table14[[#This Row],[Treatment Cost]]&lt;50000,"Low Billing",Table14[[#This Row],[Treatment Cost]]&lt;200000,"Moderate Billing",Table14[[#This Row],[Treatment Cost]]&gt;=200000,"High Billing")</f>
        <v>High Billing</v>
      </c>
      <c r="M481" t="s">
        <v>6</v>
      </c>
      <c r="N481" t="str">
        <f>IF(AND(Table14[[#This Row],[Outcome]]="Follow-up",Table14[[#This Row],[Admission Status]]="Patient Discharged"),"High Risk Patient","Low Risk Patient")</f>
        <v>Low Risk Patient</v>
      </c>
      <c r="O481" t="str">
        <f>IFERROR(VLOOKUP(Table14[[#This Row],[Department]],Doctor_Info!A:D,2,FALSE), "")</f>
        <v>Dr. Kofi</v>
      </c>
      <c r="P481" t="str">
        <f>IF(COUNTIF(A:A,Table14[[#This Row],[Patient ID]]&gt;1),"Returning Patient","New Patient")</f>
        <v>New Patient</v>
      </c>
      <c r="Q481" t="str">
        <f>_xlfn.XLOOKUP(Table14[[#This Row],[Department]], Doctor_Info!A:A, Doctor_Info!C:C, "")&amp;""</f>
        <v>102</v>
      </c>
      <c r="R481" t="str">
        <f>TEXT(Table14[[#This Row],[Admission Date]],"ddd")</f>
        <v>Thu</v>
      </c>
      <c r="S481" t="str">
        <f>TEXT(Table14[[#This Row],[Admission Date]],"mmm")</f>
        <v>Feb</v>
      </c>
      <c r="T481" t="str">
        <f>TEXT(Table14[[#This Row],[Admission Date]],"yyyy")</f>
        <v>2024</v>
      </c>
      <c r="U481" t="str">
        <f>TEXT(Table14[[#This Row],[Admission Date]],"mmm-yyyy")</f>
        <v>Feb-2024</v>
      </c>
      <c r="V481">
        <f t="shared" ca="1" si="7"/>
        <v>8</v>
      </c>
    </row>
    <row r="482" spans="1:22" x14ac:dyDescent="0.2">
      <c r="A482" t="s">
        <v>501</v>
      </c>
      <c r="B482" s="3">
        <v>45325</v>
      </c>
      <c r="C482" s="3">
        <v>45337</v>
      </c>
      <c r="D482">
        <f ca="1">IF(ISBLANK(Table14[[#This Row],[Discharge Date]]),TODAY()-Table14[[#This Row],[Admission Date]], Table14[[#This Row],[Discharge Date]]-Table14[[#This Row],[Admission Date]])</f>
        <v>12</v>
      </c>
      <c r="E482" s="6" t="str">
        <f>IF(Table14[[#This Row],[Discharge Date]]="","Still Admitted","Patient Discharged")</f>
        <v>Patient Discharged</v>
      </c>
      <c r="F482" s="6" t="str">
        <f>IF(WEEKDAY(Table14[[#This Row],[Admission Date]],2)&gt;5,"Weekend","Weekday")</f>
        <v>Weekend</v>
      </c>
      <c r="G482" t="s">
        <v>12</v>
      </c>
      <c r="H482">
        <v>24</v>
      </c>
      <c r="I482" t="str" cm="1">
        <f t="array" ref="I482">_xlfn.IFS(Table14[[#This Row],[Age]]&lt;18,"Children",Table14[[#This Row],[Age]]&lt;50,"Adult",Table14[[#This Row],[Age]]&gt;=50,"Elderly")</f>
        <v>Adult</v>
      </c>
      <c r="J482" t="s">
        <v>546</v>
      </c>
      <c r="K482" s="7">
        <v>477070</v>
      </c>
      <c r="L482" s="2" t="str" cm="1">
        <f t="array" ref="L482">_xlfn.IFS(Table14[[#This Row],[Treatment Cost]]&lt;50000,"Low Billing",Table14[[#This Row],[Treatment Cost]]&lt;200000,"Moderate Billing",Table14[[#This Row],[Treatment Cost]]&gt;=200000,"High Billing")</f>
        <v>High Billing</v>
      </c>
      <c r="M482" t="s">
        <v>8</v>
      </c>
      <c r="N482" t="str">
        <f>IF(AND(Table14[[#This Row],[Outcome]]="Follow-up",Table14[[#This Row],[Admission Status]]="Patient Discharged"),"High Risk Patient","Low Risk Patient")</f>
        <v>High Risk Patient</v>
      </c>
      <c r="O482" t="str">
        <f>IFERROR(VLOOKUP(Table14[[#This Row],[Department]],Doctor_Info!A:D,2,FALSE), "")</f>
        <v>Dr. Temi</v>
      </c>
      <c r="P482" t="str">
        <f>IF(COUNTIF(A:A,Table14[[#This Row],[Patient ID]]&gt;1),"Returning Patient","New Patient")</f>
        <v>New Patient</v>
      </c>
      <c r="Q482" t="str">
        <f>_xlfn.XLOOKUP(Table14[[#This Row],[Department]], Doctor_Info!A:A, Doctor_Info!C:C, "")&amp;""</f>
        <v>502</v>
      </c>
      <c r="R482" t="str">
        <f>TEXT(Table14[[#This Row],[Admission Date]],"ddd")</f>
        <v>Sat</v>
      </c>
      <c r="S482" t="str">
        <f>TEXT(Table14[[#This Row],[Admission Date]],"mmm")</f>
        <v>Feb</v>
      </c>
      <c r="T482" t="str">
        <f>TEXT(Table14[[#This Row],[Admission Date]],"yyyy")</f>
        <v>2024</v>
      </c>
      <c r="U482" t="str">
        <f>TEXT(Table14[[#This Row],[Admission Date]],"mmm-yyyy")</f>
        <v>Feb-2024</v>
      </c>
      <c r="V482">
        <f t="shared" ca="1" si="7"/>
        <v>8</v>
      </c>
    </row>
    <row r="483" spans="1:22" x14ac:dyDescent="0.2">
      <c r="A483" t="s">
        <v>502</v>
      </c>
      <c r="B483" s="3">
        <v>45327</v>
      </c>
      <c r="C483" s="3">
        <v>45328</v>
      </c>
      <c r="D483">
        <f ca="1">IF(ISBLANK(Table14[[#This Row],[Discharge Date]]),TODAY()-Table14[[#This Row],[Admission Date]], Table14[[#This Row],[Discharge Date]]-Table14[[#This Row],[Admission Date]])</f>
        <v>1</v>
      </c>
      <c r="E483" s="6" t="str">
        <f>IF(Table14[[#This Row],[Discharge Date]]="","Still Admitted","Patient Discharged")</f>
        <v>Patient Discharged</v>
      </c>
      <c r="F483" s="6" t="str">
        <f>IF(WEEKDAY(Table14[[#This Row],[Admission Date]],2)&gt;5,"Weekend","Weekday")</f>
        <v>Weekday</v>
      </c>
      <c r="G483" t="s">
        <v>528</v>
      </c>
      <c r="H483">
        <v>26</v>
      </c>
      <c r="I483" t="str" cm="1">
        <f t="array" ref="I483">_xlfn.IFS(Table14[[#This Row],[Age]]&lt;18,"Children",Table14[[#This Row],[Age]]&lt;50,"Adult",Table14[[#This Row],[Age]]&gt;=50,"Elderly")</f>
        <v>Adult</v>
      </c>
      <c r="J483" t="s">
        <v>547</v>
      </c>
      <c r="K483" s="7">
        <v>478040</v>
      </c>
      <c r="L483" s="2" t="str" cm="1">
        <f t="array" ref="L483">_xlfn.IFS(Table14[[#This Row],[Treatment Cost]]&lt;50000,"Low Billing",Table14[[#This Row],[Treatment Cost]]&lt;200000,"Moderate Billing",Table14[[#This Row],[Treatment Cost]]&gt;=200000,"High Billing")</f>
        <v>High Billing</v>
      </c>
      <c r="M483" t="s">
        <v>6</v>
      </c>
      <c r="N483" t="str">
        <f>IF(AND(Table14[[#This Row],[Outcome]]="Follow-up",Table14[[#This Row],[Admission Status]]="Patient Discharged"),"High Risk Patient","Low Risk Patient")</f>
        <v>Low Risk Patient</v>
      </c>
      <c r="O483" t="str">
        <f>IFERROR(VLOOKUP(Table14[[#This Row],[Department]],Doctor_Info!A:D,2,FALSE), "")</f>
        <v>Dr. Kofi</v>
      </c>
      <c r="P483" t="str">
        <f>IF(COUNTIF(A:A,Table14[[#This Row],[Patient ID]]&gt;1),"Returning Patient","New Patient")</f>
        <v>New Patient</v>
      </c>
      <c r="Q483" t="str">
        <f>_xlfn.XLOOKUP(Table14[[#This Row],[Department]], Doctor_Info!A:A, Doctor_Info!C:C, "")&amp;""</f>
        <v>102</v>
      </c>
      <c r="R483" t="str">
        <f>TEXT(Table14[[#This Row],[Admission Date]],"ddd")</f>
        <v>Mon</v>
      </c>
      <c r="S483" t="str">
        <f>TEXT(Table14[[#This Row],[Admission Date]],"mmm")</f>
        <v>Feb</v>
      </c>
      <c r="T483" t="str">
        <f>TEXT(Table14[[#This Row],[Admission Date]],"yyyy")</f>
        <v>2024</v>
      </c>
      <c r="U483" t="str">
        <f>TEXT(Table14[[#This Row],[Admission Date]],"mmm-yyyy")</f>
        <v>Feb-2024</v>
      </c>
      <c r="V483">
        <f t="shared" ca="1" si="7"/>
        <v>8</v>
      </c>
    </row>
    <row r="484" spans="1:22" x14ac:dyDescent="0.2">
      <c r="A484" t="s">
        <v>503</v>
      </c>
      <c r="B484" s="3">
        <v>45332</v>
      </c>
      <c r="D484">
        <f ca="1">IF(ISBLANK(Table14[[#This Row],[Discharge Date]]),TODAY()-Table14[[#This Row],[Admission Date]], Table14[[#This Row],[Discharge Date]]-Table14[[#This Row],[Admission Date]])</f>
        <v>806</v>
      </c>
      <c r="E484" s="6" t="str">
        <f>IF(Table14[[#This Row],[Discharge Date]]="","Still Admitted","Patient Discharged")</f>
        <v>Still Admitted</v>
      </c>
      <c r="F484" s="6" t="str">
        <f>IF(WEEKDAY(Table14[[#This Row],[Admission Date]],2)&gt;5,"Weekend","Weekday")</f>
        <v>Weekend</v>
      </c>
      <c r="G484" t="s">
        <v>10</v>
      </c>
      <c r="H484">
        <v>28</v>
      </c>
      <c r="I484" t="str" cm="1">
        <f t="array" ref="I484">_xlfn.IFS(Table14[[#This Row],[Age]]&lt;18,"Children",Table14[[#This Row],[Age]]&lt;50,"Adult",Table14[[#This Row],[Age]]&gt;=50,"Elderly")</f>
        <v>Adult</v>
      </c>
      <c r="J484" t="s">
        <v>547</v>
      </c>
      <c r="K484" s="7">
        <v>479010</v>
      </c>
      <c r="L484" s="2" t="str" cm="1">
        <f t="array" ref="L484">_xlfn.IFS(Table14[[#This Row],[Treatment Cost]]&lt;50000,"Low Billing",Table14[[#This Row],[Treatment Cost]]&lt;200000,"Moderate Billing",Table14[[#This Row],[Treatment Cost]]&gt;=200000,"High Billing")</f>
        <v>High Billing</v>
      </c>
      <c r="M484" t="s">
        <v>403</v>
      </c>
      <c r="N484" t="str">
        <f>IF(AND(Table14[[#This Row],[Outcome]]="Follow-up",Table14[[#This Row],[Admission Status]]="Patient Discharged"),"High Risk Patient","Low Risk Patient")</f>
        <v>Low Risk Patient</v>
      </c>
      <c r="O484" t="str">
        <f>IFERROR(VLOOKUP(Table14[[#This Row],[Department]],Doctor_Info!A:D,2,FALSE), "")</f>
        <v>Dr. George</v>
      </c>
      <c r="P484" t="str">
        <f>IF(COUNTIF(A:A,Table14[[#This Row],[Patient ID]]&gt;1),"Returning Patient","New Patient")</f>
        <v>New Patient</v>
      </c>
      <c r="Q484" t="str">
        <f>_xlfn.XLOOKUP(Table14[[#This Row],[Department]], Doctor_Info!A:A, Doctor_Info!C:C, "")&amp;""</f>
        <v>405</v>
      </c>
      <c r="R484" t="str">
        <f>TEXT(Table14[[#This Row],[Admission Date]],"ddd")</f>
        <v>Sat</v>
      </c>
      <c r="S484" t="str">
        <f>TEXT(Table14[[#This Row],[Admission Date]],"mmm")</f>
        <v>Feb</v>
      </c>
      <c r="T484" t="str">
        <f>TEXT(Table14[[#This Row],[Admission Date]],"yyyy")</f>
        <v>2024</v>
      </c>
      <c r="U484" t="str">
        <f>TEXT(Table14[[#This Row],[Admission Date]],"mmm-yyyy")</f>
        <v>Feb-2024</v>
      </c>
      <c r="V484">
        <f t="shared" ca="1" si="7"/>
        <v>8</v>
      </c>
    </row>
  </sheetData>
  <conditionalFormatting sqref="A1:A484">
    <cfRule type="duplicateValues" dxfId="3" priority="1"/>
    <cfRule type="duplicateValues" dxfId="2" priority="2"/>
  </conditionalFormatting>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51E92-0446-7F4C-9829-D7692EE8BD34}">
  <dimension ref="A1:J484"/>
  <sheetViews>
    <sheetView workbookViewId="0">
      <pane ySplit="1" topLeftCell="A2" activePane="bottomLeft" state="frozen"/>
      <selection pane="bottomLeft" activeCell="D102" sqref="D102"/>
    </sheetView>
  </sheetViews>
  <sheetFormatPr baseColWidth="10" defaultColWidth="8.83203125" defaultRowHeight="15" x14ac:dyDescent="0.2"/>
  <cols>
    <col min="1" max="1" width="11.33203125" bestFit="1" customWidth="1"/>
    <col min="2" max="2" width="15.6640625" style="3" bestFit="1" customWidth="1"/>
    <col min="3" max="3" width="15.1640625" style="3" bestFit="1" customWidth="1"/>
    <col min="4" max="4" width="13.83203125" bestFit="1" customWidth="1"/>
    <col min="5" max="5" width="6.6640625" bestFit="1" customWidth="1"/>
    <col min="6" max="6" width="9.5" bestFit="1" customWidth="1"/>
    <col min="7" max="7" width="16.5" style="2" bestFit="1" customWidth="1"/>
    <col min="8" max="8" width="10.83203125" bestFit="1" customWidth="1"/>
    <col min="9" max="9" width="9.1640625" bestFit="1" customWidth="1"/>
    <col min="10" max="10" width="14.83203125" bestFit="1" customWidth="1"/>
  </cols>
  <sheetData>
    <row r="1" spans="1:10" x14ac:dyDescent="0.2">
      <c r="A1" t="s">
        <v>529</v>
      </c>
      <c r="B1" s="3" t="s">
        <v>530</v>
      </c>
      <c r="C1" s="3" t="s">
        <v>531</v>
      </c>
      <c r="D1" t="s">
        <v>521</v>
      </c>
      <c r="E1" t="s">
        <v>3</v>
      </c>
      <c r="F1" t="s">
        <v>399</v>
      </c>
      <c r="G1" s="2" t="s">
        <v>532</v>
      </c>
      <c r="H1" t="s">
        <v>4</v>
      </c>
      <c r="I1" t="s">
        <v>514</v>
      </c>
      <c r="J1" t="s">
        <v>527</v>
      </c>
    </row>
    <row r="2" spans="1:10" x14ac:dyDescent="0.2">
      <c r="A2" t="s">
        <v>14</v>
      </c>
      <c r="B2" s="3">
        <v>45322</v>
      </c>
      <c r="C2" s="3">
        <v>45322</v>
      </c>
      <c r="D2" t="s">
        <v>7</v>
      </c>
      <c r="E2">
        <v>67</v>
      </c>
      <c r="F2" t="s">
        <v>533</v>
      </c>
      <c r="G2" s="2">
        <v>8500</v>
      </c>
      <c r="H2" t="s">
        <v>6</v>
      </c>
      <c r="I2" t="str">
        <f>IFERROR(VLOOKUP(Table1[[#This Row],[Department]],Doctor_Info!A:D,2,FALSE), "")</f>
        <v>Dr. Ada</v>
      </c>
      <c r="J2" t="str">
        <f>_xlfn.XLOOKUP(Table1[[#This Row],[Department]], Doctor_Info!A:A, Doctor_Info!C:C, "")&amp;""</f>
        <v>301</v>
      </c>
    </row>
    <row r="3" spans="1:10" x14ac:dyDescent="0.2">
      <c r="A3" t="s">
        <v>15</v>
      </c>
      <c r="B3" s="3">
        <v>45293</v>
      </c>
      <c r="C3" s="3">
        <v>45294</v>
      </c>
      <c r="D3" t="s">
        <v>528</v>
      </c>
      <c r="E3">
        <v>22</v>
      </c>
      <c r="F3" t="s">
        <v>534</v>
      </c>
      <c r="G3" s="2">
        <v>900</v>
      </c>
      <c r="H3" t="s">
        <v>6</v>
      </c>
      <c r="I3" t="str">
        <f>IFERROR(VLOOKUP(Table1[[#This Row],[Department]],Doctor_Info!A:D,2,FALSE), "")</f>
        <v>Dr. Kofi</v>
      </c>
      <c r="J3" t="str">
        <f>_xlfn.XLOOKUP(Table1[[#This Row],[Department]], Doctor_Info!A:A, Doctor_Info!C:C, "")&amp;""</f>
        <v>102</v>
      </c>
    </row>
    <row r="4" spans="1:10" x14ac:dyDescent="0.2">
      <c r="A4" t="s">
        <v>16</v>
      </c>
      <c r="B4" s="3">
        <v>45296</v>
      </c>
      <c r="C4" s="3">
        <v>45311</v>
      </c>
      <c r="D4" t="s">
        <v>10</v>
      </c>
      <c r="E4">
        <v>54</v>
      </c>
      <c r="F4" t="s">
        <v>534</v>
      </c>
      <c r="G4" s="2">
        <v>15000</v>
      </c>
      <c r="H4" t="s">
        <v>8</v>
      </c>
      <c r="I4" t="str">
        <f>IFERROR(VLOOKUP(Table1[[#This Row],[Department]],Doctor_Info!A:D,2,FALSE), "")</f>
        <v>Dr. George</v>
      </c>
      <c r="J4" t="str">
        <f>_xlfn.XLOOKUP(Table1[[#This Row],[Department]], Doctor_Info!A:A, Doctor_Info!C:C, "")&amp;""</f>
        <v>405</v>
      </c>
    </row>
    <row r="5" spans="1:10" x14ac:dyDescent="0.2">
      <c r="A5" t="s">
        <v>17</v>
      </c>
      <c r="B5" s="3">
        <v>45301</v>
      </c>
      <c r="C5" s="3">
        <v>45303</v>
      </c>
      <c r="D5" t="s">
        <v>11</v>
      </c>
      <c r="E5">
        <v>8</v>
      </c>
      <c r="F5" t="s">
        <v>533</v>
      </c>
      <c r="G5" s="2">
        <v>250000</v>
      </c>
      <c r="H5" t="s">
        <v>8</v>
      </c>
      <c r="I5" t="str">
        <f>IFERROR(VLOOKUP(Table1[[#This Row],[Department]],Doctor_Info!A:D,2,FALSE), "")</f>
        <v>Dr. Segun</v>
      </c>
      <c r="J5" t="str">
        <f>_xlfn.XLOOKUP(Table1[[#This Row],[Department]], Doctor_Info!A:A, Doctor_Info!C:C, "")&amp;""</f>
        <v>210</v>
      </c>
    </row>
    <row r="6" spans="1:10" x14ac:dyDescent="0.2">
      <c r="A6" t="s">
        <v>18</v>
      </c>
      <c r="B6" s="3">
        <v>45321</v>
      </c>
      <c r="C6" s="3">
        <v>45322</v>
      </c>
      <c r="D6" t="s">
        <v>528</v>
      </c>
      <c r="E6">
        <v>31</v>
      </c>
      <c r="F6" t="s">
        <v>533</v>
      </c>
      <c r="G6" s="2">
        <v>1100</v>
      </c>
      <c r="H6" t="s">
        <v>6</v>
      </c>
      <c r="I6" t="str">
        <f>IFERROR(VLOOKUP(Table1[[#This Row],[Department]],Doctor_Info!A:D,2,FALSE), "")</f>
        <v>Dr. Kofi</v>
      </c>
      <c r="J6" t="str">
        <f>_xlfn.XLOOKUP(Table1[[#This Row],[Department]], Doctor_Info!A:A, Doctor_Info!C:C, "")&amp;""</f>
        <v>102</v>
      </c>
    </row>
    <row r="7" spans="1:10" x14ac:dyDescent="0.2">
      <c r="A7" t="s">
        <v>19</v>
      </c>
      <c r="B7" s="3">
        <v>45306</v>
      </c>
      <c r="C7" s="3">
        <v>45313</v>
      </c>
      <c r="D7" t="s">
        <v>7</v>
      </c>
      <c r="E7">
        <v>72</v>
      </c>
      <c r="F7" t="s">
        <v>534</v>
      </c>
      <c r="G7" s="2">
        <v>9200</v>
      </c>
      <c r="H7" t="s">
        <v>8</v>
      </c>
      <c r="I7" t="str">
        <f>IFERROR(VLOOKUP(Table1[[#This Row],[Department]],Doctor_Info!A:D,2,FALSE), "")</f>
        <v>Dr. Ada</v>
      </c>
      <c r="J7" t="str">
        <f>_xlfn.XLOOKUP(Table1[[#This Row],[Department]], Doctor_Info!A:A, Doctor_Info!C:C, "")&amp;""</f>
        <v>301</v>
      </c>
    </row>
    <row r="8" spans="1:10" x14ac:dyDescent="0.2">
      <c r="A8" t="s">
        <v>20</v>
      </c>
      <c r="B8" s="3">
        <v>45309</v>
      </c>
      <c r="D8" t="s">
        <v>12</v>
      </c>
      <c r="E8">
        <v>41</v>
      </c>
      <c r="F8" t="s">
        <v>533</v>
      </c>
      <c r="G8" s="2">
        <v>4500</v>
      </c>
      <c r="H8" t="s">
        <v>403</v>
      </c>
      <c r="I8" t="str">
        <f>IFERROR(VLOOKUP(Table1[[#This Row],[Department]],Doctor_Info!A:D,2,FALSE), "")</f>
        <v>Dr. Temi</v>
      </c>
      <c r="J8" t="str">
        <f>_xlfn.XLOOKUP(Table1[[#This Row],[Department]], Doctor_Info!A:A, Doctor_Info!C:C, "")&amp;""</f>
        <v>502</v>
      </c>
    </row>
    <row r="9" spans="1:10" x14ac:dyDescent="0.2">
      <c r="A9" t="s">
        <v>21</v>
      </c>
      <c r="B9" s="3">
        <v>45311</v>
      </c>
      <c r="C9" s="3">
        <v>45321</v>
      </c>
      <c r="D9" t="s">
        <v>10</v>
      </c>
      <c r="E9">
        <v>61</v>
      </c>
      <c r="F9" t="s">
        <v>534</v>
      </c>
      <c r="G9" s="2">
        <v>14000</v>
      </c>
      <c r="H9" t="s">
        <v>6</v>
      </c>
      <c r="I9" t="str">
        <f>IFERROR(VLOOKUP(Table1[[#This Row],[Department]],Doctor_Info!A:D,2,FALSE), "")</f>
        <v>Dr. George</v>
      </c>
      <c r="J9" t="str">
        <f>_xlfn.XLOOKUP(Table1[[#This Row],[Department]], Doctor_Info!A:A, Doctor_Info!C:C, "")&amp;""</f>
        <v>405</v>
      </c>
    </row>
    <row r="10" spans="1:10" x14ac:dyDescent="0.2">
      <c r="A10" t="s">
        <v>22</v>
      </c>
      <c r="B10" s="3">
        <v>45313</v>
      </c>
      <c r="C10" s="3">
        <v>45314</v>
      </c>
      <c r="D10" t="s">
        <v>528</v>
      </c>
      <c r="E10">
        <v>19</v>
      </c>
      <c r="F10" t="s">
        <v>533</v>
      </c>
      <c r="G10" s="2">
        <v>850</v>
      </c>
      <c r="H10" t="s">
        <v>6</v>
      </c>
      <c r="I10" t="str">
        <f>IFERROR(VLOOKUP(Table1[[#This Row],[Department]],Doctor_Info!A:D,2,FALSE), "")</f>
        <v>Dr. Kofi</v>
      </c>
      <c r="J10" t="str">
        <f>_xlfn.XLOOKUP(Table1[[#This Row],[Department]], Doctor_Info!A:A, Doctor_Info!C:C, "")&amp;""</f>
        <v>102</v>
      </c>
    </row>
    <row r="11" spans="1:10" x14ac:dyDescent="0.2">
      <c r="A11" t="s">
        <v>23</v>
      </c>
      <c r="B11" s="3">
        <v>45316</v>
      </c>
      <c r="C11" s="3">
        <v>45319</v>
      </c>
      <c r="D11" t="s">
        <v>11</v>
      </c>
      <c r="E11">
        <v>4</v>
      </c>
      <c r="F11" t="s">
        <v>534</v>
      </c>
      <c r="G11" s="2">
        <v>180000</v>
      </c>
      <c r="H11" t="s">
        <v>6</v>
      </c>
      <c r="I11" t="str">
        <f>IFERROR(VLOOKUP(Table1[[#This Row],[Department]],Doctor_Info!A:D,2,FALSE), "")</f>
        <v>Dr. Segun</v>
      </c>
      <c r="J11" t="str">
        <f>_xlfn.XLOOKUP(Table1[[#This Row],[Department]], Doctor_Info!A:A, Doctor_Info!C:C, "")&amp;""</f>
        <v>210</v>
      </c>
    </row>
    <row r="12" spans="1:10" x14ac:dyDescent="0.2">
      <c r="A12" t="s">
        <v>24</v>
      </c>
      <c r="B12" s="3">
        <v>45319</v>
      </c>
      <c r="C12" s="3">
        <v>45327</v>
      </c>
      <c r="D12" t="s">
        <v>7</v>
      </c>
      <c r="E12">
        <v>55</v>
      </c>
      <c r="F12" t="s">
        <v>533</v>
      </c>
      <c r="G12" s="2">
        <v>7600</v>
      </c>
      <c r="H12" t="s">
        <v>8</v>
      </c>
      <c r="I12" t="str">
        <f>IFERROR(VLOOKUP(Table1[[#This Row],[Department]],Doctor_Info!A:D,2,FALSE), "")</f>
        <v>Dr. Ada</v>
      </c>
      <c r="J12" t="str">
        <f>_xlfn.XLOOKUP(Table1[[#This Row],[Department]], Doctor_Info!A:A, Doctor_Info!C:C, "")&amp;""</f>
        <v>301</v>
      </c>
    </row>
    <row r="13" spans="1:10" x14ac:dyDescent="0.2">
      <c r="A13" t="s">
        <v>25</v>
      </c>
      <c r="B13" s="3">
        <v>45323</v>
      </c>
      <c r="C13" s="3">
        <v>45324</v>
      </c>
      <c r="D13" t="s">
        <v>528</v>
      </c>
      <c r="E13">
        <v>33</v>
      </c>
      <c r="F13" t="s">
        <v>534</v>
      </c>
      <c r="G13" s="2">
        <v>1050</v>
      </c>
      <c r="H13" t="s">
        <v>6</v>
      </c>
      <c r="I13" t="str">
        <f>IFERROR(VLOOKUP(Table1[[#This Row],[Department]],Doctor_Info!A:D,2,FALSE), "")</f>
        <v>Dr. Kofi</v>
      </c>
      <c r="J13" t="str">
        <f>_xlfn.XLOOKUP(Table1[[#This Row],[Department]], Doctor_Info!A:A, Doctor_Info!C:C, "")&amp;""</f>
        <v>102</v>
      </c>
    </row>
    <row r="14" spans="1:10" x14ac:dyDescent="0.2">
      <c r="A14" t="s">
        <v>26</v>
      </c>
      <c r="B14" s="3">
        <v>45325</v>
      </c>
      <c r="C14" s="4">
        <v>45337</v>
      </c>
      <c r="D14" t="s">
        <v>12</v>
      </c>
      <c r="E14">
        <v>68</v>
      </c>
      <c r="F14" t="s">
        <v>533</v>
      </c>
      <c r="G14" s="2">
        <v>11000</v>
      </c>
      <c r="H14" t="s">
        <v>8</v>
      </c>
      <c r="I14" t="str">
        <f>IFERROR(VLOOKUP(Table1[[#This Row],[Department]],Doctor_Info!A:D,2,FALSE), "")</f>
        <v>Dr. Temi</v>
      </c>
      <c r="J14" t="str">
        <f>_xlfn.XLOOKUP(Table1[[#This Row],[Department]], Doctor_Info!A:A, Doctor_Info!C:C, "")&amp;""</f>
        <v>502</v>
      </c>
    </row>
    <row r="15" spans="1:10" x14ac:dyDescent="0.2">
      <c r="A15" t="s">
        <v>27</v>
      </c>
      <c r="B15" s="3">
        <v>45327</v>
      </c>
      <c r="C15" s="3">
        <v>45328</v>
      </c>
      <c r="D15" t="s">
        <v>528</v>
      </c>
      <c r="E15">
        <v>25</v>
      </c>
      <c r="F15" t="s">
        <v>534</v>
      </c>
      <c r="G15" s="2">
        <v>950</v>
      </c>
      <c r="H15" t="s">
        <v>6</v>
      </c>
      <c r="I15" t="str">
        <f>IFERROR(VLOOKUP(Table1[[#This Row],[Department]],Doctor_Info!A:D,2,FALSE), "")</f>
        <v>Dr. Kofi</v>
      </c>
      <c r="J15" t="str">
        <f>_xlfn.XLOOKUP(Table1[[#This Row],[Department]], Doctor_Info!A:A, Doctor_Info!C:C, "")&amp;""</f>
        <v>102</v>
      </c>
    </row>
    <row r="16" spans="1:10" x14ac:dyDescent="0.2">
      <c r="A16" t="s">
        <v>28</v>
      </c>
      <c r="B16" s="3">
        <v>45332</v>
      </c>
      <c r="D16" t="s">
        <v>10</v>
      </c>
      <c r="E16">
        <v>49</v>
      </c>
      <c r="F16" t="s">
        <v>534</v>
      </c>
      <c r="G16" s="2">
        <v>12500</v>
      </c>
      <c r="H16" t="s">
        <v>403</v>
      </c>
      <c r="I16" t="str">
        <f>IFERROR(VLOOKUP(Table1[[#This Row],[Department]],Doctor_Info!A:D,2,FALSE), "")</f>
        <v>Dr. George</v>
      </c>
      <c r="J16" t="str">
        <f>_xlfn.XLOOKUP(Table1[[#This Row],[Department]], Doctor_Info!A:A, Doctor_Info!C:C, "")&amp;""</f>
        <v>405</v>
      </c>
    </row>
    <row r="17" spans="1:10" x14ac:dyDescent="0.2">
      <c r="A17" t="s">
        <v>29</v>
      </c>
      <c r="B17" s="3">
        <v>45319</v>
      </c>
      <c r="C17" s="3">
        <v>45327</v>
      </c>
      <c r="D17" t="s">
        <v>7</v>
      </c>
      <c r="E17">
        <v>40</v>
      </c>
      <c r="F17" t="s">
        <v>533</v>
      </c>
      <c r="G17" s="2">
        <v>9530</v>
      </c>
      <c r="H17" t="s">
        <v>8</v>
      </c>
      <c r="I17" t="str">
        <f>IFERROR(VLOOKUP(Table1[[#This Row],[Department]],Doctor_Info!A:D,2,FALSE), "")</f>
        <v>Dr. Ada</v>
      </c>
      <c r="J17" t="str">
        <f>_xlfn.XLOOKUP(Table1[[#This Row],[Department]], Doctor_Info!A:A, Doctor_Info!C:C, "")&amp;""</f>
        <v>301</v>
      </c>
    </row>
    <row r="18" spans="1:10" x14ac:dyDescent="0.2">
      <c r="A18" t="s">
        <v>30</v>
      </c>
      <c r="B18" s="3">
        <v>45323</v>
      </c>
      <c r="C18" s="3">
        <v>45324</v>
      </c>
      <c r="D18" t="s">
        <v>528</v>
      </c>
      <c r="E18">
        <v>38</v>
      </c>
      <c r="F18" t="s">
        <v>534</v>
      </c>
      <c r="G18" s="2">
        <v>10500</v>
      </c>
      <c r="H18" t="s">
        <v>6</v>
      </c>
      <c r="I18" t="str">
        <f>IFERROR(VLOOKUP(Table1[[#This Row],[Department]],Doctor_Info!A:D,2,FALSE), "")</f>
        <v>Dr. Kofi</v>
      </c>
      <c r="J18" t="str">
        <f>_xlfn.XLOOKUP(Table1[[#This Row],[Department]], Doctor_Info!A:A, Doctor_Info!C:C, "")&amp;""</f>
        <v>102</v>
      </c>
    </row>
    <row r="19" spans="1:10" x14ac:dyDescent="0.2">
      <c r="A19" t="s">
        <v>31</v>
      </c>
      <c r="B19" s="3">
        <v>45325</v>
      </c>
      <c r="C19" s="3">
        <v>45337</v>
      </c>
      <c r="D19" t="s">
        <v>12</v>
      </c>
      <c r="E19">
        <v>36</v>
      </c>
      <c r="F19" t="s">
        <v>533</v>
      </c>
      <c r="G19" s="2">
        <v>11470</v>
      </c>
      <c r="H19" t="s">
        <v>8</v>
      </c>
      <c r="I19" t="str">
        <f>IFERROR(VLOOKUP(Table1[[#This Row],[Department]],Doctor_Info!A:D,2,FALSE), "")</f>
        <v>Dr. Temi</v>
      </c>
      <c r="J19" t="str">
        <f>_xlfn.XLOOKUP(Table1[[#This Row],[Department]], Doctor_Info!A:A, Doctor_Info!C:C, "")&amp;""</f>
        <v>502</v>
      </c>
    </row>
    <row r="20" spans="1:10" x14ac:dyDescent="0.2">
      <c r="A20" t="s">
        <v>32</v>
      </c>
      <c r="B20" s="3">
        <v>45327</v>
      </c>
      <c r="C20" s="3">
        <v>45328</v>
      </c>
      <c r="D20" t="s">
        <v>528</v>
      </c>
      <c r="E20">
        <v>34</v>
      </c>
      <c r="F20" t="s">
        <v>534</v>
      </c>
      <c r="G20" s="2">
        <v>12440</v>
      </c>
      <c r="H20" t="s">
        <v>6</v>
      </c>
      <c r="I20" t="str">
        <f>IFERROR(VLOOKUP(Table1[[#This Row],[Department]],Doctor_Info!A:D,2,FALSE), "")</f>
        <v>Dr. Kofi</v>
      </c>
      <c r="J20" t="str">
        <f>_xlfn.XLOOKUP(Table1[[#This Row],[Department]], Doctor_Info!A:A, Doctor_Info!C:C, "")&amp;""</f>
        <v>102</v>
      </c>
    </row>
    <row r="21" spans="1:10" x14ac:dyDescent="0.2">
      <c r="A21" t="s">
        <v>33</v>
      </c>
      <c r="B21" s="3">
        <v>45332</v>
      </c>
      <c r="D21" t="s">
        <v>10</v>
      </c>
      <c r="E21">
        <v>32</v>
      </c>
      <c r="F21" t="s">
        <v>534</v>
      </c>
      <c r="G21" s="2">
        <v>13410</v>
      </c>
      <c r="H21" t="s">
        <v>403</v>
      </c>
      <c r="I21" t="str">
        <f>IFERROR(VLOOKUP(Table1[[#This Row],[Department]],Doctor_Info!A:D,2,FALSE), "")</f>
        <v>Dr. George</v>
      </c>
      <c r="J21" t="str">
        <f>_xlfn.XLOOKUP(Table1[[#This Row],[Department]], Doctor_Info!A:A, Doctor_Info!C:C, "")&amp;""</f>
        <v>405</v>
      </c>
    </row>
    <row r="22" spans="1:10" x14ac:dyDescent="0.2">
      <c r="A22" t="s">
        <v>34</v>
      </c>
      <c r="B22" s="3">
        <v>45319</v>
      </c>
      <c r="C22" s="3">
        <v>45327</v>
      </c>
      <c r="D22" t="s">
        <v>7</v>
      </c>
      <c r="E22">
        <v>30</v>
      </c>
      <c r="F22" t="s">
        <v>533</v>
      </c>
      <c r="G22" s="2">
        <v>14380</v>
      </c>
      <c r="H22" t="s">
        <v>8</v>
      </c>
      <c r="I22" t="str">
        <f>IFERROR(VLOOKUP(Table1[[#This Row],[Department]],Doctor_Info!A:D,2,FALSE), "")</f>
        <v>Dr. Ada</v>
      </c>
      <c r="J22" t="str">
        <f>_xlfn.XLOOKUP(Table1[[#This Row],[Department]], Doctor_Info!A:A, Doctor_Info!C:C, "")&amp;""</f>
        <v>301</v>
      </c>
    </row>
    <row r="23" spans="1:10" x14ac:dyDescent="0.2">
      <c r="A23" t="s">
        <v>35</v>
      </c>
      <c r="B23" s="3">
        <v>45323</v>
      </c>
      <c r="C23" s="3">
        <v>45324</v>
      </c>
      <c r="D23" t="s">
        <v>528</v>
      </c>
      <c r="E23">
        <v>28</v>
      </c>
      <c r="F23" t="s">
        <v>534</v>
      </c>
      <c r="G23" s="2">
        <v>15350</v>
      </c>
      <c r="H23" t="s">
        <v>6</v>
      </c>
      <c r="I23" t="str">
        <f>IFERROR(VLOOKUP(Table1[[#This Row],[Department]],Doctor_Info!A:D,2,FALSE), "")</f>
        <v>Dr. Kofi</v>
      </c>
      <c r="J23" t="str">
        <f>_xlfn.XLOOKUP(Table1[[#This Row],[Department]], Doctor_Info!A:A, Doctor_Info!C:C, "")&amp;""</f>
        <v>102</v>
      </c>
    </row>
    <row r="24" spans="1:10" x14ac:dyDescent="0.2">
      <c r="A24" t="s">
        <v>36</v>
      </c>
      <c r="B24" s="3">
        <v>45325</v>
      </c>
      <c r="C24" s="3">
        <v>45337</v>
      </c>
      <c r="D24" t="s">
        <v>12</v>
      </c>
      <c r="E24">
        <v>26</v>
      </c>
      <c r="F24" t="s">
        <v>533</v>
      </c>
      <c r="G24" s="2">
        <v>16320</v>
      </c>
      <c r="H24" t="s">
        <v>8</v>
      </c>
      <c r="I24" t="str">
        <f>IFERROR(VLOOKUP(Table1[[#This Row],[Department]],Doctor_Info!A:D,2,FALSE), "")</f>
        <v>Dr. Temi</v>
      </c>
      <c r="J24" t="str">
        <f>_xlfn.XLOOKUP(Table1[[#This Row],[Department]], Doctor_Info!A:A, Doctor_Info!C:C, "")&amp;""</f>
        <v>502</v>
      </c>
    </row>
    <row r="25" spans="1:10" x14ac:dyDescent="0.2">
      <c r="A25" t="s">
        <v>37</v>
      </c>
      <c r="B25" s="3">
        <v>45327</v>
      </c>
      <c r="C25" s="3">
        <v>45328</v>
      </c>
      <c r="D25" t="s">
        <v>528</v>
      </c>
      <c r="E25">
        <v>24</v>
      </c>
      <c r="F25" t="s">
        <v>534</v>
      </c>
      <c r="G25" s="2">
        <v>17290</v>
      </c>
      <c r="H25" t="s">
        <v>6</v>
      </c>
      <c r="I25" t="str">
        <f>IFERROR(VLOOKUP(Table1[[#This Row],[Department]],Doctor_Info!A:D,2,FALSE), "")</f>
        <v>Dr. Kofi</v>
      </c>
      <c r="J25" t="str">
        <f>_xlfn.XLOOKUP(Table1[[#This Row],[Department]], Doctor_Info!A:A, Doctor_Info!C:C, "")&amp;""</f>
        <v>102</v>
      </c>
    </row>
    <row r="26" spans="1:10" x14ac:dyDescent="0.2">
      <c r="A26" t="s">
        <v>38</v>
      </c>
      <c r="B26" s="3">
        <v>45332</v>
      </c>
      <c r="D26" t="s">
        <v>10</v>
      </c>
      <c r="E26">
        <v>22</v>
      </c>
      <c r="F26" t="s">
        <v>534</v>
      </c>
      <c r="G26" s="2">
        <v>18260</v>
      </c>
      <c r="H26" t="s">
        <v>403</v>
      </c>
      <c r="I26" t="str">
        <f>IFERROR(VLOOKUP(Table1[[#This Row],[Department]],Doctor_Info!A:D,2,FALSE), "")</f>
        <v>Dr. George</v>
      </c>
      <c r="J26" t="str">
        <f>_xlfn.XLOOKUP(Table1[[#This Row],[Department]], Doctor_Info!A:A, Doctor_Info!C:C, "")&amp;""</f>
        <v>405</v>
      </c>
    </row>
    <row r="27" spans="1:10" x14ac:dyDescent="0.2">
      <c r="A27" t="s">
        <v>39</v>
      </c>
      <c r="B27" s="3">
        <v>45319</v>
      </c>
      <c r="C27" s="3">
        <v>45327</v>
      </c>
      <c r="D27" t="s">
        <v>7</v>
      </c>
      <c r="E27">
        <v>20</v>
      </c>
      <c r="F27" t="s">
        <v>533</v>
      </c>
      <c r="G27" s="2">
        <v>19230</v>
      </c>
      <c r="H27" t="s">
        <v>8</v>
      </c>
      <c r="I27" t="str">
        <f>IFERROR(VLOOKUP(Table1[[#This Row],[Department]],Doctor_Info!A:D,2,FALSE), "")</f>
        <v>Dr. Ada</v>
      </c>
      <c r="J27" t="str">
        <f>_xlfn.XLOOKUP(Table1[[#This Row],[Department]], Doctor_Info!A:A, Doctor_Info!C:C, "")&amp;""</f>
        <v>301</v>
      </c>
    </row>
    <row r="28" spans="1:10" x14ac:dyDescent="0.2">
      <c r="A28" t="s">
        <v>40</v>
      </c>
      <c r="B28" s="3">
        <v>45323</v>
      </c>
      <c r="C28" s="3">
        <v>45324</v>
      </c>
      <c r="D28" t="s">
        <v>528</v>
      </c>
      <c r="E28">
        <v>18</v>
      </c>
      <c r="F28" t="s">
        <v>534</v>
      </c>
      <c r="G28" s="2">
        <v>20200</v>
      </c>
      <c r="H28" t="s">
        <v>6</v>
      </c>
      <c r="I28" t="str">
        <f>IFERROR(VLOOKUP(Table1[[#This Row],[Department]],Doctor_Info!A:D,2,FALSE), "")</f>
        <v>Dr. Kofi</v>
      </c>
      <c r="J28" t="str">
        <f>_xlfn.XLOOKUP(Table1[[#This Row],[Department]], Doctor_Info!A:A, Doctor_Info!C:C, "")&amp;""</f>
        <v>102</v>
      </c>
    </row>
    <row r="29" spans="1:10" x14ac:dyDescent="0.2">
      <c r="A29" t="s">
        <v>41</v>
      </c>
      <c r="B29" s="3">
        <v>45325</v>
      </c>
      <c r="C29" s="3">
        <v>45337</v>
      </c>
      <c r="D29" t="s">
        <v>12</v>
      </c>
      <c r="E29">
        <v>16</v>
      </c>
      <c r="F29" t="s">
        <v>533</v>
      </c>
      <c r="G29" s="2">
        <v>21170</v>
      </c>
      <c r="H29" t="s">
        <v>8</v>
      </c>
      <c r="I29" t="str">
        <f>IFERROR(VLOOKUP(Table1[[#This Row],[Department]],Doctor_Info!A:D,2,FALSE), "")</f>
        <v>Dr. Temi</v>
      </c>
      <c r="J29" t="str">
        <f>_xlfn.XLOOKUP(Table1[[#This Row],[Department]], Doctor_Info!A:A, Doctor_Info!C:C, "")&amp;""</f>
        <v>502</v>
      </c>
    </row>
    <row r="30" spans="1:10" x14ac:dyDescent="0.2">
      <c r="A30" t="s">
        <v>42</v>
      </c>
      <c r="B30" s="3">
        <v>45327</v>
      </c>
      <c r="C30" s="3">
        <v>45328</v>
      </c>
      <c r="D30" t="s">
        <v>528</v>
      </c>
      <c r="E30">
        <v>14</v>
      </c>
      <c r="F30" t="s">
        <v>534</v>
      </c>
      <c r="G30" s="2">
        <v>22140</v>
      </c>
      <c r="H30" t="s">
        <v>6</v>
      </c>
      <c r="I30" t="str">
        <f>IFERROR(VLOOKUP(Table1[[#This Row],[Department]],Doctor_Info!A:D,2,FALSE), "")</f>
        <v>Dr. Kofi</v>
      </c>
      <c r="J30" t="str">
        <f>_xlfn.XLOOKUP(Table1[[#This Row],[Department]], Doctor_Info!A:A, Doctor_Info!C:C, "")&amp;""</f>
        <v>102</v>
      </c>
    </row>
    <row r="31" spans="1:10" x14ac:dyDescent="0.2">
      <c r="A31" t="s">
        <v>43</v>
      </c>
      <c r="B31" s="3">
        <v>45332</v>
      </c>
      <c r="D31" t="s">
        <v>10</v>
      </c>
      <c r="E31">
        <v>12</v>
      </c>
      <c r="F31" t="s">
        <v>534</v>
      </c>
      <c r="G31" s="2">
        <v>23110</v>
      </c>
      <c r="H31" t="s">
        <v>403</v>
      </c>
      <c r="I31" t="str">
        <f>IFERROR(VLOOKUP(Table1[[#This Row],[Department]],Doctor_Info!A:D,2,FALSE), "")</f>
        <v>Dr. George</v>
      </c>
      <c r="J31" t="str">
        <f>_xlfn.XLOOKUP(Table1[[#This Row],[Department]], Doctor_Info!A:A, Doctor_Info!C:C, "")&amp;""</f>
        <v>405</v>
      </c>
    </row>
    <row r="32" spans="1:10" ht="17" customHeight="1" x14ac:dyDescent="0.2">
      <c r="A32" t="s">
        <v>44</v>
      </c>
      <c r="B32" s="3">
        <v>45319</v>
      </c>
      <c r="C32" s="3">
        <v>45327</v>
      </c>
      <c r="D32" t="s">
        <v>7</v>
      </c>
      <c r="E32">
        <v>10</v>
      </c>
      <c r="F32" t="s">
        <v>533</v>
      </c>
      <c r="G32" s="2">
        <v>24080</v>
      </c>
      <c r="H32" t="s">
        <v>8</v>
      </c>
      <c r="I32" t="str">
        <f>IFERROR(VLOOKUP(Table1[[#This Row],[Department]],Doctor_Info!A:D,2,FALSE), "")</f>
        <v>Dr. Ada</v>
      </c>
      <c r="J32" t="str">
        <f>_xlfn.XLOOKUP(Table1[[#This Row],[Department]], Doctor_Info!A:A, Doctor_Info!C:C, "")&amp;""</f>
        <v>301</v>
      </c>
    </row>
    <row r="33" spans="1:10" x14ac:dyDescent="0.2">
      <c r="A33" t="s">
        <v>45</v>
      </c>
      <c r="B33" s="3">
        <v>45323</v>
      </c>
      <c r="C33" s="3">
        <v>45324</v>
      </c>
      <c r="D33" t="s">
        <v>528</v>
      </c>
      <c r="E33">
        <v>8</v>
      </c>
      <c r="F33" t="s">
        <v>534</v>
      </c>
      <c r="G33" s="2">
        <v>25050</v>
      </c>
      <c r="H33" t="s">
        <v>6</v>
      </c>
      <c r="I33" t="str">
        <f>IFERROR(VLOOKUP(Table1[[#This Row],[Department]],Doctor_Info!A:D,2,FALSE), "")</f>
        <v>Dr. Kofi</v>
      </c>
      <c r="J33" t="str">
        <f>_xlfn.XLOOKUP(Table1[[#This Row],[Department]], Doctor_Info!A:A, Doctor_Info!C:C, "")&amp;""</f>
        <v>102</v>
      </c>
    </row>
    <row r="34" spans="1:10" x14ac:dyDescent="0.2">
      <c r="A34" t="s">
        <v>46</v>
      </c>
      <c r="B34" s="3">
        <v>45325</v>
      </c>
      <c r="C34" s="3">
        <v>45337</v>
      </c>
      <c r="D34" t="s">
        <v>12</v>
      </c>
      <c r="E34">
        <v>6</v>
      </c>
      <c r="F34" t="s">
        <v>533</v>
      </c>
      <c r="G34" s="2">
        <v>26020</v>
      </c>
      <c r="H34" t="s">
        <v>8</v>
      </c>
      <c r="I34" t="str">
        <f>IFERROR(VLOOKUP(Table1[[#This Row],[Department]],Doctor_Info!A:D,2,FALSE), "")</f>
        <v>Dr. Temi</v>
      </c>
      <c r="J34" t="str">
        <f>_xlfn.XLOOKUP(Table1[[#This Row],[Department]], Doctor_Info!A:A, Doctor_Info!C:C, "")&amp;""</f>
        <v>502</v>
      </c>
    </row>
    <row r="35" spans="1:10" x14ac:dyDescent="0.2">
      <c r="A35" t="s">
        <v>47</v>
      </c>
      <c r="B35" s="3">
        <v>45327</v>
      </c>
      <c r="C35" s="3">
        <v>45328</v>
      </c>
      <c r="D35" t="s">
        <v>528</v>
      </c>
      <c r="E35">
        <v>4</v>
      </c>
      <c r="F35" t="s">
        <v>534</v>
      </c>
      <c r="G35" s="2">
        <v>26990</v>
      </c>
      <c r="H35" t="s">
        <v>6</v>
      </c>
      <c r="I35" t="str">
        <f>IFERROR(VLOOKUP(Table1[[#This Row],[Department]],Doctor_Info!A:D,2,FALSE), "")</f>
        <v>Dr. Kofi</v>
      </c>
      <c r="J35" t="str">
        <f>_xlfn.XLOOKUP(Table1[[#This Row],[Department]], Doctor_Info!A:A, Doctor_Info!C:C, "")&amp;""</f>
        <v>102</v>
      </c>
    </row>
    <row r="36" spans="1:10" x14ac:dyDescent="0.2">
      <c r="A36" t="s">
        <v>48</v>
      </c>
      <c r="B36" s="3">
        <v>45332</v>
      </c>
      <c r="D36" t="s">
        <v>10</v>
      </c>
      <c r="E36">
        <v>2</v>
      </c>
      <c r="F36" t="s">
        <v>534</v>
      </c>
      <c r="G36" s="2">
        <v>27960</v>
      </c>
      <c r="H36" t="s">
        <v>403</v>
      </c>
      <c r="I36" t="str">
        <f>IFERROR(VLOOKUP(Table1[[#This Row],[Department]],Doctor_Info!A:D,2,FALSE), "")</f>
        <v>Dr. George</v>
      </c>
      <c r="J36" t="str">
        <f>_xlfn.XLOOKUP(Table1[[#This Row],[Department]], Doctor_Info!A:A, Doctor_Info!C:C, "")&amp;""</f>
        <v>405</v>
      </c>
    </row>
    <row r="37" spans="1:10" x14ac:dyDescent="0.2">
      <c r="A37" t="s">
        <v>49</v>
      </c>
      <c r="B37" s="3">
        <v>45319</v>
      </c>
      <c r="C37" s="3">
        <v>45327</v>
      </c>
      <c r="D37" t="s">
        <v>7</v>
      </c>
      <c r="E37">
        <v>0</v>
      </c>
      <c r="F37" t="s">
        <v>533</v>
      </c>
      <c r="G37" s="2">
        <v>28930</v>
      </c>
      <c r="H37" t="s">
        <v>8</v>
      </c>
      <c r="I37" t="str">
        <f>IFERROR(VLOOKUP(Table1[[#This Row],[Department]],Doctor_Info!A:D,2,FALSE), "")</f>
        <v>Dr. Ada</v>
      </c>
      <c r="J37" t="str">
        <f>_xlfn.XLOOKUP(Table1[[#This Row],[Department]], Doctor_Info!A:A, Doctor_Info!C:C, "")&amp;""</f>
        <v>301</v>
      </c>
    </row>
    <row r="38" spans="1:10" x14ac:dyDescent="0.2">
      <c r="A38" t="s">
        <v>50</v>
      </c>
      <c r="B38" s="3">
        <v>45323</v>
      </c>
      <c r="C38" s="3">
        <v>45324</v>
      </c>
      <c r="D38" t="s">
        <v>528</v>
      </c>
      <c r="E38">
        <v>2</v>
      </c>
      <c r="F38" t="s">
        <v>534</v>
      </c>
      <c r="G38" s="2">
        <v>29900</v>
      </c>
      <c r="H38" t="s">
        <v>6</v>
      </c>
      <c r="I38" t="str">
        <f>IFERROR(VLOOKUP(Table1[[#This Row],[Department]],Doctor_Info!A:D,2,FALSE), "")</f>
        <v>Dr. Kofi</v>
      </c>
      <c r="J38" t="str">
        <f>_xlfn.XLOOKUP(Table1[[#This Row],[Department]], Doctor_Info!A:A, Doctor_Info!C:C, "")&amp;""</f>
        <v>102</v>
      </c>
    </row>
    <row r="39" spans="1:10" x14ac:dyDescent="0.2">
      <c r="A39" t="s">
        <v>51</v>
      </c>
      <c r="B39" s="3">
        <v>45325</v>
      </c>
      <c r="C39" s="3">
        <v>45337</v>
      </c>
      <c r="D39" t="s">
        <v>12</v>
      </c>
      <c r="E39">
        <v>4</v>
      </c>
      <c r="F39" t="s">
        <v>533</v>
      </c>
      <c r="G39" s="2">
        <v>30870</v>
      </c>
      <c r="H39" t="s">
        <v>8</v>
      </c>
      <c r="I39" t="str">
        <f>IFERROR(VLOOKUP(Table1[[#This Row],[Department]],Doctor_Info!A:D,2,FALSE), "")</f>
        <v>Dr. Temi</v>
      </c>
      <c r="J39" t="str">
        <f>_xlfn.XLOOKUP(Table1[[#This Row],[Department]], Doctor_Info!A:A, Doctor_Info!C:C, "")&amp;""</f>
        <v>502</v>
      </c>
    </row>
    <row r="40" spans="1:10" x14ac:dyDescent="0.2">
      <c r="A40" t="s">
        <v>52</v>
      </c>
      <c r="B40" s="3">
        <v>45327</v>
      </c>
      <c r="C40" s="3">
        <v>45328</v>
      </c>
      <c r="D40" t="s">
        <v>528</v>
      </c>
      <c r="E40">
        <v>6</v>
      </c>
      <c r="F40" t="s">
        <v>534</v>
      </c>
      <c r="G40" s="2">
        <v>31840</v>
      </c>
      <c r="H40" t="s">
        <v>6</v>
      </c>
      <c r="I40" t="str">
        <f>IFERROR(VLOOKUP(Table1[[#This Row],[Department]],Doctor_Info!A:D,2,FALSE), "")</f>
        <v>Dr. Kofi</v>
      </c>
      <c r="J40" t="str">
        <f>_xlfn.XLOOKUP(Table1[[#This Row],[Department]], Doctor_Info!A:A, Doctor_Info!C:C, "")&amp;""</f>
        <v>102</v>
      </c>
    </row>
    <row r="41" spans="1:10" x14ac:dyDescent="0.2">
      <c r="A41" t="s">
        <v>53</v>
      </c>
      <c r="B41" s="3">
        <v>45332</v>
      </c>
      <c r="D41" t="s">
        <v>10</v>
      </c>
      <c r="E41">
        <v>8</v>
      </c>
      <c r="F41" t="s">
        <v>534</v>
      </c>
      <c r="G41" s="2">
        <v>32810</v>
      </c>
      <c r="H41" t="s">
        <v>403</v>
      </c>
      <c r="I41" t="str">
        <f>IFERROR(VLOOKUP(Table1[[#This Row],[Department]],Doctor_Info!A:D,2,FALSE), "")</f>
        <v>Dr. George</v>
      </c>
      <c r="J41" t="str">
        <f>_xlfn.XLOOKUP(Table1[[#This Row],[Department]], Doctor_Info!A:A, Doctor_Info!C:C, "")&amp;""</f>
        <v>405</v>
      </c>
    </row>
    <row r="42" spans="1:10" x14ac:dyDescent="0.2">
      <c r="A42" t="s">
        <v>54</v>
      </c>
      <c r="B42" s="3">
        <v>45319</v>
      </c>
      <c r="C42" s="3">
        <v>45327</v>
      </c>
      <c r="D42" t="s">
        <v>7</v>
      </c>
      <c r="E42">
        <v>10</v>
      </c>
      <c r="F42" t="s">
        <v>533</v>
      </c>
      <c r="G42" s="2">
        <v>33780</v>
      </c>
      <c r="H42" t="s">
        <v>8</v>
      </c>
      <c r="I42" t="str">
        <f>IFERROR(VLOOKUP(Table1[[#This Row],[Department]],Doctor_Info!A:D,2,FALSE), "")</f>
        <v>Dr. Ada</v>
      </c>
      <c r="J42" t="str">
        <f>_xlfn.XLOOKUP(Table1[[#This Row],[Department]], Doctor_Info!A:A, Doctor_Info!C:C, "")&amp;""</f>
        <v>301</v>
      </c>
    </row>
    <row r="43" spans="1:10" x14ac:dyDescent="0.2">
      <c r="A43" t="s">
        <v>55</v>
      </c>
      <c r="B43" s="3">
        <v>45323</v>
      </c>
      <c r="C43" s="3">
        <v>45324</v>
      </c>
      <c r="D43" t="s">
        <v>528</v>
      </c>
      <c r="E43">
        <v>12</v>
      </c>
      <c r="F43" t="s">
        <v>534</v>
      </c>
      <c r="G43" s="2">
        <v>34750</v>
      </c>
      <c r="H43" t="s">
        <v>6</v>
      </c>
      <c r="I43" t="str">
        <f>IFERROR(VLOOKUP(Table1[[#This Row],[Department]],Doctor_Info!A:D,2,FALSE), "")</f>
        <v>Dr. Kofi</v>
      </c>
      <c r="J43" t="str">
        <f>_xlfn.XLOOKUP(Table1[[#This Row],[Department]], Doctor_Info!A:A, Doctor_Info!C:C, "")&amp;""</f>
        <v>102</v>
      </c>
    </row>
    <row r="44" spans="1:10" x14ac:dyDescent="0.2">
      <c r="A44" t="s">
        <v>56</v>
      </c>
      <c r="B44" s="3">
        <v>45325</v>
      </c>
      <c r="C44" s="3">
        <v>45337</v>
      </c>
      <c r="D44" t="s">
        <v>12</v>
      </c>
      <c r="E44">
        <v>14</v>
      </c>
      <c r="F44" t="s">
        <v>533</v>
      </c>
      <c r="G44" s="2">
        <v>35720</v>
      </c>
      <c r="H44" t="s">
        <v>8</v>
      </c>
      <c r="I44" t="str">
        <f>IFERROR(VLOOKUP(Table1[[#This Row],[Department]],Doctor_Info!A:D,2,FALSE), "")</f>
        <v>Dr. Temi</v>
      </c>
      <c r="J44" t="str">
        <f>_xlfn.XLOOKUP(Table1[[#This Row],[Department]], Doctor_Info!A:A, Doctor_Info!C:C, "")&amp;""</f>
        <v>502</v>
      </c>
    </row>
    <row r="45" spans="1:10" x14ac:dyDescent="0.2">
      <c r="A45" t="s">
        <v>57</v>
      </c>
      <c r="B45" s="3">
        <v>45327</v>
      </c>
      <c r="C45" s="3">
        <v>45328</v>
      </c>
      <c r="D45" t="s">
        <v>528</v>
      </c>
      <c r="E45">
        <v>16</v>
      </c>
      <c r="F45" t="s">
        <v>534</v>
      </c>
      <c r="G45" s="2">
        <v>36690</v>
      </c>
      <c r="H45" t="s">
        <v>6</v>
      </c>
      <c r="I45" t="str">
        <f>IFERROR(VLOOKUP(Table1[[#This Row],[Department]],Doctor_Info!A:D,2,FALSE), "")</f>
        <v>Dr. Kofi</v>
      </c>
      <c r="J45" t="str">
        <f>_xlfn.XLOOKUP(Table1[[#This Row],[Department]], Doctor_Info!A:A, Doctor_Info!C:C, "")&amp;""</f>
        <v>102</v>
      </c>
    </row>
    <row r="46" spans="1:10" x14ac:dyDescent="0.2">
      <c r="A46" t="s">
        <v>58</v>
      </c>
      <c r="B46" s="3">
        <v>45332</v>
      </c>
      <c r="D46" t="s">
        <v>10</v>
      </c>
      <c r="E46">
        <v>18</v>
      </c>
      <c r="F46" t="s">
        <v>534</v>
      </c>
      <c r="G46" s="2">
        <v>37660</v>
      </c>
      <c r="H46" t="s">
        <v>403</v>
      </c>
      <c r="I46" t="str">
        <f>IFERROR(VLOOKUP(Table1[[#This Row],[Department]],Doctor_Info!A:D,2,FALSE), "")</f>
        <v>Dr. George</v>
      </c>
      <c r="J46" t="str">
        <f>_xlfn.XLOOKUP(Table1[[#This Row],[Department]], Doctor_Info!A:A, Doctor_Info!C:C, "")&amp;""</f>
        <v>405</v>
      </c>
    </row>
    <row r="47" spans="1:10" x14ac:dyDescent="0.2">
      <c r="A47" t="s">
        <v>59</v>
      </c>
      <c r="B47" s="3">
        <v>45319</v>
      </c>
      <c r="C47" s="3">
        <v>45327</v>
      </c>
      <c r="D47" t="s">
        <v>7</v>
      </c>
      <c r="E47">
        <v>20</v>
      </c>
      <c r="F47" t="s">
        <v>533</v>
      </c>
      <c r="G47" s="2">
        <v>38630</v>
      </c>
      <c r="H47" t="s">
        <v>8</v>
      </c>
      <c r="I47" t="str">
        <f>IFERROR(VLOOKUP(Table1[[#This Row],[Department]],Doctor_Info!A:D,2,FALSE), "")</f>
        <v>Dr. Ada</v>
      </c>
      <c r="J47" t="str">
        <f>_xlfn.XLOOKUP(Table1[[#This Row],[Department]], Doctor_Info!A:A, Doctor_Info!C:C, "")&amp;""</f>
        <v>301</v>
      </c>
    </row>
    <row r="48" spans="1:10" x14ac:dyDescent="0.2">
      <c r="A48" t="s">
        <v>60</v>
      </c>
      <c r="B48" s="3">
        <v>45323</v>
      </c>
      <c r="C48" s="3">
        <v>45324</v>
      </c>
      <c r="D48" t="s">
        <v>528</v>
      </c>
      <c r="E48">
        <v>22</v>
      </c>
      <c r="F48" t="s">
        <v>534</v>
      </c>
      <c r="G48" s="2">
        <v>39600</v>
      </c>
      <c r="H48" t="s">
        <v>6</v>
      </c>
      <c r="I48" t="str">
        <f>IFERROR(VLOOKUP(Table1[[#This Row],[Department]],Doctor_Info!A:D,2,FALSE), "")</f>
        <v>Dr. Kofi</v>
      </c>
      <c r="J48" t="str">
        <f>_xlfn.XLOOKUP(Table1[[#This Row],[Department]], Doctor_Info!A:A, Doctor_Info!C:C, "")&amp;""</f>
        <v>102</v>
      </c>
    </row>
    <row r="49" spans="1:10" x14ac:dyDescent="0.2">
      <c r="A49" t="s">
        <v>61</v>
      </c>
      <c r="B49" s="3">
        <v>45325</v>
      </c>
      <c r="C49" s="3">
        <v>45337</v>
      </c>
      <c r="D49" t="s">
        <v>12</v>
      </c>
      <c r="E49">
        <v>24</v>
      </c>
      <c r="F49" t="s">
        <v>533</v>
      </c>
      <c r="G49" s="2">
        <v>40570</v>
      </c>
      <c r="H49" t="s">
        <v>8</v>
      </c>
      <c r="I49" t="str">
        <f>IFERROR(VLOOKUP(Table1[[#This Row],[Department]],Doctor_Info!A:D,2,FALSE), "")</f>
        <v>Dr. Temi</v>
      </c>
      <c r="J49" t="str">
        <f>_xlfn.XLOOKUP(Table1[[#This Row],[Department]], Doctor_Info!A:A, Doctor_Info!C:C, "")&amp;""</f>
        <v>502</v>
      </c>
    </row>
    <row r="50" spans="1:10" x14ac:dyDescent="0.2">
      <c r="A50" t="s">
        <v>62</v>
      </c>
      <c r="B50" s="3">
        <v>45327</v>
      </c>
      <c r="C50" s="3">
        <v>45328</v>
      </c>
      <c r="D50" t="s">
        <v>528</v>
      </c>
      <c r="E50">
        <v>26</v>
      </c>
      <c r="F50" t="s">
        <v>534</v>
      </c>
      <c r="G50" s="2">
        <v>41540</v>
      </c>
      <c r="H50" t="s">
        <v>6</v>
      </c>
      <c r="I50" t="str">
        <f>IFERROR(VLOOKUP(Table1[[#This Row],[Department]],Doctor_Info!A:D,2,FALSE), "")</f>
        <v>Dr. Kofi</v>
      </c>
      <c r="J50" t="str">
        <f>_xlfn.XLOOKUP(Table1[[#This Row],[Department]], Doctor_Info!A:A, Doctor_Info!C:C, "")&amp;""</f>
        <v>102</v>
      </c>
    </row>
    <row r="51" spans="1:10" x14ac:dyDescent="0.2">
      <c r="A51" t="s">
        <v>63</v>
      </c>
      <c r="B51" s="3">
        <v>45332</v>
      </c>
      <c r="D51" t="s">
        <v>10</v>
      </c>
      <c r="E51">
        <v>28</v>
      </c>
      <c r="F51" t="s">
        <v>534</v>
      </c>
      <c r="G51" s="2">
        <v>42510</v>
      </c>
      <c r="H51" t="s">
        <v>403</v>
      </c>
      <c r="I51" t="str">
        <f>IFERROR(VLOOKUP(Table1[[#This Row],[Department]],Doctor_Info!A:D,2,FALSE), "")</f>
        <v>Dr. George</v>
      </c>
      <c r="J51" t="str">
        <f>_xlfn.XLOOKUP(Table1[[#This Row],[Department]], Doctor_Info!A:A, Doctor_Info!C:C, "")&amp;""</f>
        <v>405</v>
      </c>
    </row>
    <row r="52" spans="1:10" x14ac:dyDescent="0.2">
      <c r="A52" t="s">
        <v>64</v>
      </c>
      <c r="B52" s="3">
        <v>45319</v>
      </c>
      <c r="C52" s="3">
        <v>45327</v>
      </c>
      <c r="D52" t="s">
        <v>7</v>
      </c>
      <c r="E52">
        <v>30</v>
      </c>
      <c r="F52" t="s">
        <v>533</v>
      </c>
      <c r="G52" s="2">
        <v>43480</v>
      </c>
      <c r="H52" t="s">
        <v>8</v>
      </c>
      <c r="I52" t="str">
        <f>IFERROR(VLOOKUP(Table1[[#This Row],[Department]],Doctor_Info!A:D,2,FALSE), "")</f>
        <v>Dr. Ada</v>
      </c>
      <c r="J52" t="str">
        <f>_xlfn.XLOOKUP(Table1[[#This Row],[Department]], Doctor_Info!A:A, Doctor_Info!C:C, "")&amp;""</f>
        <v>301</v>
      </c>
    </row>
    <row r="53" spans="1:10" x14ac:dyDescent="0.2">
      <c r="A53" t="s">
        <v>65</v>
      </c>
      <c r="B53" s="3">
        <v>45323</v>
      </c>
      <c r="C53" s="3">
        <v>45324</v>
      </c>
      <c r="D53" t="s">
        <v>528</v>
      </c>
      <c r="E53">
        <v>32</v>
      </c>
      <c r="F53" t="s">
        <v>534</v>
      </c>
      <c r="G53" s="2">
        <v>44450</v>
      </c>
      <c r="H53" t="s">
        <v>6</v>
      </c>
      <c r="I53" t="str">
        <f>IFERROR(VLOOKUP(Table1[[#This Row],[Department]],Doctor_Info!A:D,2,FALSE), "")</f>
        <v>Dr. Kofi</v>
      </c>
      <c r="J53" t="str">
        <f>_xlfn.XLOOKUP(Table1[[#This Row],[Department]], Doctor_Info!A:A, Doctor_Info!C:C, "")&amp;""</f>
        <v>102</v>
      </c>
    </row>
    <row r="54" spans="1:10" x14ac:dyDescent="0.2">
      <c r="A54" t="s">
        <v>66</v>
      </c>
      <c r="B54" s="3">
        <v>45325</v>
      </c>
      <c r="C54" s="3">
        <v>45337</v>
      </c>
      <c r="D54" t="s">
        <v>12</v>
      </c>
      <c r="E54">
        <v>34</v>
      </c>
      <c r="F54" t="s">
        <v>533</v>
      </c>
      <c r="G54" s="2">
        <v>45420</v>
      </c>
      <c r="H54" t="s">
        <v>8</v>
      </c>
      <c r="I54" t="str">
        <f>IFERROR(VLOOKUP(Table1[[#This Row],[Department]],Doctor_Info!A:D,2,FALSE), "")</f>
        <v>Dr. Temi</v>
      </c>
      <c r="J54" t="str">
        <f>_xlfn.XLOOKUP(Table1[[#This Row],[Department]], Doctor_Info!A:A, Doctor_Info!C:C, "")&amp;""</f>
        <v>502</v>
      </c>
    </row>
    <row r="55" spans="1:10" x14ac:dyDescent="0.2">
      <c r="A55" t="s">
        <v>67</v>
      </c>
      <c r="B55" s="3">
        <v>45327</v>
      </c>
      <c r="C55" s="3">
        <v>45328</v>
      </c>
      <c r="D55" t="s">
        <v>528</v>
      </c>
      <c r="E55">
        <v>36</v>
      </c>
      <c r="F55" t="s">
        <v>534</v>
      </c>
      <c r="G55" s="2">
        <v>46390</v>
      </c>
      <c r="H55" t="s">
        <v>6</v>
      </c>
      <c r="I55" t="str">
        <f>IFERROR(VLOOKUP(Table1[[#This Row],[Department]],Doctor_Info!A:D,2,FALSE), "")</f>
        <v>Dr. Kofi</v>
      </c>
      <c r="J55" t="str">
        <f>_xlfn.XLOOKUP(Table1[[#This Row],[Department]], Doctor_Info!A:A, Doctor_Info!C:C, "")&amp;""</f>
        <v>102</v>
      </c>
    </row>
    <row r="56" spans="1:10" x14ac:dyDescent="0.2">
      <c r="A56" t="s">
        <v>68</v>
      </c>
      <c r="B56" s="3">
        <v>45332</v>
      </c>
      <c r="D56" t="s">
        <v>10</v>
      </c>
      <c r="E56">
        <v>38</v>
      </c>
      <c r="F56" t="s">
        <v>534</v>
      </c>
      <c r="G56" s="2">
        <v>47360</v>
      </c>
      <c r="H56" t="s">
        <v>403</v>
      </c>
      <c r="I56" t="str">
        <f>IFERROR(VLOOKUP(Table1[[#This Row],[Department]],Doctor_Info!A:D,2,FALSE), "")</f>
        <v>Dr. George</v>
      </c>
      <c r="J56" t="str">
        <f>_xlfn.XLOOKUP(Table1[[#This Row],[Department]], Doctor_Info!A:A, Doctor_Info!C:C, "")&amp;""</f>
        <v>405</v>
      </c>
    </row>
    <row r="57" spans="1:10" x14ac:dyDescent="0.2">
      <c r="A57" t="s">
        <v>69</v>
      </c>
      <c r="B57" s="3">
        <v>45319</v>
      </c>
      <c r="C57" s="3">
        <v>45327</v>
      </c>
      <c r="D57" t="s">
        <v>7</v>
      </c>
      <c r="E57">
        <v>40</v>
      </c>
      <c r="F57" t="s">
        <v>533</v>
      </c>
      <c r="G57" s="2">
        <v>48330</v>
      </c>
      <c r="H57" t="s">
        <v>8</v>
      </c>
      <c r="I57" t="str">
        <f>IFERROR(VLOOKUP(Table1[[#This Row],[Department]],Doctor_Info!A:D,2,FALSE), "")</f>
        <v>Dr. Ada</v>
      </c>
      <c r="J57" t="str">
        <f>_xlfn.XLOOKUP(Table1[[#This Row],[Department]], Doctor_Info!A:A, Doctor_Info!C:C, "")&amp;""</f>
        <v>301</v>
      </c>
    </row>
    <row r="58" spans="1:10" x14ac:dyDescent="0.2">
      <c r="A58" t="s">
        <v>70</v>
      </c>
      <c r="B58" s="3">
        <v>45323</v>
      </c>
      <c r="C58" s="3">
        <v>45324</v>
      </c>
      <c r="D58" t="s">
        <v>528</v>
      </c>
      <c r="E58">
        <v>42</v>
      </c>
      <c r="F58" t="s">
        <v>534</v>
      </c>
      <c r="G58" s="2">
        <v>49300</v>
      </c>
      <c r="H58" t="s">
        <v>6</v>
      </c>
      <c r="I58" t="str">
        <f>IFERROR(VLOOKUP(Table1[[#This Row],[Department]],Doctor_Info!A:D,2,FALSE), "")</f>
        <v>Dr. Kofi</v>
      </c>
      <c r="J58" t="str">
        <f>_xlfn.XLOOKUP(Table1[[#This Row],[Department]], Doctor_Info!A:A, Doctor_Info!C:C, "")&amp;""</f>
        <v>102</v>
      </c>
    </row>
    <row r="59" spans="1:10" x14ac:dyDescent="0.2">
      <c r="A59" t="s">
        <v>71</v>
      </c>
      <c r="B59" s="3">
        <v>45325</v>
      </c>
      <c r="C59" s="3">
        <v>45337</v>
      </c>
      <c r="D59" t="s">
        <v>12</v>
      </c>
      <c r="E59">
        <v>44</v>
      </c>
      <c r="F59" t="s">
        <v>533</v>
      </c>
      <c r="G59" s="2">
        <v>50270</v>
      </c>
      <c r="H59" t="s">
        <v>8</v>
      </c>
      <c r="I59" t="str">
        <f>IFERROR(VLOOKUP(Table1[[#This Row],[Department]],Doctor_Info!A:D,2,FALSE), "")</f>
        <v>Dr. Temi</v>
      </c>
      <c r="J59" t="str">
        <f>_xlfn.XLOOKUP(Table1[[#This Row],[Department]], Doctor_Info!A:A, Doctor_Info!C:C, "")&amp;""</f>
        <v>502</v>
      </c>
    </row>
    <row r="60" spans="1:10" x14ac:dyDescent="0.2">
      <c r="A60" t="s">
        <v>72</v>
      </c>
      <c r="B60" s="3">
        <v>45327</v>
      </c>
      <c r="C60" s="3">
        <v>45328</v>
      </c>
      <c r="D60" t="s">
        <v>528</v>
      </c>
      <c r="E60">
        <v>46</v>
      </c>
      <c r="F60" t="s">
        <v>534</v>
      </c>
      <c r="G60" s="2">
        <v>51240</v>
      </c>
      <c r="H60" t="s">
        <v>6</v>
      </c>
      <c r="I60" t="str">
        <f>IFERROR(VLOOKUP(Table1[[#This Row],[Department]],Doctor_Info!A:D,2,FALSE), "")</f>
        <v>Dr. Kofi</v>
      </c>
      <c r="J60" t="str">
        <f>_xlfn.XLOOKUP(Table1[[#This Row],[Department]], Doctor_Info!A:A, Doctor_Info!C:C, "")&amp;""</f>
        <v>102</v>
      </c>
    </row>
    <row r="61" spans="1:10" x14ac:dyDescent="0.2">
      <c r="A61" t="s">
        <v>73</v>
      </c>
      <c r="B61" s="3">
        <v>45332</v>
      </c>
      <c r="D61" t="s">
        <v>10</v>
      </c>
      <c r="E61">
        <v>48</v>
      </c>
      <c r="F61" t="s">
        <v>534</v>
      </c>
      <c r="G61" s="2">
        <v>52210</v>
      </c>
      <c r="H61" t="s">
        <v>403</v>
      </c>
      <c r="I61" t="str">
        <f>IFERROR(VLOOKUP(Table1[[#This Row],[Department]],Doctor_Info!A:D,2,FALSE), "")</f>
        <v>Dr. George</v>
      </c>
      <c r="J61" t="str">
        <f>_xlfn.XLOOKUP(Table1[[#This Row],[Department]], Doctor_Info!A:A, Doctor_Info!C:C, "")&amp;""</f>
        <v>405</v>
      </c>
    </row>
    <row r="62" spans="1:10" x14ac:dyDescent="0.2">
      <c r="A62" t="s">
        <v>74</v>
      </c>
      <c r="B62" s="3">
        <v>45319</v>
      </c>
      <c r="C62" s="3">
        <v>45327</v>
      </c>
      <c r="D62" t="s">
        <v>7</v>
      </c>
      <c r="E62">
        <v>50</v>
      </c>
      <c r="F62" t="s">
        <v>533</v>
      </c>
      <c r="G62" s="2">
        <v>53180</v>
      </c>
      <c r="H62" t="s">
        <v>8</v>
      </c>
      <c r="I62" t="str">
        <f>IFERROR(VLOOKUP(Table1[[#This Row],[Department]],Doctor_Info!A:D,2,FALSE), "")</f>
        <v>Dr. Ada</v>
      </c>
      <c r="J62" t="str">
        <f>_xlfn.XLOOKUP(Table1[[#This Row],[Department]], Doctor_Info!A:A, Doctor_Info!C:C, "")&amp;""</f>
        <v>301</v>
      </c>
    </row>
    <row r="63" spans="1:10" x14ac:dyDescent="0.2">
      <c r="A63" t="s">
        <v>75</v>
      </c>
      <c r="B63" s="3">
        <v>45323</v>
      </c>
      <c r="C63" s="3">
        <v>45324</v>
      </c>
      <c r="D63" t="s">
        <v>528</v>
      </c>
      <c r="E63">
        <v>52</v>
      </c>
      <c r="F63" t="s">
        <v>534</v>
      </c>
      <c r="G63" s="2">
        <v>54150</v>
      </c>
      <c r="H63" t="s">
        <v>6</v>
      </c>
      <c r="I63" t="str">
        <f>IFERROR(VLOOKUP(Table1[[#This Row],[Department]],Doctor_Info!A:D,2,FALSE), "")</f>
        <v>Dr. Kofi</v>
      </c>
      <c r="J63" t="str">
        <f>_xlfn.XLOOKUP(Table1[[#This Row],[Department]], Doctor_Info!A:A, Doctor_Info!C:C, "")&amp;""</f>
        <v>102</v>
      </c>
    </row>
    <row r="64" spans="1:10" x14ac:dyDescent="0.2">
      <c r="A64" t="s">
        <v>76</v>
      </c>
      <c r="B64" s="3">
        <v>45325</v>
      </c>
      <c r="C64" s="3">
        <v>45337</v>
      </c>
      <c r="D64" t="s">
        <v>12</v>
      </c>
      <c r="E64">
        <v>54</v>
      </c>
      <c r="F64" t="s">
        <v>533</v>
      </c>
      <c r="G64" s="2">
        <v>55120</v>
      </c>
      <c r="H64" t="s">
        <v>8</v>
      </c>
      <c r="I64" t="str">
        <f>IFERROR(VLOOKUP(Table1[[#This Row],[Department]],Doctor_Info!A:D,2,FALSE), "")</f>
        <v>Dr. Temi</v>
      </c>
      <c r="J64" t="str">
        <f>_xlfn.XLOOKUP(Table1[[#This Row],[Department]], Doctor_Info!A:A, Doctor_Info!C:C, "")&amp;""</f>
        <v>502</v>
      </c>
    </row>
    <row r="65" spans="1:10" x14ac:dyDescent="0.2">
      <c r="A65" t="s">
        <v>77</v>
      </c>
      <c r="B65" s="3">
        <v>45327</v>
      </c>
      <c r="C65" s="3">
        <v>45328</v>
      </c>
      <c r="D65" t="s">
        <v>528</v>
      </c>
      <c r="E65">
        <v>56</v>
      </c>
      <c r="F65" t="s">
        <v>534</v>
      </c>
      <c r="G65" s="2">
        <v>56090</v>
      </c>
      <c r="H65" t="s">
        <v>6</v>
      </c>
      <c r="I65" t="str">
        <f>IFERROR(VLOOKUP(Table1[[#This Row],[Department]],Doctor_Info!A:D,2,FALSE), "")</f>
        <v>Dr. Kofi</v>
      </c>
      <c r="J65" t="str">
        <f>_xlfn.XLOOKUP(Table1[[#This Row],[Department]], Doctor_Info!A:A, Doctor_Info!C:C, "")&amp;""</f>
        <v>102</v>
      </c>
    </row>
    <row r="66" spans="1:10" x14ac:dyDescent="0.2">
      <c r="A66" t="s">
        <v>78</v>
      </c>
      <c r="B66" s="3">
        <v>45332</v>
      </c>
      <c r="D66" t="s">
        <v>10</v>
      </c>
      <c r="E66">
        <v>58</v>
      </c>
      <c r="F66" t="s">
        <v>534</v>
      </c>
      <c r="G66" s="2">
        <v>57060</v>
      </c>
      <c r="H66" t="s">
        <v>403</v>
      </c>
      <c r="I66" t="str">
        <f>IFERROR(VLOOKUP(Table1[[#This Row],[Department]],Doctor_Info!A:D,2,FALSE), "")</f>
        <v>Dr. George</v>
      </c>
      <c r="J66" t="str">
        <f>_xlfn.XLOOKUP(Table1[[#This Row],[Department]], Doctor_Info!A:A, Doctor_Info!C:C, "")&amp;""</f>
        <v>405</v>
      </c>
    </row>
    <row r="67" spans="1:10" x14ac:dyDescent="0.2">
      <c r="A67" t="s">
        <v>79</v>
      </c>
      <c r="B67" s="3">
        <v>45319</v>
      </c>
      <c r="C67" s="3">
        <v>45327</v>
      </c>
      <c r="D67" t="s">
        <v>7</v>
      </c>
      <c r="E67">
        <v>60</v>
      </c>
      <c r="F67" t="s">
        <v>533</v>
      </c>
      <c r="G67" s="2">
        <v>58030</v>
      </c>
      <c r="H67" t="s">
        <v>8</v>
      </c>
      <c r="I67" t="str">
        <f>IFERROR(VLOOKUP(Table1[[#This Row],[Department]],Doctor_Info!A:D,2,FALSE), "")</f>
        <v>Dr. Ada</v>
      </c>
      <c r="J67" t="str">
        <f>_xlfn.XLOOKUP(Table1[[#This Row],[Department]], Doctor_Info!A:A, Doctor_Info!C:C, "")&amp;""</f>
        <v>301</v>
      </c>
    </row>
    <row r="68" spans="1:10" x14ac:dyDescent="0.2">
      <c r="A68" t="s">
        <v>80</v>
      </c>
      <c r="B68" s="3">
        <v>45323</v>
      </c>
      <c r="C68" s="3">
        <v>45324</v>
      </c>
      <c r="D68" t="s">
        <v>528</v>
      </c>
      <c r="E68">
        <v>62</v>
      </c>
      <c r="F68" t="s">
        <v>534</v>
      </c>
      <c r="G68" s="2">
        <v>59000</v>
      </c>
      <c r="H68" t="s">
        <v>6</v>
      </c>
      <c r="I68" t="str">
        <f>IFERROR(VLOOKUP(Table1[[#This Row],[Department]],Doctor_Info!A:D,2,FALSE), "")</f>
        <v>Dr. Kofi</v>
      </c>
      <c r="J68" t="str">
        <f>_xlfn.XLOOKUP(Table1[[#This Row],[Department]], Doctor_Info!A:A, Doctor_Info!C:C, "")&amp;""</f>
        <v>102</v>
      </c>
    </row>
    <row r="69" spans="1:10" x14ac:dyDescent="0.2">
      <c r="A69" t="s">
        <v>81</v>
      </c>
      <c r="B69" s="3">
        <v>45325</v>
      </c>
      <c r="C69" s="3">
        <v>45337</v>
      </c>
      <c r="D69" t="s">
        <v>12</v>
      </c>
      <c r="E69">
        <v>64</v>
      </c>
      <c r="F69" t="s">
        <v>533</v>
      </c>
      <c r="G69" s="2">
        <v>59970</v>
      </c>
      <c r="H69" t="s">
        <v>8</v>
      </c>
      <c r="I69" t="str">
        <f>IFERROR(VLOOKUP(Table1[[#This Row],[Department]],Doctor_Info!A:D,2,FALSE), "")</f>
        <v>Dr. Temi</v>
      </c>
      <c r="J69" t="str">
        <f>_xlfn.XLOOKUP(Table1[[#This Row],[Department]], Doctor_Info!A:A, Doctor_Info!C:C, "")&amp;""</f>
        <v>502</v>
      </c>
    </row>
    <row r="70" spans="1:10" x14ac:dyDescent="0.2">
      <c r="A70" t="s">
        <v>82</v>
      </c>
      <c r="B70" s="3">
        <v>45327</v>
      </c>
      <c r="C70" s="3">
        <v>45328</v>
      </c>
      <c r="D70" t="s">
        <v>528</v>
      </c>
      <c r="E70">
        <v>66</v>
      </c>
      <c r="F70" t="s">
        <v>534</v>
      </c>
      <c r="G70" s="2">
        <v>60940</v>
      </c>
      <c r="H70" t="s">
        <v>6</v>
      </c>
      <c r="I70" t="str">
        <f>IFERROR(VLOOKUP(Table1[[#This Row],[Department]],Doctor_Info!A:D,2,FALSE), "")</f>
        <v>Dr. Kofi</v>
      </c>
      <c r="J70" t="str">
        <f>_xlfn.XLOOKUP(Table1[[#This Row],[Department]], Doctor_Info!A:A, Doctor_Info!C:C, "")&amp;""</f>
        <v>102</v>
      </c>
    </row>
    <row r="71" spans="1:10" x14ac:dyDescent="0.2">
      <c r="A71" t="s">
        <v>83</v>
      </c>
      <c r="B71" s="3">
        <v>45332</v>
      </c>
      <c r="D71" t="s">
        <v>10</v>
      </c>
      <c r="E71">
        <v>68</v>
      </c>
      <c r="F71" t="s">
        <v>534</v>
      </c>
      <c r="G71" s="2">
        <v>61910</v>
      </c>
      <c r="H71" t="s">
        <v>403</v>
      </c>
      <c r="I71" t="str">
        <f>IFERROR(VLOOKUP(Table1[[#This Row],[Department]],Doctor_Info!A:D,2,FALSE), "")</f>
        <v>Dr. George</v>
      </c>
      <c r="J71" t="str">
        <f>_xlfn.XLOOKUP(Table1[[#This Row],[Department]], Doctor_Info!A:A, Doctor_Info!C:C, "")&amp;""</f>
        <v>405</v>
      </c>
    </row>
    <row r="72" spans="1:10" x14ac:dyDescent="0.2">
      <c r="A72" t="s">
        <v>84</v>
      </c>
      <c r="B72" s="3">
        <v>45319</v>
      </c>
      <c r="C72" s="3">
        <v>45327</v>
      </c>
      <c r="D72" t="s">
        <v>7</v>
      </c>
      <c r="E72">
        <v>70</v>
      </c>
      <c r="F72" t="s">
        <v>533</v>
      </c>
      <c r="G72" s="2">
        <v>62880</v>
      </c>
      <c r="H72" t="s">
        <v>8</v>
      </c>
      <c r="I72" t="str">
        <f>IFERROR(VLOOKUP(Table1[[#This Row],[Department]],Doctor_Info!A:D,2,FALSE), "")</f>
        <v>Dr. Ada</v>
      </c>
      <c r="J72" t="str">
        <f>_xlfn.XLOOKUP(Table1[[#This Row],[Department]], Doctor_Info!A:A, Doctor_Info!C:C, "")&amp;""</f>
        <v>301</v>
      </c>
    </row>
    <row r="73" spans="1:10" x14ac:dyDescent="0.2">
      <c r="A73" t="s">
        <v>85</v>
      </c>
      <c r="B73" s="3">
        <v>45323</v>
      </c>
      <c r="C73" s="3">
        <v>45324</v>
      </c>
      <c r="D73" t="s">
        <v>528</v>
      </c>
      <c r="E73">
        <v>72</v>
      </c>
      <c r="F73" t="s">
        <v>534</v>
      </c>
      <c r="G73" s="2">
        <v>63850</v>
      </c>
      <c r="H73" t="s">
        <v>6</v>
      </c>
      <c r="I73" t="str">
        <f>IFERROR(VLOOKUP(Table1[[#This Row],[Department]],Doctor_Info!A:D,2,FALSE), "")</f>
        <v>Dr. Kofi</v>
      </c>
      <c r="J73" t="str">
        <f>_xlfn.XLOOKUP(Table1[[#This Row],[Department]], Doctor_Info!A:A, Doctor_Info!C:C, "")&amp;""</f>
        <v>102</v>
      </c>
    </row>
    <row r="74" spans="1:10" x14ac:dyDescent="0.2">
      <c r="A74" t="s">
        <v>86</v>
      </c>
      <c r="B74" s="3">
        <v>45325</v>
      </c>
      <c r="C74" s="3">
        <v>45337</v>
      </c>
      <c r="D74" t="s">
        <v>12</v>
      </c>
      <c r="E74">
        <v>74</v>
      </c>
      <c r="F74" t="s">
        <v>533</v>
      </c>
      <c r="G74" s="2">
        <v>64820</v>
      </c>
      <c r="H74" t="s">
        <v>8</v>
      </c>
      <c r="I74" t="str">
        <f>IFERROR(VLOOKUP(Table1[[#This Row],[Department]],Doctor_Info!A:D,2,FALSE), "")</f>
        <v>Dr. Temi</v>
      </c>
      <c r="J74" t="str">
        <f>_xlfn.XLOOKUP(Table1[[#This Row],[Department]], Doctor_Info!A:A, Doctor_Info!C:C, "")&amp;""</f>
        <v>502</v>
      </c>
    </row>
    <row r="75" spans="1:10" x14ac:dyDescent="0.2">
      <c r="A75" t="s">
        <v>87</v>
      </c>
      <c r="B75" s="3">
        <v>45327</v>
      </c>
      <c r="C75" s="3">
        <v>45328</v>
      </c>
      <c r="D75" t="s">
        <v>528</v>
      </c>
      <c r="E75">
        <v>76</v>
      </c>
      <c r="F75" t="s">
        <v>534</v>
      </c>
      <c r="G75" s="2">
        <v>65790</v>
      </c>
      <c r="H75" t="s">
        <v>6</v>
      </c>
      <c r="I75" t="str">
        <f>IFERROR(VLOOKUP(Table1[[#This Row],[Department]],Doctor_Info!A:D,2,FALSE), "")</f>
        <v>Dr. Kofi</v>
      </c>
      <c r="J75" t="str">
        <f>_xlfn.XLOOKUP(Table1[[#This Row],[Department]], Doctor_Info!A:A, Doctor_Info!C:C, "")&amp;""</f>
        <v>102</v>
      </c>
    </row>
    <row r="76" spans="1:10" x14ac:dyDescent="0.2">
      <c r="A76" t="s">
        <v>88</v>
      </c>
      <c r="B76" s="3">
        <v>45332</v>
      </c>
      <c r="D76" t="s">
        <v>10</v>
      </c>
      <c r="E76">
        <v>78</v>
      </c>
      <c r="F76" t="s">
        <v>534</v>
      </c>
      <c r="G76" s="2">
        <v>66760</v>
      </c>
      <c r="H76" t="s">
        <v>403</v>
      </c>
      <c r="I76" t="str">
        <f>IFERROR(VLOOKUP(Table1[[#This Row],[Department]],Doctor_Info!A:D,2,FALSE), "")</f>
        <v>Dr. George</v>
      </c>
      <c r="J76" t="str">
        <f>_xlfn.XLOOKUP(Table1[[#This Row],[Department]], Doctor_Info!A:A, Doctor_Info!C:C, "")&amp;""</f>
        <v>405</v>
      </c>
    </row>
    <row r="77" spans="1:10" x14ac:dyDescent="0.2">
      <c r="A77" t="s">
        <v>89</v>
      </c>
      <c r="B77" s="3">
        <v>45319</v>
      </c>
      <c r="C77" s="3">
        <v>45327</v>
      </c>
      <c r="D77" t="s">
        <v>7</v>
      </c>
      <c r="E77">
        <v>80</v>
      </c>
      <c r="F77" t="s">
        <v>533</v>
      </c>
      <c r="G77" s="2">
        <v>67730</v>
      </c>
      <c r="H77" t="s">
        <v>8</v>
      </c>
      <c r="I77" t="str">
        <f>IFERROR(VLOOKUP(Table1[[#This Row],[Department]],Doctor_Info!A:D,2,FALSE), "")</f>
        <v>Dr. Ada</v>
      </c>
      <c r="J77" t="str">
        <f>_xlfn.XLOOKUP(Table1[[#This Row],[Department]], Doctor_Info!A:A, Doctor_Info!C:C, "")&amp;""</f>
        <v>301</v>
      </c>
    </row>
    <row r="78" spans="1:10" x14ac:dyDescent="0.2">
      <c r="A78" t="s">
        <v>90</v>
      </c>
      <c r="B78" s="3">
        <v>45323</v>
      </c>
      <c r="C78" s="3">
        <v>45324</v>
      </c>
      <c r="D78" t="s">
        <v>528</v>
      </c>
      <c r="E78">
        <v>82</v>
      </c>
      <c r="F78" t="s">
        <v>534</v>
      </c>
      <c r="G78" s="2">
        <v>68700</v>
      </c>
      <c r="H78" t="s">
        <v>6</v>
      </c>
      <c r="I78" t="str">
        <f>IFERROR(VLOOKUP(Table1[[#This Row],[Department]],Doctor_Info!A:D,2,FALSE), "")</f>
        <v>Dr. Kofi</v>
      </c>
      <c r="J78" t="str">
        <f>_xlfn.XLOOKUP(Table1[[#This Row],[Department]], Doctor_Info!A:A, Doctor_Info!C:C, "")&amp;""</f>
        <v>102</v>
      </c>
    </row>
    <row r="79" spans="1:10" x14ac:dyDescent="0.2">
      <c r="A79" t="s">
        <v>91</v>
      </c>
      <c r="B79" s="3">
        <v>45325</v>
      </c>
      <c r="C79" s="3">
        <v>45337</v>
      </c>
      <c r="D79" t="s">
        <v>12</v>
      </c>
      <c r="E79">
        <v>84</v>
      </c>
      <c r="F79" t="s">
        <v>533</v>
      </c>
      <c r="G79" s="2">
        <v>69670</v>
      </c>
      <c r="H79" t="s">
        <v>8</v>
      </c>
      <c r="I79" t="str">
        <f>IFERROR(VLOOKUP(Table1[[#This Row],[Department]],Doctor_Info!A:D,2,FALSE), "")</f>
        <v>Dr. Temi</v>
      </c>
      <c r="J79" t="str">
        <f>_xlfn.XLOOKUP(Table1[[#This Row],[Department]], Doctor_Info!A:A, Doctor_Info!C:C, "")&amp;""</f>
        <v>502</v>
      </c>
    </row>
    <row r="80" spans="1:10" x14ac:dyDescent="0.2">
      <c r="A80" t="s">
        <v>92</v>
      </c>
      <c r="B80" s="3">
        <v>45327</v>
      </c>
      <c r="C80" s="3">
        <v>45328</v>
      </c>
      <c r="D80" t="s">
        <v>528</v>
      </c>
      <c r="E80">
        <v>86</v>
      </c>
      <c r="F80" t="s">
        <v>534</v>
      </c>
      <c r="G80" s="2">
        <v>70640</v>
      </c>
      <c r="H80" t="s">
        <v>6</v>
      </c>
      <c r="I80" t="str">
        <f>IFERROR(VLOOKUP(Table1[[#This Row],[Department]],Doctor_Info!A:D,2,FALSE), "")</f>
        <v>Dr. Kofi</v>
      </c>
      <c r="J80" t="str">
        <f>_xlfn.XLOOKUP(Table1[[#This Row],[Department]], Doctor_Info!A:A, Doctor_Info!C:C, "")&amp;""</f>
        <v>102</v>
      </c>
    </row>
    <row r="81" spans="1:10" x14ac:dyDescent="0.2">
      <c r="A81" t="s">
        <v>93</v>
      </c>
      <c r="B81" s="3">
        <v>45332</v>
      </c>
      <c r="D81" t="s">
        <v>10</v>
      </c>
      <c r="E81">
        <v>88</v>
      </c>
      <c r="F81" t="s">
        <v>534</v>
      </c>
      <c r="G81" s="2">
        <v>71610</v>
      </c>
      <c r="H81" t="s">
        <v>403</v>
      </c>
      <c r="I81" t="str">
        <f>IFERROR(VLOOKUP(Table1[[#This Row],[Department]],Doctor_Info!A:D,2,FALSE), "")</f>
        <v>Dr. George</v>
      </c>
      <c r="J81" t="str">
        <f>_xlfn.XLOOKUP(Table1[[#This Row],[Department]], Doctor_Info!A:A, Doctor_Info!C:C, "")&amp;""</f>
        <v>405</v>
      </c>
    </row>
    <row r="82" spans="1:10" x14ac:dyDescent="0.2">
      <c r="A82" t="s">
        <v>94</v>
      </c>
      <c r="B82" s="3">
        <v>45319</v>
      </c>
      <c r="C82" s="3">
        <v>45327</v>
      </c>
      <c r="D82" t="s">
        <v>7</v>
      </c>
      <c r="E82">
        <v>90</v>
      </c>
      <c r="F82" t="s">
        <v>533</v>
      </c>
      <c r="G82" s="2">
        <v>72580</v>
      </c>
      <c r="H82" t="s">
        <v>8</v>
      </c>
      <c r="I82" t="str">
        <f>IFERROR(VLOOKUP(Table1[[#This Row],[Department]],Doctor_Info!A:D,2,FALSE), "")</f>
        <v>Dr. Ada</v>
      </c>
      <c r="J82" t="str">
        <f>_xlfn.XLOOKUP(Table1[[#This Row],[Department]], Doctor_Info!A:A, Doctor_Info!C:C, "")&amp;""</f>
        <v>301</v>
      </c>
    </row>
    <row r="83" spans="1:10" x14ac:dyDescent="0.2">
      <c r="A83" t="s">
        <v>95</v>
      </c>
      <c r="B83" s="3">
        <v>45323</v>
      </c>
      <c r="C83" s="3">
        <v>45324</v>
      </c>
      <c r="D83" t="s">
        <v>528</v>
      </c>
      <c r="E83">
        <v>92</v>
      </c>
      <c r="F83" t="s">
        <v>534</v>
      </c>
      <c r="G83" s="2">
        <v>73550</v>
      </c>
      <c r="H83" t="s">
        <v>6</v>
      </c>
      <c r="I83" t="str">
        <f>IFERROR(VLOOKUP(Table1[[#This Row],[Department]],Doctor_Info!A:D,2,FALSE), "")</f>
        <v>Dr. Kofi</v>
      </c>
      <c r="J83" t="str">
        <f>_xlfn.XLOOKUP(Table1[[#This Row],[Department]], Doctor_Info!A:A, Doctor_Info!C:C, "")&amp;""</f>
        <v>102</v>
      </c>
    </row>
    <row r="84" spans="1:10" x14ac:dyDescent="0.2">
      <c r="A84" t="s">
        <v>96</v>
      </c>
      <c r="B84" s="3">
        <v>45325</v>
      </c>
      <c r="C84" s="3">
        <v>45337</v>
      </c>
      <c r="D84" t="s">
        <v>12</v>
      </c>
      <c r="E84">
        <v>94</v>
      </c>
      <c r="F84" t="s">
        <v>533</v>
      </c>
      <c r="G84" s="2">
        <v>74520</v>
      </c>
      <c r="H84" t="s">
        <v>8</v>
      </c>
      <c r="I84" t="str">
        <f>IFERROR(VLOOKUP(Table1[[#This Row],[Department]],Doctor_Info!A:D,2,FALSE), "")</f>
        <v>Dr. Temi</v>
      </c>
      <c r="J84" t="str">
        <f>_xlfn.XLOOKUP(Table1[[#This Row],[Department]], Doctor_Info!A:A, Doctor_Info!C:C, "")&amp;""</f>
        <v>502</v>
      </c>
    </row>
    <row r="85" spans="1:10" x14ac:dyDescent="0.2">
      <c r="A85" t="s">
        <v>97</v>
      </c>
      <c r="B85" s="3">
        <v>45327</v>
      </c>
      <c r="C85" s="3">
        <v>45328</v>
      </c>
      <c r="D85" t="s">
        <v>528</v>
      </c>
      <c r="E85">
        <v>96</v>
      </c>
      <c r="F85" t="s">
        <v>534</v>
      </c>
      <c r="G85" s="2">
        <v>75490</v>
      </c>
      <c r="H85" t="s">
        <v>6</v>
      </c>
      <c r="I85" t="str">
        <f>IFERROR(VLOOKUP(Table1[[#This Row],[Department]],Doctor_Info!A:D,2,FALSE), "")</f>
        <v>Dr. Kofi</v>
      </c>
      <c r="J85" t="str">
        <f>_xlfn.XLOOKUP(Table1[[#This Row],[Department]], Doctor_Info!A:A, Doctor_Info!C:C, "")&amp;""</f>
        <v>102</v>
      </c>
    </row>
    <row r="86" spans="1:10" x14ac:dyDescent="0.2">
      <c r="A86" t="s">
        <v>98</v>
      </c>
      <c r="B86" s="3">
        <v>45332</v>
      </c>
      <c r="D86" t="s">
        <v>10</v>
      </c>
      <c r="E86">
        <v>98</v>
      </c>
      <c r="F86" t="s">
        <v>534</v>
      </c>
      <c r="G86" s="2">
        <v>76460</v>
      </c>
      <c r="H86" t="s">
        <v>403</v>
      </c>
      <c r="I86" t="str">
        <f>IFERROR(VLOOKUP(Table1[[#This Row],[Department]],Doctor_Info!A:D,2,FALSE), "")</f>
        <v>Dr. George</v>
      </c>
      <c r="J86" t="str">
        <f>_xlfn.XLOOKUP(Table1[[#This Row],[Department]], Doctor_Info!A:A, Doctor_Info!C:C, "")&amp;""</f>
        <v>405</v>
      </c>
    </row>
    <row r="87" spans="1:10" x14ac:dyDescent="0.2">
      <c r="A87" t="s">
        <v>99</v>
      </c>
      <c r="B87" s="3">
        <v>45319</v>
      </c>
      <c r="C87" s="3">
        <v>45327</v>
      </c>
      <c r="D87" t="s">
        <v>7</v>
      </c>
      <c r="E87">
        <v>100</v>
      </c>
      <c r="F87" t="s">
        <v>533</v>
      </c>
      <c r="G87" s="2">
        <v>77430</v>
      </c>
      <c r="H87" t="s">
        <v>8</v>
      </c>
      <c r="I87" t="str">
        <f>IFERROR(VLOOKUP(Table1[[#This Row],[Department]],Doctor_Info!A:D,2,FALSE), "")</f>
        <v>Dr. Ada</v>
      </c>
      <c r="J87" t="str">
        <f>_xlfn.XLOOKUP(Table1[[#This Row],[Department]], Doctor_Info!A:A, Doctor_Info!C:C, "")&amp;""</f>
        <v>301</v>
      </c>
    </row>
    <row r="88" spans="1:10" x14ac:dyDescent="0.2">
      <c r="A88" t="s">
        <v>100</v>
      </c>
      <c r="B88" s="3">
        <v>45323</v>
      </c>
      <c r="C88" s="3">
        <v>45324</v>
      </c>
      <c r="D88" t="s">
        <v>528</v>
      </c>
      <c r="E88">
        <v>2</v>
      </c>
      <c r="F88" t="s">
        <v>534</v>
      </c>
      <c r="G88" s="2">
        <v>78400</v>
      </c>
      <c r="H88" t="s">
        <v>6</v>
      </c>
      <c r="I88" t="str">
        <f>IFERROR(VLOOKUP(Table1[[#This Row],[Department]],Doctor_Info!A:D,2,FALSE), "")</f>
        <v>Dr. Kofi</v>
      </c>
      <c r="J88" t="str">
        <f>_xlfn.XLOOKUP(Table1[[#This Row],[Department]], Doctor_Info!A:A, Doctor_Info!C:C, "")&amp;""</f>
        <v>102</v>
      </c>
    </row>
    <row r="89" spans="1:10" x14ac:dyDescent="0.2">
      <c r="A89" t="s">
        <v>101</v>
      </c>
      <c r="B89" s="3">
        <v>45325</v>
      </c>
      <c r="C89" s="3">
        <v>45337</v>
      </c>
      <c r="D89" t="s">
        <v>12</v>
      </c>
      <c r="E89">
        <v>4</v>
      </c>
      <c r="F89" t="s">
        <v>533</v>
      </c>
      <c r="G89" s="2">
        <v>79370</v>
      </c>
      <c r="H89" t="s">
        <v>8</v>
      </c>
      <c r="I89" t="str">
        <f>IFERROR(VLOOKUP(Table1[[#This Row],[Department]],Doctor_Info!A:D,2,FALSE), "")</f>
        <v>Dr. Temi</v>
      </c>
      <c r="J89" t="str">
        <f>_xlfn.XLOOKUP(Table1[[#This Row],[Department]], Doctor_Info!A:A, Doctor_Info!C:C, "")&amp;""</f>
        <v>502</v>
      </c>
    </row>
    <row r="90" spans="1:10" x14ac:dyDescent="0.2">
      <c r="A90" t="s">
        <v>102</v>
      </c>
      <c r="B90" s="3">
        <v>45327</v>
      </c>
      <c r="C90" s="3">
        <v>45328</v>
      </c>
      <c r="D90" t="s">
        <v>528</v>
      </c>
      <c r="E90">
        <v>6</v>
      </c>
      <c r="F90" t="s">
        <v>534</v>
      </c>
      <c r="G90" s="2">
        <v>80340</v>
      </c>
      <c r="H90" t="s">
        <v>6</v>
      </c>
      <c r="I90" t="str">
        <f>IFERROR(VLOOKUP(Table1[[#This Row],[Department]],Doctor_Info!A:D,2,FALSE), "")</f>
        <v>Dr. Kofi</v>
      </c>
      <c r="J90" t="str">
        <f>_xlfn.XLOOKUP(Table1[[#This Row],[Department]], Doctor_Info!A:A, Doctor_Info!C:C, "")&amp;""</f>
        <v>102</v>
      </c>
    </row>
    <row r="91" spans="1:10" x14ac:dyDescent="0.2">
      <c r="A91" t="s">
        <v>103</v>
      </c>
      <c r="B91" s="3">
        <v>45332</v>
      </c>
      <c r="D91" t="s">
        <v>10</v>
      </c>
      <c r="E91">
        <v>8</v>
      </c>
      <c r="F91" t="s">
        <v>534</v>
      </c>
      <c r="G91" s="2">
        <v>81310</v>
      </c>
      <c r="H91" t="s">
        <v>403</v>
      </c>
      <c r="I91" t="str">
        <f>IFERROR(VLOOKUP(Table1[[#This Row],[Department]],Doctor_Info!A:D,2,FALSE), "")</f>
        <v>Dr. George</v>
      </c>
      <c r="J91" t="str">
        <f>_xlfn.XLOOKUP(Table1[[#This Row],[Department]], Doctor_Info!A:A, Doctor_Info!C:C, "")&amp;""</f>
        <v>405</v>
      </c>
    </row>
    <row r="92" spans="1:10" x14ac:dyDescent="0.2">
      <c r="A92" t="s">
        <v>104</v>
      </c>
      <c r="B92" s="3">
        <v>45319</v>
      </c>
      <c r="C92" s="3">
        <v>45327</v>
      </c>
      <c r="D92" t="s">
        <v>7</v>
      </c>
      <c r="E92">
        <v>10</v>
      </c>
      <c r="F92" t="s">
        <v>533</v>
      </c>
      <c r="G92" s="2">
        <v>82280</v>
      </c>
      <c r="H92" t="s">
        <v>8</v>
      </c>
      <c r="I92" t="str">
        <f>IFERROR(VLOOKUP(Table1[[#This Row],[Department]],Doctor_Info!A:D,2,FALSE), "")</f>
        <v>Dr. Ada</v>
      </c>
      <c r="J92" t="str">
        <f>_xlfn.XLOOKUP(Table1[[#This Row],[Department]], Doctor_Info!A:A, Doctor_Info!C:C, "")&amp;""</f>
        <v>301</v>
      </c>
    </row>
    <row r="93" spans="1:10" x14ac:dyDescent="0.2">
      <c r="A93" t="s">
        <v>105</v>
      </c>
      <c r="B93" s="3">
        <v>45323</v>
      </c>
      <c r="C93" s="3">
        <v>45324</v>
      </c>
      <c r="D93" t="s">
        <v>528</v>
      </c>
      <c r="E93">
        <v>12</v>
      </c>
      <c r="F93" t="s">
        <v>534</v>
      </c>
      <c r="G93" s="2">
        <v>83250</v>
      </c>
      <c r="H93" t="s">
        <v>6</v>
      </c>
      <c r="I93" t="str">
        <f>IFERROR(VLOOKUP(Table1[[#This Row],[Department]],Doctor_Info!A:D,2,FALSE), "")</f>
        <v>Dr. Kofi</v>
      </c>
      <c r="J93" t="str">
        <f>_xlfn.XLOOKUP(Table1[[#This Row],[Department]], Doctor_Info!A:A, Doctor_Info!C:C, "")&amp;""</f>
        <v>102</v>
      </c>
    </row>
    <row r="94" spans="1:10" x14ac:dyDescent="0.2">
      <c r="A94" t="s">
        <v>106</v>
      </c>
      <c r="B94" s="3">
        <v>45325</v>
      </c>
      <c r="C94" s="3">
        <v>45337</v>
      </c>
      <c r="D94" t="s">
        <v>12</v>
      </c>
      <c r="E94">
        <v>14</v>
      </c>
      <c r="F94" t="s">
        <v>533</v>
      </c>
      <c r="G94" s="2">
        <v>84220</v>
      </c>
      <c r="H94" t="s">
        <v>8</v>
      </c>
      <c r="I94" t="str">
        <f>IFERROR(VLOOKUP(Table1[[#This Row],[Department]],Doctor_Info!A:D,2,FALSE), "")</f>
        <v>Dr. Temi</v>
      </c>
      <c r="J94" t="str">
        <f>_xlfn.XLOOKUP(Table1[[#This Row],[Department]], Doctor_Info!A:A, Doctor_Info!C:C, "")&amp;""</f>
        <v>502</v>
      </c>
    </row>
    <row r="95" spans="1:10" x14ac:dyDescent="0.2">
      <c r="A95" t="s">
        <v>107</v>
      </c>
      <c r="B95" s="3">
        <v>45327</v>
      </c>
      <c r="C95" s="3">
        <v>45328</v>
      </c>
      <c r="D95" t="s">
        <v>528</v>
      </c>
      <c r="E95">
        <v>16</v>
      </c>
      <c r="F95" t="s">
        <v>534</v>
      </c>
      <c r="G95" s="2">
        <v>85190</v>
      </c>
      <c r="H95" t="s">
        <v>6</v>
      </c>
      <c r="I95" t="str">
        <f>IFERROR(VLOOKUP(Table1[[#This Row],[Department]],Doctor_Info!A:D,2,FALSE), "")</f>
        <v>Dr. Kofi</v>
      </c>
      <c r="J95" t="str">
        <f>_xlfn.XLOOKUP(Table1[[#This Row],[Department]], Doctor_Info!A:A, Doctor_Info!C:C, "")&amp;""</f>
        <v>102</v>
      </c>
    </row>
    <row r="96" spans="1:10" x14ac:dyDescent="0.2">
      <c r="A96" t="s">
        <v>108</v>
      </c>
      <c r="B96" s="3">
        <v>45332</v>
      </c>
      <c r="D96" t="s">
        <v>10</v>
      </c>
      <c r="E96">
        <v>18</v>
      </c>
      <c r="F96" t="s">
        <v>534</v>
      </c>
      <c r="G96" s="2">
        <v>86160</v>
      </c>
      <c r="H96" t="s">
        <v>403</v>
      </c>
      <c r="I96" t="str">
        <f>IFERROR(VLOOKUP(Table1[[#This Row],[Department]],Doctor_Info!A:D,2,FALSE), "")</f>
        <v>Dr. George</v>
      </c>
      <c r="J96" t="str">
        <f>_xlfn.XLOOKUP(Table1[[#This Row],[Department]], Doctor_Info!A:A, Doctor_Info!C:C, "")&amp;""</f>
        <v>405</v>
      </c>
    </row>
    <row r="97" spans="1:10" x14ac:dyDescent="0.2">
      <c r="A97" t="s">
        <v>109</v>
      </c>
      <c r="B97" s="3">
        <v>45319</v>
      </c>
      <c r="C97" s="3">
        <v>45327</v>
      </c>
      <c r="D97" t="s">
        <v>7</v>
      </c>
      <c r="E97">
        <v>20</v>
      </c>
      <c r="F97" t="s">
        <v>533</v>
      </c>
      <c r="G97" s="2">
        <v>87130</v>
      </c>
      <c r="H97" t="s">
        <v>8</v>
      </c>
      <c r="I97" t="str">
        <f>IFERROR(VLOOKUP(Table1[[#This Row],[Department]],Doctor_Info!A:D,2,FALSE), "")</f>
        <v>Dr. Ada</v>
      </c>
      <c r="J97" t="str">
        <f>_xlfn.XLOOKUP(Table1[[#This Row],[Department]], Doctor_Info!A:A, Doctor_Info!C:C, "")&amp;""</f>
        <v>301</v>
      </c>
    </row>
    <row r="98" spans="1:10" x14ac:dyDescent="0.2">
      <c r="A98" t="s">
        <v>110</v>
      </c>
      <c r="B98" s="3">
        <v>45323</v>
      </c>
      <c r="C98" s="3">
        <v>45324</v>
      </c>
      <c r="D98" t="s">
        <v>528</v>
      </c>
      <c r="E98">
        <v>22</v>
      </c>
      <c r="F98" t="s">
        <v>534</v>
      </c>
      <c r="G98" s="2">
        <v>88100</v>
      </c>
      <c r="H98" t="s">
        <v>6</v>
      </c>
      <c r="I98" t="str">
        <f>IFERROR(VLOOKUP(Table1[[#This Row],[Department]],Doctor_Info!A:D,2,FALSE), "")</f>
        <v>Dr. Kofi</v>
      </c>
      <c r="J98" t="str">
        <f>_xlfn.XLOOKUP(Table1[[#This Row],[Department]], Doctor_Info!A:A, Doctor_Info!C:C, "")&amp;""</f>
        <v>102</v>
      </c>
    </row>
    <row r="99" spans="1:10" x14ac:dyDescent="0.2">
      <c r="A99" t="s">
        <v>111</v>
      </c>
      <c r="B99" s="3">
        <v>45325</v>
      </c>
      <c r="C99" s="3">
        <v>45337</v>
      </c>
      <c r="D99" t="s">
        <v>12</v>
      </c>
      <c r="E99">
        <v>24</v>
      </c>
      <c r="F99" t="s">
        <v>533</v>
      </c>
      <c r="G99" s="2">
        <v>89070</v>
      </c>
      <c r="H99" t="s">
        <v>8</v>
      </c>
      <c r="I99" t="str">
        <f>IFERROR(VLOOKUP(Table1[[#This Row],[Department]],Doctor_Info!A:D,2,FALSE), "")</f>
        <v>Dr. Temi</v>
      </c>
      <c r="J99" t="str">
        <f>_xlfn.XLOOKUP(Table1[[#This Row],[Department]], Doctor_Info!A:A, Doctor_Info!C:C, "")&amp;""</f>
        <v>502</v>
      </c>
    </row>
    <row r="100" spans="1:10" x14ac:dyDescent="0.2">
      <c r="A100" t="s">
        <v>112</v>
      </c>
      <c r="B100" s="3">
        <v>45327</v>
      </c>
      <c r="C100" s="3">
        <v>45328</v>
      </c>
      <c r="D100" t="s">
        <v>528</v>
      </c>
      <c r="E100">
        <v>26</v>
      </c>
      <c r="F100" t="s">
        <v>534</v>
      </c>
      <c r="G100" s="2">
        <v>90040</v>
      </c>
      <c r="H100" t="s">
        <v>6</v>
      </c>
      <c r="I100" t="str">
        <f>IFERROR(VLOOKUP(Table1[[#This Row],[Department]],Doctor_Info!A:D,2,FALSE), "")</f>
        <v>Dr. Kofi</v>
      </c>
      <c r="J100" t="str">
        <f>_xlfn.XLOOKUP(Table1[[#This Row],[Department]], Doctor_Info!A:A, Doctor_Info!C:C, "")&amp;""</f>
        <v>102</v>
      </c>
    </row>
    <row r="101" spans="1:10" x14ac:dyDescent="0.2">
      <c r="A101" t="s">
        <v>113</v>
      </c>
      <c r="B101" s="3">
        <v>45332</v>
      </c>
      <c r="D101" t="s">
        <v>10</v>
      </c>
      <c r="E101">
        <v>28</v>
      </c>
      <c r="F101" t="s">
        <v>534</v>
      </c>
      <c r="G101" s="2">
        <v>91010</v>
      </c>
      <c r="H101" t="s">
        <v>403</v>
      </c>
      <c r="I101" t="str">
        <f>IFERROR(VLOOKUP(Table1[[#This Row],[Department]],Doctor_Info!A:D,2,FALSE), "")</f>
        <v>Dr. George</v>
      </c>
      <c r="J101" t="str">
        <f>_xlfn.XLOOKUP(Table1[[#This Row],[Department]], Doctor_Info!A:A, Doctor_Info!C:C, "")&amp;""</f>
        <v>405</v>
      </c>
    </row>
    <row r="102" spans="1:10" x14ac:dyDescent="0.2">
      <c r="A102" t="s">
        <v>114</v>
      </c>
      <c r="B102" s="3">
        <v>45319</v>
      </c>
      <c r="C102" s="3">
        <v>45327</v>
      </c>
      <c r="D102" t="s">
        <v>7</v>
      </c>
      <c r="E102">
        <v>30</v>
      </c>
      <c r="F102" t="s">
        <v>533</v>
      </c>
      <c r="G102" s="2">
        <v>91979.999999999898</v>
      </c>
      <c r="H102" t="s">
        <v>8</v>
      </c>
      <c r="I102" t="str">
        <f>IFERROR(VLOOKUP(Table1[[#This Row],[Department]],Doctor_Info!A:D,2,FALSE), "")</f>
        <v>Dr. Ada</v>
      </c>
      <c r="J102" t="str">
        <f>_xlfn.XLOOKUP(Table1[[#This Row],[Department]], Doctor_Info!A:A, Doctor_Info!C:C, "")&amp;""</f>
        <v>301</v>
      </c>
    </row>
    <row r="103" spans="1:10" x14ac:dyDescent="0.2">
      <c r="A103" t="s">
        <v>115</v>
      </c>
      <c r="B103" s="3">
        <v>45323</v>
      </c>
      <c r="C103" s="3">
        <v>45324</v>
      </c>
      <c r="D103" t="s">
        <v>528</v>
      </c>
      <c r="E103">
        <v>32</v>
      </c>
      <c r="F103" t="s">
        <v>534</v>
      </c>
      <c r="G103" s="2">
        <v>92949.999999999898</v>
      </c>
      <c r="H103" t="s">
        <v>6</v>
      </c>
      <c r="I103" t="str">
        <f>IFERROR(VLOOKUP(Table1[[#This Row],[Department]],Doctor_Info!A:D,2,FALSE), "")</f>
        <v>Dr. Kofi</v>
      </c>
      <c r="J103" t="str">
        <f>_xlfn.XLOOKUP(Table1[[#This Row],[Department]], Doctor_Info!A:A, Doctor_Info!C:C, "")&amp;""</f>
        <v>102</v>
      </c>
    </row>
    <row r="104" spans="1:10" x14ac:dyDescent="0.2">
      <c r="A104" t="s">
        <v>116</v>
      </c>
      <c r="B104" s="3">
        <v>45325</v>
      </c>
      <c r="C104" s="3">
        <v>45337</v>
      </c>
      <c r="D104" t="s">
        <v>12</v>
      </c>
      <c r="E104">
        <v>34</v>
      </c>
      <c r="F104" t="s">
        <v>533</v>
      </c>
      <c r="G104" s="2">
        <v>93919.999999999898</v>
      </c>
      <c r="H104" t="s">
        <v>8</v>
      </c>
      <c r="I104" t="str">
        <f>IFERROR(VLOOKUP(Table1[[#This Row],[Department]],Doctor_Info!A:D,2,FALSE), "")</f>
        <v>Dr. Temi</v>
      </c>
      <c r="J104" t="str">
        <f>_xlfn.XLOOKUP(Table1[[#This Row],[Department]], Doctor_Info!A:A, Doctor_Info!C:C, "")&amp;""</f>
        <v>502</v>
      </c>
    </row>
    <row r="105" spans="1:10" x14ac:dyDescent="0.2">
      <c r="A105" t="s">
        <v>117</v>
      </c>
      <c r="B105" s="3">
        <v>45327</v>
      </c>
      <c r="C105" s="3">
        <v>45328</v>
      </c>
      <c r="D105" t="s">
        <v>528</v>
      </c>
      <c r="E105">
        <v>36</v>
      </c>
      <c r="F105" t="s">
        <v>534</v>
      </c>
      <c r="G105" s="2">
        <v>94889.999999999898</v>
      </c>
      <c r="H105" t="s">
        <v>6</v>
      </c>
      <c r="I105" t="str">
        <f>IFERROR(VLOOKUP(Table1[[#This Row],[Department]],Doctor_Info!A:D,2,FALSE), "")</f>
        <v>Dr. Kofi</v>
      </c>
      <c r="J105" t="str">
        <f>_xlfn.XLOOKUP(Table1[[#This Row],[Department]], Doctor_Info!A:A, Doctor_Info!C:C, "")&amp;""</f>
        <v>102</v>
      </c>
    </row>
    <row r="106" spans="1:10" x14ac:dyDescent="0.2">
      <c r="A106" t="s">
        <v>118</v>
      </c>
      <c r="B106" s="3">
        <v>45332</v>
      </c>
      <c r="D106" t="s">
        <v>10</v>
      </c>
      <c r="E106">
        <v>38</v>
      </c>
      <c r="F106" t="s">
        <v>534</v>
      </c>
      <c r="G106" s="2">
        <v>95859.999999999898</v>
      </c>
      <c r="H106" t="s">
        <v>403</v>
      </c>
      <c r="I106" t="str">
        <f>IFERROR(VLOOKUP(Table1[[#This Row],[Department]],Doctor_Info!A:D,2,FALSE), "")</f>
        <v>Dr. George</v>
      </c>
      <c r="J106" t="str">
        <f>_xlfn.XLOOKUP(Table1[[#This Row],[Department]], Doctor_Info!A:A, Doctor_Info!C:C, "")&amp;""</f>
        <v>405</v>
      </c>
    </row>
    <row r="107" spans="1:10" x14ac:dyDescent="0.2">
      <c r="A107" t="s">
        <v>119</v>
      </c>
      <c r="B107" s="3">
        <v>45319</v>
      </c>
      <c r="C107" s="3">
        <v>45327</v>
      </c>
      <c r="D107" t="s">
        <v>7</v>
      </c>
      <c r="E107">
        <v>40</v>
      </c>
      <c r="F107" t="s">
        <v>533</v>
      </c>
      <c r="G107" s="2">
        <v>96829.999999999898</v>
      </c>
      <c r="H107" t="s">
        <v>8</v>
      </c>
      <c r="I107" t="str">
        <f>IFERROR(VLOOKUP(Table1[[#This Row],[Department]],Doctor_Info!A:D,2,FALSE), "")</f>
        <v>Dr. Ada</v>
      </c>
      <c r="J107" t="str">
        <f>_xlfn.XLOOKUP(Table1[[#This Row],[Department]], Doctor_Info!A:A, Doctor_Info!C:C, "")&amp;""</f>
        <v>301</v>
      </c>
    </row>
    <row r="108" spans="1:10" x14ac:dyDescent="0.2">
      <c r="A108" t="s">
        <v>120</v>
      </c>
      <c r="B108" s="3">
        <v>45323</v>
      </c>
      <c r="C108" s="3">
        <v>45324</v>
      </c>
      <c r="D108" t="s">
        <v>528</v>
      </c>
      <c r="E108">
        <v>42</v>
      </c>
      <c r="F108" t="s">
        <v>534</v>
      </c>
      <c r="G108" s="2">
        <v>97799.999999999898</v>
      </c>
      <c r="H108" t="s">
        <v>6</v>
      </c>
      <c r="I108" t="str">
        <f>IFERROR(VLOOKUP(Table1[[#This Row],[Department]],Doctor_Info!A:D,2,FALSE), "")</f>
        <v>Dr. Kofi</v>
      </c>
      <c r="J108" t="str">
        <f>_xlfn.XLOOKUP(Table1[[#This Row],[Department]], Doctor_Info!A:A, Doctor_Info!C:C, "")&amp;""</f>
        <v>102</v>
      </c>
    </row>
    <row r="109" spans="1:10" x14ac:dyDescent="0.2">
      <c r="A109" t="s">
        <v>121</v>
      </c>
      <c r="B109" s="3">
        <v>45325</v>
      </c>
      <c r="C109" s="3">
        <v>45337</v>
      </c>
      <c r="D109" t="s">
        <v>12</v>
      </c>
      <c r="E109">
        <v>44</v>
      </c>
      <c r="F109" t="s">
        <v>533</v>
      </c>
      <c r="G109" s="2">
        <v>98769.999999999898</v>
      </c>
      <c r="H109" t="s">
        <v>8</v>
      </c>
      <c r="I109" t="str">
        <f>IFERROR(VLOOKUP(Table1[[#This Row],[Department]],Doctor_Info!A:D,2,FALSE), "")</f>
        <v>Dr. Temi</v>
      </c>
      <c r="J109" t="str">
        <f>_xlfn.XLOOKUP(Table1[[#This Row],[Department]], Doctor_Info!A:A, Doctor_Info!C:C, "")&amp;""</f>
        <v>502</v>
      </c>
    </row>
    <row r="110" spans="1:10" x14ac:dyDescent="0.2">
      <c r="A110" t="s">
        <v>122</v>
      </c>
      <c r="B110" s="3">
        <v>45327</v>
      </c>
      <c r="C110" s="3">
        <v>45328</v>
      </c>
      <c r="D110" t="s">
        <v>528</v>
      </c>
      <c r="E110">
        <v>46</v>
      </c>
      <c r="F110" t="s">
        <v>534</v>
      </c>
      <c r="G110" s="2">
        <v>99739.999999999898</v>
      </c>
      <c r="H110" t="s">
        <v>6</v>
      </c>
      <c r="I110" t="str">
        <f>IFERROR(VLOOKUP(Table1[[#This Row],[Department]],Doctor_Info!A:D,2,FALSE), "")</f>
        <v>Dr. Kofi</v>
      </c>
      <c r="J110" t="str">
        <f>_xlfn.XLOOKUP(Table1[[#This Row],[Department]], Doctor_Info!A:A, Doctor_Info!C:C, "")&amp;""</f>
        <v>102</v>
      </c>
    </row>
    <row r="111" spans="1:10" x14ac:dyDescent="0.2">
      <c r="A111" t="s">
        <v>124</v>
      </c>
      <c r="B111" s="3">
        <v>45323</v>
      </c>
      <c r="C111" s="3">
        <v>45324</v>
      </c>
      <c r="D111" t="s">
        <v>528</v>
      </c>
      <c r="E111">
        <v>52</v>
      </c>
      <c r="F111" t="s">
        <v>534</v>
      </c>
      <c r="G111" s="2">
        <v>102650</v>
      </c>
      <c r="H111" t="s">
        <v>6</v>
      </c>
      <c r="I111" t="str">
        <f>IFERROR(VLOOKUP(Table1[[#This Row],[Department]],Doctor_Info!A:D,2,FALSE), "")</f>
        <v>Dr. Kofi</v>
      </c>
      <c r="J111" t="str">
        <f>_xlfn.XLOOKUP(Table1[[#This Row],[Department]], Doctor_Info!A:A, Doctor_Info!C:C, "")&amp;""</f>
        <v>102</v>
      </c>
    </row>
    <row r="112" spans="1:10" x14ac:dyDescent="0.2">
      <c r="A112" t="s">
        <v>125</v>
      </c>
      <c r="B112" s="3">
        <v>45325</v>
      </c>
      <c r="C112" s="3">
        <v>45337</v>
      </c>
      <c r="D112" t="s">
        <v>12</v>
      </c>
      <c r="E112">
        <v>54</v>
      </c>
      <c r="F112" t="s">
        <v>533</v>
      </c>
      <c r="G112" s="2">
        <v>103620</v>
      </c>
      <c r="H112" t="s">
        <v>8</v>
      </c>
      <c r="I112" t="str">
        <f>IFERROR(VLOOKUP(Table1[[#This Row],[Department]],Doctor_Info!A:D,2,FALSE), "")</f>
        <v>Dr. Temi</v>
      </c>
      <c r="J112" t="str">
        <f>_xlfn.XLOOKUP(Table1[[#This Row],[Department]], Doctor_Info!A:A, Doctor_Info!C:C, "")&amp;""</f>
        <v>502</v>
      </c>
    </row>
    <row r="113" spans="1:10" x14ac:dyDescent="0.2">
      <c r="A113" t="s">
        <v>126</v>
      </c>
      <c r="B113" s="3">
        <v>45327</v>
      </c>
      <c r="C113" s="3">
        <v>45328</v>
      </c>
      <c r="D113" t="s">
        <v>528</v>
      </c>
      <c r="E113">
        <v>56</v>
      </c>
      <c r="F113" t="s">
        <v>534</v>
      </c>
      <c r="G113" s="2">
        <v>104590</v>
      </c>
      <c r="H113" t="s">
        <v>6</v>
      </c>
      <c r="I113" t="str">
        <f>IFERROR(VLOOKUP(Table1[[#This Row],[Department]],Doctor_Info!A:D,2,FALSE), "")</f>
        <v>Dr. Kofi</v>
      </c>
      <c r="J113" t="str">
        <f>_xlfn.XLOOKUP(Table1[[#This Row],[Department]], Doctor_Info!A:A, Doctor_Info!C:C, "")&amp;""</f>
        <v>102</v>
      </c>
    </row>
    <row r="114" spans="1:10" x14ac:dyDescent="0.2">
      <c r="A114" t="s">
        <v>127</v>
      </c>
      <c r="B114" s="3">
        <v>45332</v>
      </c>
      <c r="D114" t="s">
        <v>10</v>
      </c>
      <c r="E114">
        <v>58</v>
      </c>
      <c r="F114" t="s">
        <v>534</v>
      </c>
      <c r="G114" s="2">
        <v>105560</v>
      </c>
      <c r="H114" t="s">
        <v>403</v>
      </c>
      <c r="I114" t="str">
        <f>IFERROR(VLOOKUP(Table1[[#This Row],[Department]],Doctor_Info!A:D,2,FALSE), "")</f>
        <v>Dr. George</v>
      </c>
      <c r="J114" t="str">
        <f>_xlfn.XLOOKUP(Table1[[#This Row],[Department]], Doctor_Info!A:A, Doctor_Info!C:C, "")&amp;""</f>
        <v>405</v>
      </c>
    </row>
    <row r="115" spans="1:10" x14ac:dyDescent="0.2">
      <c r="A115" t="s">
        <v>128</v>
      </c>
      <c r="B115" s="3">
        <v>45319</v>
      </c>
      <c r="C115" s="3">
        <v>45327</v>
      </c>
      <c r="D115" t="s">
        <v>7</v>
      </c>
      <c r="E115">
        <v>60</v>
      </c>
      <c r="F115" t="s">
        <v>533</v>
      </c>
      <c r="G115" s="2">
        <v>106530</v>
      </c>
      <c r="H115" t="s">
        <v>8</v>
      </c>
      <c r="I115" t="str">
        <f>IFERROR(VLOOKUP(Table1[[#This Row],[Department]],Doctor_Info!A:D,2,FALSE), "")</f>
        <v>Dr. Ada</v>
      </c>
      <c r="J115" t="str">
        <f>_xlfn.XLOOKUP(Table1[[#This Row],[Department]], Doctor_Info!A:A, Doctor_Info!C:C, "")&amp;""</f>
        <v>301</v>
      </c>
    </row>
    <row r="116" spans="1:10" x14ac:dyDescent="0.2">
      <c r="A116" t="s">
        <v>129</v>
      </c>
      <c r="B116" s="3">
        <v>45323</v>
      </c>
      <c r="C116" s="3">
        <v>45324</v>
      </c>
      <c r="D116" t="s">
        <v>528</v>
      </c>
      <c r="E116">
        <v>62</v>
      </c>
      <c r="F116" t="s">
        <v>534</v>
      </c>
      <c r="G116" s="2">
        <v>107500</v>
      </c>
      <c r="H116" t="s">
        <v>6</v>
      </c>
      <c r="I116" t="str">
        <f>IFERROR(VLOOKUP(Table1[[#This Row],[Department]],Doctor_Info!A:D,2,FALSE), "")</f>
        <v>Dr. Kofi</v>
      </c>
      <c r="J116" t="str">
        <f>_xlfn.XLOOKUP(Table1[[#This Row],[Department]], Doctor_Info!A:A, Doctor_Info!C:C, "")&amp;""</f>
        <v>102</v>
      </c>
    </row>
    <row r="117" spans="1:10" x14ac:dyDescent="0.2">
      <c r="A117" t="s">
        <v>130</v>
      </c>
      <c r="B117" s="3">
        <v>45325</v>
      </c>
      <c r="C117" s="3">
        <v>45337</v>
      </c>
      <c r="D117" t="s">
        <v>12</v>
      </c>
      <c r="E117">
        <v>64</v>
      </c>
      <c r="F117" t="s">
        <v>533</v>
      </c>
      <c r="G117" s="2">
        <v>108470</v>
      </c>
      <c r="H117" t="s">
        <v>8</v>
      </c>
      <c r="I117" t="str">
        <f>IFERROR(VLOOKUP(Table1[[#This Row],[Department]],Doctor_Info!A:D,2,FALSE), "")</f>
        <v>Dr. Temi</v>
      </c>
      <c r="J117" t="str">
        <f>_xlfn.XLOOKUP(Table1[[#This Row],[Department]], Doctor_Info!A:A, Doctor_Info!C:C, "")&amp;""</f>
        <v>502</v>
      </c>
    </row>
    <row r="118" spans="1:10" x14ac:dyDescent="0.2">
      <c r="A118" t="s">
        <v>131</v>
      </c>
      <c r="B118" s="3">
        <v>45327</v>
      </c>
      <c r="C118" s="3">
        <v>45328</v>
      </c>
      <c r="D118" t="s">
        <v>528</v>
      </c>
      <c r="E118">
        <v>66</v>
      </c>
      <c r="F118" t="s">
        <v>534</v>
      </c>
      <c r="G118" s="2">
        <v>109440</v>
      </c>
      <c r="H118" t="s">
        <v>6</v>
      </c>
      <c r="I118" t="str">
        <f>IFERROR(VLOOKUP(Table1[[#This Row],[Department]],Doctor_Info!A:D,2,FALSE), "")</f>
        <v>Dr. Kofi</v>
      </c>
      <c r="J118" t="str">
        <f>_xlfn.XLOOKUP(Table1[[#This Row],[Department]], Doctor_Info!A:A, Doctor_Info!C:C, "")&amp;""</f>
        <v>102</v>
      </c>
    </row>
    <row r="119" spans="1:10" x14ac:dyDescent="0.2">
      <c r="A119" t="s">
        <v>132</v>
      </c>
      <c r="B119" s="3">
        <v>45332</v>
      </c>
      <c r="D119" t="s">
        <v>10</v>
      </c>
      <c r="E119">
        <v>68</v>
      </c>
      <c r="F119" t="s">
        <v>534</v>
      </c>
      <c r="G119" s="2">
        <v>110410</v>
      </c>
      <c r="H119" t="s">
        <v>403</v>
      </c>
      <c r="I119" t="str">
        <f>IFERROR(VLOOKUP(Table1[[#This Row],[Department]],Doctor_Info!A:D,2,FALSE), "")</f>
        <v>Dr. George</v>
      </c>
      <c r="J119" t="str">
        <f>_xlfn.XLOOKUP(Table1[[#This Row],[Department]], Doctor_Info!A:A, Doctor_Info!C:C, "")&amp;""</f>
        <v>405</v>
      </c>
    </row>
    <row r="120" spans="1:10" x14ac:dyDescent="0.2">
      <c r="A120" t="s">
        <v>133</v>
      </c>
      <c r="B120" s="3">
        <v>45319</v>
      </c>
      <c r="C120" s="3">
        <v>45327</v>
      </c>
      <c r="D120" t="s">
        <v>7</v>
      </c>
      <c r="E120">
        <v>70</v>
      </c>
      <c r="F120" t="s">
        <v>533</v>
      </c>
      <c r="G120" s="2">
        <v>111380</v>
      </c>
      <c r="H120" t="s">
        <v>8</v>
      </c>
      <c r="I120" t="str">
        <f>IFERROR(VLOOKUP(Table1[[#This Row],[Department]],Doctor_Info!A:D,2,FALSE), "")</f>
        <v>Dr. Ada</v>
      </c>
      <c r="J120" t="str">
        <f>_xlfn.XLOOKUP(Table1[[#This Row],[Department]], Doctor_Info!A:A, Doctor_Info!C:C, "")&amp;""</f>
        <v>301</v>
      </c>
    </row>
    <row r="121" spans="1:10" x14ac:dyDescent="0.2">
      <c r="A121" t="s">
        <v>134</v>
      </c>
      <c r="B121" s="3">
        <v>45323</v>
      </c>
      <c r="C121" s="3">
        <v>45324</v>
      </c>
      <c r="D121" t="s">
        <v>528</v>
      </c>
      <c r="E121">
        <v>72</v>
      </c>
      <c r="F121" t="s">
        <v>534</v>
      </c>
      <c r="G121" s="2">
        <v>112350</v>
      </c>
      <c r="H121" t="s">
        <v>6</v>
      </c>
      <c r="I121" t="str">
        <f>IFERROR(VLOOKUP(Table1[[#This Row],[Department]],Doctor_Info!A:D,2,FALSE), "")</f>
        <v>Dr. Kofi</v>
      </c>
      <c r="J121" t="str">
        <f>_xlfn.XLOOKUP(Table1[[#This Row],[Department]], Doctor_Info!A:A, Doctor_Info!C:C, "")&amp;""</f>
        <v>102</v>
      </c>
    </row>
    <row r="122" spans="1:10" x14ac:dyDescent="0.2">
      <c r="A122" t="s">
        <v>135</v>
      </c>
      <c r="B122" s="3">
        <v>45325</v>
      </c>
      <c r="C122" s="3">
        <v>45337</v>
      </c>
      <c r="D122" t="s">
        <v>12</v>
      </c>
      <c r="E122">
        <v>74</v>
      </c>
      <c r="F122" t="s">
        <v>533</v>
      </c>
      <c r="G122" s="2">
        <v>113320</v>
      </c>
      <c r="H122" t="s">
        <v>8</v>
      </c>
      <c r="I122" t="str">
        <f>IFERROR(VLOOKUP(Table1[[#This Row],[Department]],Doctor_Info!A:D,2,FALSE), "")</f>
        <v>Dr. Temi</v>
      </c>
      <c r="J122" t="str">
        <f>_xlfn.XLOOKUP(Table1[[#This Row],[Department]], Doctor_Info!A:A, Doctor_Info!C:C, "")&amp;""</f>
        <v>502</v>
      </c>
    </row>
    <row r="123" spans="1:10" x14ac:dyDescent="0.2">
      <c r="A123" t="s">
        <v>136</v>
      </c>
      <c r="B123" s="3">
        <v>45327</v>
      </c>
      <c r="C123" s="3">
        <v>45328</v>
      </c>
      <c r="D123" t="s">
        <v>528</v>
      </c>
      <c r="E123">
        <v>76</v>
      </c>
      <c r="F123" t="s">
        <v>534</v>
      </c>
      <c r="G123" s="2">
        <v>114290</v>
      </c>
      <c r="H123" t="s">
        <v>6</v>
      </c>
      <c r="I123" t="str">
        <f>IFERROR(VLOOKUP(Table1[[#This Row],[Department]],Doctor_Info!A:D,2,FALSE), "")</f>
        <v>Dr. Kofi</v>
      </c>
      <c r="J123" t="str">
        <f>_xlfn.XLOOKUP(Table1[[#This Row],[Department]], Doctor_Info!A:A, Doctor_Info!C:C, "")&amp;""</f>
        <v>102</v>
      </c>
    </row>
    <row r="124" spans="1:10" x14ac:dyDescent="0.2">
      <c r="A124" t="s">
        <v>137</v>
      </c>
      <c r="B124" s="3">
        <v>45332</v>
      </c>
      <c r="D124" t="s">
        <v>10</v>
      </c>
      <c r="E124">
        <v>78</v>
      </c>
      <c r="F124" t="s">
        <v>534</v>
      </c>
      <c r="G124" s="2">
        <v>115260</v>
      </c>
      <c r="H124" t="s">
        <v>403</v>
      </c>
      <c r="I124" t="str">
        <f>IFERROR(VLOOKUP(Table1[[#This Row],[Department]],Doctor_Info!A:D,2,FALSE), "")</f>
        <v>Dr. George</v>
      </c>
      <c r="J124" t="str">
        <f>_xlfn.XLOOKUP(Table1[[#This Row],[Department]], Doctor_Info!A:A, Doctor_Info!C:C, "")&amp;""</f>
        <v>405</v>
      </c>
    </row>
    <row r="125" spans="1:10" x14ac:dyDescent="0.2">
      <c r="A125" t="s">
        <v>138</v>
      </c>
      <c r="B125" s="3">
        <v>45319</v>
      </c>
      <c r="C125" s="3">
        <v>45327</v>
      </c>
      <c r="D125" t="s">
        <v>7</v>
      </c>
      <c r="E125">
        <v>80</v>
      </c>
      <c r="F125" t="s">
        <v>533</v>
      </c>
      <c r="G125" s="2">
        <v>116230</v>
      </c>
      <c r="H125" t="s">
        <v>8</v>
      </c>
      <c r="I125" t="str">
        <f>IFERROR(VLOOKUP(Table1[[#This Row],[Department]],Doctor_Info!A:D,2,FALSE), "")</f>
        <v>Dr. Ada</v>
      </c>
      <c r="J125" t="str">
        <f>_xlfn.XLOOKUP(Table1[[#This Row],[Department]], Doctor_Info!A:A, Doctor_Info!C:C, "")&amp;""</f>
        <v>301</v>
      </c>
    </row>
    <row r="126" spans="1:10" x14ac:dyDescent="0.2">
      <c r="A126" t="s">
        <v>139</v>
      </c>
      <c r="B126" s="3">
        <v>45323</v>
      </c>
      <c r="C126" s="3">
        <v>45324</v>
      </c>
      <c r="D126" t="s">
        <v>528</v>
      </c>
      <c r="E126">
        <v>82</v>
      </c>
      <c r="F126" t="s">
        <v>534</v>
      </c>
      <c r="G126" s="2">
        <v>117200</v>
      </c>
      <c r="H126" t="s">
        <v>6</v>
      </c>
      <c r="I126" t="str">
        <f>IFERROR(VLOOKUP(Table1[[#This Row],[Department]],Doctor_Info!A:D,2,FALSE), "")</f>
        <v>Dr. Kofi</v>
      </c>
      <c r="J126" t="str">
        <f>_xlfn.XLOOKUP(Table1[[#This Row],[Department]], Doctor_Info!A:A, Doctor_Info!C:C, "")&amp;""</f>
        <v>102</v>
      </c>
    </row>
    <row r="127" spans="1:10" x14ac:dyDescent="0.2">
      <c r="A127" t="s">
        <v>140</v>
      </c>
      <c r="B127" s="3">
        <v>45325</v>
      </c>
      <c r="C127" s="3">
        <v>45337</v>
      </c>
      <c r="D127" t="s">
        <v>12</v>
      </c>
      <c r="E127">
        <v>84</v>
      </c>
      <c r="F127" t="s">
        <v>533</v>
      </c>
      <c r="G127" s="2">
        <v>118170</v>
      </c>
      <c r="H127" t="s">
        <v>8</v>
      </c>
      <c r="I127" t="str">
        <f>IFERROR(VLOOKUP(Table1[[#This Row],[Department]],Doctor_Info!A:D,2,FALSE), "")</f>
        <v>Dr. Temi</v>
      </c>
      <c r="J127" t="str">
        <f>_xlfn.XLOOKUP(Table1[[#This Row],[Department]], Doctor_Info!A:A, Doctor_Info!C:C, "")&amp;""</f>
        <v>502</v>
      </c>
    </row>
    <row r="128" spans="1:10" x14ac:dyDescent="0.2">
      <c r="A128" t="s">
        <v>141</v>
      </c>
      <c r="B128" s="3">
        <v>45327</v>
      </c>
      <c r="C128" s="3">
        <v>45328</v>
      </c>
      <c r="D128" t="s">
        <v>528</v>
      </c>
      <c r="E128">
        <v>86</v>
      </c>
      <c r="F128" t="s">
        <v>534</v>
      </c>
      <c r="G128" s="2">
        <v>119140</v>
      </c>
      <c r="H128" t="s">
        <v>6</v>
      </c>
      <c r="I128" t="str">
        <f>IFERROR(VLOOKUP(Table1[[#This Row],[Department]],Doctor_Info!A:D,2,FALSE), "")</f>
        <v>Dr. Kofi</v>
      </c>
      <c r="J128" t="str">
        <f>_xlfn.XLOOKUP(Table1[[#This Row],[Department]], Doctor_Info!A:A, Doctor_Info!C:C, "")&amp;""</f>
        <v>102</v>
      </c>
    </row>
    <row r="129" spans="1:10" x14ac:dyDescent="0.2">
      <c r="A129" t="s">
        <v>142</v>
      </c>
      <c r="B129" s="3">
        <v>45332</v>
      </c>
      <c r="D129" t="s">
        <v>10</v>
      </c>
      <c r="E129">
        <v>88</v>
      </c>
      <c r="F129" t="s">
        <v>534</v>
      </c>
      <c r="G129" s="2">
        <v>120110</v>
      </c>
      <c r="H129" t="s">
        <v>403</v>
      </c>
      <c r="I129" t="str">
        <f>IFERROR(VLOOKUP(Table1[[#This Row],[Department]],Doctor_Info!A:D,2,FALSE), "")</f>
        <v>Dr. George</v>
      </c>
      <c r="J129" t="str">
        <f>_xlfn.XLOOKUP(Table1[[#This Row],[Department]], Doctor_Info!A:A, Doctor_Info!C:C, "")&amp;""</f>
        <v>405</v>
      </c>
    </row>
    <row r="130" spans="1:10" x14ac:dyDescent="0.2">
      <c r="A130" t="s">
        <v>143</v>
      </c>
      <c r="B130" s="3">
        <v>45319</v>
      </c>
      <c r="C130" s="3">
        <v>45327</v>
      </c>
      <c r="D130" t="s">
        <v>7</v>
      </c>
      <c r="E130">
        <v>90</v>
      </c>
      <c r="F130" t="s">
        <v>533</v>
      </c>
      <c r="G130" s="2">
        <v>121080</v>
      </c>
      <c r="H130" t="s">
        <v>8</v>
      </c>
      <c r="I130" t="str">
        <f>IFERROR(VLOOKUP(Table1[[#This Row],[Department]],Doctor_Info!A:D,2,FALSE), "")</f>
        <v>Dr. Ada</v>
      </c>
      <c r="J130" t="str">
        <f>_xlfn.XLOOKUP(Table1[[#This Row],[Department]], Doctor_Info!A:A, Doctor_Info!C:C, "")&amp;""</f>
        <v>301</v>
      </c>
    </row>
    <row r="131" spans="1:10" x14ac:dyDescent="0.2">
      <c r="A131" t="s">
        <v>144</v>
      </c>
      <c r="B131" s="3">
        <v>45323</v>
      </c>
      <c r="C131" s="3">
        <v>45324</v>
      </c>
      <c r="D131" t="s">
        <v>528</v>
      </c>
      <c r="E131">
        <v>92</v>
      </c>
      <c r="F131" t="s">
        <v>534</v>
      </c>
      <c r="G131" s="2">
        <v>122050</v>
      </c>
      <c r="H131" t="s">
        <v>6</v>
      </c>
      <c r="I131" t="str">
        <f>IFERROR(VLOOKUP(Table1[[#This Row],[Department]],Doctor_Info!A:D,2,FALSE), "")</f>
        <v>Dr. Kofi</v>
      </c>
      <c r="J131" t="str">
        <f>_xlfn.XLOOKUP(Table1[[#This Row],[Department]], Doctor_Info!A:A, Doctor_Info!C:C, "")&amp;""</f>
        <v>102</v>
      </c>
    </row>
    <row r="132" spans="1:10" x14ac:dyDescent="0.2">
      <c r="A132" t="s">
        <v>145</v>
      </c>
      <c r="B132" s="3">
        <v>45325</v>
      </c>
      <c r="C132" s="3">
        <v>45337</v>
      </c>
      <c r="D132" t="s">
        <v>12</v>
      </c>
      <c r="E132">
        <v>94</v>
      </c>
      <c r="F132" t="s">
        <v>533</v>
      </c>
      <c r="G132" s="2">
        <v>123020</v>
      </c>
      <c r="H132" t="s">
        <v>8</v>
      </c>
      <c r="I132" t="str">
        <f>IFERROR(VLOOKUP(Table1[[#This Row],[Department]],Doctor_Info!A:D,2,FALSE), "")</f>
        <v>Dr. Temi</v>
      </c>
      <c r="J132" t="str">
        <f>_xlfn.XLOOKUP(Table1[[#This Row],[Department]], Doctor_Info!A:A, Doctor_Info!C:C, "")&amp;""</f>
        <v>502</v>
      </c>
    </row>
    <row r="133" spans="1:10" x14ac:dyDescent="0.2">
      <c r="A133" t="s">
        <v>146</v>
      </c>
      <c r="B133" s="3">
        <v>45327</v>
      </c>
      <c r="C133" s="3">
        <v>45328</v>
      </c>
      <c r="D133" t="s">
        <v>528</v>
      </c>
      <c r="E133">
        <v>96</v>
      </c>
      <c r="F133" t="s">
        <v>534</v>
      </c>
      <c r="G133" s="2">
        <v>123990</v>
      </c>
      <c r="H133" t="s">
        <v>6</v>
      </c>
      <c r="I133" t="str">
        <f>IFERROR(VLOOKUP(Table1[[#This Row],[Department]],Doctor_Info!A:D,2,FALSE), "")</f>
        <v>Dr. Kofi</v>
      </c>
      <c r="J133" t="str">
        <f>_xlfn.XLOOKUP(Table1[[#This Row],[Department]], Doctor_Info!A:A, Doctor_Info!C:C, "")&amp;""</f>
        <v>102</v>
      </c>
    </row>
    <row r="134" spans="1:10" x14ac:dyDescent="0.2">
      <c r="A134" t="s">
        <v>147</v>
      </c>
      <c r="B134" s="3">
        <v>45332</v>
      </c>
      <c r="D134" t="s">
        <v>10</v>
      </c>
      <c r="E134">
        <v>98</v>
      </c>
      <c r="F134" t="s">
        <v>534</v>
      </c>
      <c r="G134" s="2">
        <v>124960</v>
      </c>
      <c r="H134" t="s">
        <v>403</v>
      </c>
      <c r="I134" t="str">
        <f>IFERROR(VLOOKUP(Table1[[#This Row],[Department]],Doctor_Info!A:D,2,FALSE), "")</f>
        <v>Dr. George</v>
      </c>
      <c r="J134" t="str">
        <f>_xlfn.XLOOKUP(Table1[[#This Row],[Department]], Doctor_Info!A:A, Doctor_Info!C:C, "")&amp;""</f>
        <v>405</v>
      </c>
    </row>
    <row r="135" spans="1:10" x14ac:dyDescent="0.2">
      <c r="A135" t="s">
        <v>148</v>
      </c>
      <c r="B135" s="3">
        <v>45319</v>
      </c>
      <c r="C135" s="3">
        <v>45327</v>
      </c>
      <c r="D135" t="s">
        <v>7</v>
      </c>
      <c r="E135">
        <v>100</v>
      </c>
      <c r="F135" t="s">
        <v>533</v>
      </c>
      <c r="G135" s="2">
        <v>125930</v>
      </c>
      <c r="H135" t="s">
        <v>8</v>
      </c>
      <c r="I135" t="str">
        <f>IFERROR(VLOOKUP(Table1[[#This Row],[Department]],Doctor_Info!A:D,2,FALSE), "")</f>
        <v>Dr. Ada</v>
      </c>
      <c r="J135" t="str">
        <f>_xlfn.XLOOKUP(Table1[[#This Row],[Department]], Doctor_Info!A:A, Doctor_Info!C:C, "")&amp;""</f>
        <v>301</v>
      </c>
    </row>
    <row r="136" spans="1:10" x14ac:dyDescent="0.2">
      <c r="A136" t="s">
        <v>149</v>
      </c>
      <c r="B136" s="3">
        <v>45323</v>
      </c>
      <c r="C136" s="3">
        <v>45324</v>
      </c>
      <c r="D136" t="s">
        <v>528</v>
      </c>
      <c r="E136">
        <v>2</v>
      </c>
      <c r="F136" t="s">
        <v>534</v>
      </c>
      <c r="G136" s="2">
        <v>126900</v>
      </c>
      <c r="H136" t="s">
        <v>6</v>
      </c>
      <c r="I136" t="str">
        <f>IFERROR(VLOOKUP(Table1[[#This Row],[Department]],Doctor_Info!A:D,2,FALSE), "")</f>
        <v>Dr. Kofi</v>
      </c>
      <c r="J136" t="str">
        <f>_xlfn.XLOOKUP(Table1[[#This Row],[Department]], Doctor_Info!A:A, Doctor_Info!C:C, "")&amp;""</f>
        <v>102</v>
      </c>
    </row>
    <row r="137" spans="1:10" x14ac:dyDescent="0.2">
      <c r="A137" t="s">
        <v>150</v>
      </c>
      <c r="B137" s="3">
        <v>45325</v>
      </c>
      <c r="C137" s="3">
        <v>45337</v>
      </c>
      <c r="D137" t="s">
        <v>12</v>
      </c>
      <c r="E137">
        <v>4</v>
      </c>
      <c r="F137" t="s">
        <v>533</v>
      </c>
      <c r="G137" s="2">
        <v>127870</v>
      </c>
      <c r="H137" t="s">
        <v>8</v>
      </c>
      <c r="I137" t="str">
        <f>IFERROR(VLOOKUP(Table1[[#This Row],[Department]],Doctor_Info!A:D,2,FALSE), "")</f>
        <v>Dr. Temi</v>
      </c>
      <c r="J137" t="str">
        <f>_xlfn.XLOOKUP(Table1[[#This Row],[Department]], Doctor_Info!A:A, Doctor_Info!C:C, "")&amp;""</f>
        <v>502</v>
      </c>
    </row>
    <row r="138" spans="1:10" x14ac:dyDescent="0.2">
      <c r="A138" t="s">
        <v>151</v>
      </c>
      <c r="B138" s="3">
        <v>45327</v>
      </c>
      <c r="C138" s="3">
        <v>45328</v>
      </c>
      <c r="D138" t="s">
        <v>528</v>
      </c>
      <c r="E138">
        <v>6</v>
      </c>
      <c r="F138" t="s">
        <v>534</v>
      </c>
      <c r="G138" s="2">
        <v>128840</v>
      </c>
      <c r="H138" t="s">
        <v>6</v>
      </c>
      <c r="I138" t="str">
        <f>IFERROR(VLOOKUP(Table1[[#This Row],[Department]],Doctor_Info!A:D,2,FALSE), "")</f>
        <v>Dr. Kofi</v>
      </c>
      <c r="J138" t="str">
        <f>_xlfn.XLOOKUP(Table1[[#This Row],[Department]], Doctor_Info!A:A, Doctor_Info!C:C, "")&amp;""</f>
        <v>102</v>
      </c>
    </row>
    <row r="139" spans="1:10" x14ac:dyDescent="0.2">
      <c r="A139" t="s">
        <v>152</v>
      </c>
      <c r="B139" s="3">
        <v>45332</v>
      </c>
      <c r="D139" t="s">
        <v>10</v>
      </c>
      <c r="E139">
        <v>8</v>
      </c>
      <c r="F139" t="s">
        <v>534</v>
      </c>
      <c r="G139" s="2">
        <v>129810</v>
      </c>
      <c r="H139" t="s">
        <v>403</v>
      </c>
      <c r="I139" t="str">
        <f>IFERROR(VLOOKUP(Table1[[#This Row],[Department]],Doctor_Info!A:D,2,FALSE), "")</f>
        <v>Dr. George</v>
      </c>
      <c r="J139" t="str">
        <f>_xlfn.XLOOKUP(Table1[[#This Row],[Department]], Doctor_Info!A:A, Doctor_Info!C:C, "")&amp;""</f>
        <v>405</v>
      </c>
    </row>
    <row r="140" spans="1:10" x14ac:dyDescent="0.2">
      <c r="A140" t="s">
        <v>153</v>
      </c>
      <c r="B140" s="3">
        <v>45319</v>
      </c>
      <c r="C140" s="3">
        <v>45327</v>
      </c>
      <c r="D140" t="s">
        <v>7</v>
      </c>
      <c r="E140">
        <v>10</v>
      </c>
      <c r="F140" t="s">
        <v>533</v>
      </c>
      <c r="G140" s="2">
        <v>130780</v>
      </c>
      <c r="H140" t="s">
        <v>8</v>
      </c>
      <c r="I140" t="str">
        <f>IFERROR(VLOOKUP(Table1[[#This Row],[Department]],Doctor_Info!A:D,2,FALSE), "")</f>
        <v>Dr. Ada</v>
      </c>
      <c r="J140" t="str">
        <f>_xlfn.XLOOKUP(Table1[[#This Row],[Department]], Doctor_Info!A:A, Doctor_Info!C:C, "")&amp;""</f>
        <v>301</v>
      </c>
    </row>
    <row r="141" spans="1:10" x14ac:dyDescent="0.2">
      <c r="A141" t="s">
        <v>154</v>
      </c>
      <c r="B141" s="3">
        <v>45323</v>
      </c>
      <c r="C141" s="3">
        <v>45324</v>
      </c>
      <c r="D141" t="s">
        <v>528</v>
      </c>
      <c r="E141">
        <v>12</v>
      </c>
      <c r="F141" t="s">
        <v>534</v>
      </c>
      <c r="G141" s="2">
        <v>131750</v>
      </c>
      <c r="H141" t="s">
        <v>6</v>
      </c>
      <c r="I141" t="str">
        <f>IFERROR(VLOOKUP(Table1[[#This Row],[Department]],Doctor_Info!A:D,2,FALSE), "")</f>
        <v>Dr. Kofi</v>
      </c>
      <c r="J141" t="str">
        <f>_xlfn.XLOOKUP(Table1[[#This Row],[Department]], Doctor_Info!A:A, Doctor_Info!C:C, "")&amp;""</f>
        <v>102</v>
      </c>
    </row>
    <row r="142" spans="1:10" x14ac:dyDescent="0.2">
      <c r="A142" t="s">
        <v>155</v>
      </c>
      <c r="B142" s="3">
        <v>45325</v>
      </c>
      <c r="C142" s="3">
        <v>45337</v>
      </c>
      <c r="D142" t="s">
        <v>12</v>
      </c>
      <c r="E142">
        <v>14</v>
      </c>
      <c r="F142" t="s">
        <v>533</v>
      </c>
      <c r="G142" s="2">
        <v>132720</v>
      </c>
      <c r="H142" t="s">
        <v>8</v>
      </c>
      <c r="I142" t="str">
        <f>IFERROR(VLOOKUP(Table1[[#This Row],[Department]],Doctor_Info!A:D,2,FALSE), "")</f>
        <v>Dr. Temi</v>
      </c>
      <c r="J142" t="str">
        <f>_xlfn.XLOOKUP(Table1[[#This Row],[Department]], Doctor_Info!A:A, Doctor_Info!C:C, "")&amp;""</f>
        <v>502</v>
      </c>
    </row>
    <row r="143" spans="1:10" x14ac:dyDescent="0.2">
      <c r="A143" t="s">
        <v>156</v>
      </c>
      <c r="B143" s="3">
        <v>45327</v>
      </c>
      <c r="C143" s="3">
        <v>45328</v>
      </c>
      <c r="D143" t="s">
        <v>528</v>
      </c>
      <c r="E143">
        <v>16</v>
      </c>
      <c r="F143" t="s">
        <v>534</v>
      </c>
      <c r="G143" s="2">
        <v>133690</v>
      </c>
      <c r="H143" t="s">
        <v>6</v>
      </c>
      <c r="I143" t="str">
        <f>IFERROR(VLOOKUP(Table1[[#This Row],[Department]],Doctor_Info!A:D,2,FALSE), "")</f>
        <v>Dr. Kofi</v>
      </c>
      <c r="J143" t="str">
        <f>_xlfn.XLOOKUP(Table1[[#This Row],[Department]], Doctor_Info!A:A, Doctor_Info!C:C, "")&amp;""</f>
        <v>102</v>
      </c>
    </row>
    <row r="144" spans="1:10" x14ac:dyDescent="0.2">
      <c r="A144" t="s">
        <v>157</v>
      </c>
      <c r="B144" s="3">
        <v>45332</v>
      </c>
      <c r="D144" t="s">
        <v>10</v>
      </c>
      <c r="E144">
        <v>18</v>
      </c>
      <c r="F144" t="s">
        <v>534</v>
      </c>
      <c r="G144" s="2">
        <v>134660</v>
      </c>
      <c r="H144" t="s">
        <v>403</v>
      </c>
      <c r="I144" t="str">
        <f>IFERROR(VLOOKUP(Table1[[#This Row],[Department]],Doctor_Info!A:D,2,FALSE), "")</f>
        <v>Dr. George</v>
      </c>
      <c r="J144" t="str">
        <f>_xlfn.XLOOKUP(Table1[[#This Row],[Department]], Doctor_Info!A:A, Doctor_Info!C:C, "")&amp;""</f>
        <v>405</v>
      </c>
    </row>
    <row r="145" spans="1:10" x14ac:dyDescent="0.2">
      <c r="A145" t="s">
        <v>158</v>
      </c>
      <c r="B145" s="3">
        <v>45319</v>
      </c>
      <c r="C145" s="3">
        <v>45327</v>
      </c>
      <c r="D145" t="s">
        <v>7</v>
      </c>
      <c r="E145">
        <v>20</v>
      </c>
      <c r="F145" t="s">
        <v>533</v>
      </c>
      <c r="G145" s="2">
        <v>135630</v>
      </c>
      <c r="H145" t="s">
        <v>8</v>
      </c>
      <c r="I145" t="str">
        <f>IFERROR(VLOOKUP(Table1[[#This Row],[Department]],Doctor_Info!A:D,2,FALSE), "")</f>
        <v>Dr. Ada</v>
      </c>
      <c r="J145" t="str">
        <f>_xlfn.XLOOKUP(Table1[[#This Row],[Department]], Doctor_Info!A:A, Doctor_Info!C:C, "")&amp;""</f>
        <v>301</v>
      </c>
    </row>
    <row r="146" spans="1:10" x14ac:dyDescent="0.2">
      <c r="A146" t="s">
        <v>159</v>
      </c>
      <c r="B146" s="3">
        <v>45323</v>
      </c>
      <c r="C146" s="3">
        <v>45324</v>
      </c>
      <c r="D146" t="s">
        <v>528</v>
      </c>
      <c r="E146">
        <v>22</v>
      </c>
      <c r="F146" t="s">
        <v>534</v>
      </c>
      <c r="G146" s="2">
        <v>136600</v>
      </c>
      <c r="H146" t="s">
        <v>6</v>
      </c>
      <c r="I146" t="str">
        <f>IFERROR(VLOOKUP(Table1[[#This Row],[Department]],Doctor_Info!A:D,2,FALSE), "")</f>
        <v>Dr. Kofi</v>
      </c>
      <c r="J146" t="str">
        <f>_xlfn.XLOOKUP(Table1[[#This Row],[Department]], Doctor_Info!A:A, Doctor_Info!C:C, "")&amp;""</f>
        <v>102</v>
      </c>
    </row>
    <row r="147" spans="1:10" x14ac:dyDescent="0.2">
      <c r="A147" t="s">
        <v>160</v>
      </c>
      <c r="B147" s="3">
        <v>45325</v>
      </c>
      <c r="C147" s="3">
        <v>45337</v>
      </c>
      <c r="D147" t="s">
        <v>12</v>
      </c>
      <c r="E147">
        <v>24</v>
      </c>
      <c r="F147" t="s">
        <v>533</v>
      </c>
      <c r="G147" s="2">
        <v>137570</v>
      </c>
      <c r="H147" t="s">
        <v>8</v>
      </c>
      <c r="I147" t="str">
        <f>IFERROR(VLOOKUP(Table1[[#This Row],[Department]],Doctor_Info!A:D,2,FALSE), "")</f>
        <v>Dr. Temi</v>
      </c>
      <c r="J147" t="str">
        <f>_xlfn.XLOOKUP(Table1[[#This Row],[Department]], Doctor_Info!A:A, Doctor_Info!C:C, "")&amp;""</f>
        <v>502</v>
      </c>
    </row>
    <row r="148" spans="1:10" x14ac:dyDescent="0.2">
      <c r="A148" t="s">
        <v>161</v>
      </c>
      <c r="B148" s="3">
        <v>45327</v>
      </c>
      <c r="C148" s="3">
        <v>45328</v>
      </c>
      <c r="D148" t="s">
        <v>528</v>
      </c>
      <c r="E148">
        <v>26</v>
      </c>
      <c r="F148" t="s">
        <v>534</v>
      </c>
      <c r="G148" s="2">
        <v>138540</v>
      </c>
      <c r="H148" t="s">
        <v>6</v>
      </c>
      <c r="I148" t="str">
        <f>IFERROR(VLOOKUP(Table1[[#This Row],[Department]],Doctor_Info!A:D,2,FALSE), "")</f>
        <v>Dr. Kofi</v>
      </c>
      <c r="J148" t="str">
        <f>_xlfn.XLOOKUP(Table1[[#This Row],[Department]], Doctor_Info!A:A, Doctor_Info!C:C, "")&amp;""</f>
        <v>102</v>
      </c>
    </row>
    <row r="149" spans="1:10" x14ac:dyDescent="0.2">
      <c r="A149" t="s">
        <v>162</v>
      </c>
      <c r="B149" s="3">
        <v>45332</v>
      </c>
      <c r="D149" t="s">
        <v>10</v>
      </c>
      <c r="E149">
        <v>28</v>
      </c>
      <c r="F149" t="s">
        <v>534</v>
      </c>
      <c r="G149" s="2">
        <v>139510</v>
      </c>
      <c r="H149" t="s">
        <v>403</v>
      </c>
      <c r="I149" t="str">
        <f>IFERROR(VLOOKUP(Table1[[#This Row],[Department]],Doctor_Info!A:D,2,FALSE), "")</f>
        <v>Dr. George</v>
      </c>
      <c r="J149" t="str">
        <f>_xlfn.XLOOKUP(Table1[[#This Row],[Department]], Doctor_Info!A:A, Doctor_Info!C:C, "")&amp;""</f>
        <v>405</v>
      </c>
    </row>
    <row r="150" spans="1:10" x14ac:dyDescent="0.2">
      <c r="A150" t="s">
        <v>163</v>
      </c>
      <c r="B150" s="3">
        <v>45319</v>
      </c>
      <c r="C150" s="3">
        <v>45327</v>
      </c>
      <c r="D150" t="s">
        <v>7</v>
      </c>
      <c r="E150">
        <v>30</v>
      </c>
      <c r="F150" t="s">
        <v>533</v>
      </c>
      <c r="G150" s="2">
        <v>140480</v>
      </c>
      <c r="H150" t="s">
        <v>8</v>
      </c>
      <c r="I150" t="str">
        <f>IFERROR(VLOOKUP(Table1[[#This Row],[Department]],Doctor_Info!A:D,2,FALSE), "")</f>
        <v>Dr. Ada</v>
      </c>
      <c r="J150" t="str">
        <f>_xlfn.XLOOKUP(Table1[[#This Row],[Department]], Doctor_Info!A:A, Doctor_Info!C:C, "")&amp;""</f>
        <v>301</v>
      </c>
    </row>
    <row r="151" spans="1:10" x14ac:dyDescent="0.2">
      <c r="A151" t="s">
        <v>164</v>
      </c>
      <c r="B151" s="3">
        <v>45323</v>
      </c>
      <c r="C151" s="3">
        <v>45324</v>
      </c>
      <c r="D151" t="s">
        <v>528</v>
      </c>
      <c r="E151">
        <v>32</v>
      </c>
      <c r="F151" t="s">
        <v>534</v>
      </c>
      <c r="G151" s="2">
        <v>141450</v>
      </c>
      <c r="H151" t="s">
        <v>6</v>
      </c>
      <c r="I151" t="str">
        <f>IFERROR(VLOOKUP(Table1[[#This Row],[Department]],Doctor_Info!A:D,2,FALSE), "")</f>
        <v>Dr. Kofi</v>
      </c>
      <c r="J151" t="str">
        <f>_xlfn.XLOOKUP(Table1[[#This Row],[Department]], Doctor_Info!A:A, Doctor_Info!C:C, "")&amp;""</f>
        <v>102</v>
      </c>
    </row>
    <row r="152" spans="1:10" x14ac:dyDescent="0.2">
      <c r="A152" t="s">
        <v>165</v>
      </c>
      <c r="B152" s="3">
        <v>45325</v>
      </c>
      <c r="C152" s="3">
        <v>45337</v>
      </c>
      <c r="D152" t="s">
        <v>12</v>
      </c>
      <c r="E152">
        <v>34</v>
      </c>
      <c r="F152" t="s">
        <v>533</v>
      </c>
      <c r="G152" s="2">
        <v>142420</v>
      </c>
      <c r="H152" t="s">
        <v>8</v>
      </c>
      <c r="I152" t="str">
        <f>IFERROR(VLOOKUP(Table1[[#This Row],[Department]],Doctor_Info!A:D,2,FALSE), "")</f>
        <v>Dr. Temi</v>
      </c>
      <c r="J152" t="str">
        <f>_xlfn.XLOOKUP(Table1[[#This Row],[Department]], Doctor_Info!A:A, Doctor_Info!C:C, "")&amp;""</f>
        <v>502</v>
      </c>
    </row>
    <row r="153" spans="1:10" x14ac:dyDescent="0.2">
      <c r="A153" t="s">
        <v>166</v>
      </c>
      <c r="B153" s="3">
        <v>45327</v>
      </c>
      <c r="C153" s="3">
        <v>45328</v>
      </c>
      <c r="D153" t="s">
        <v>528</v>
      </c>
      <c r="E153">
        <v>36</v>
      </c>
      <c r="F153" t="s">
        <v>534</v>
      </c>
      <c r="G153" s="2">
        <v>143390</v>
      </c>
      <c r="H153" t="s">
        <v>6</v>
      </c>
      <c r="I153" t="str">
        <f>IFERROR(VLOOKUP(Table1[[#This Row],[Department]],Doctor_Info!A:D,2,FALSE), "")</f>
        <v>Dr. Kofi</v>
      </c>
      <c r="J153" t="str">
        <f>_xlfn.XLOOKUP(Table1[[#This Row],[Department]], Doctor_Info!A:A, Doctor_Info!C:C, "")&amp;""</f>
        <v>102</v>
      </c>
    </row>
    <row r="154" spans="1:10" x14ac:dyDescent="0.2">
      <c r="A154" t="s">
        <v>167</v>
      </c>
      <c r="B154" s="3">
        <v>45332</v>
      </c>
      <c r="D154" t="s">
        <v>10</v>
      </c>
      <c r="E154">
        <v>38</v>
      </c>
      <c r="F154" t="s">
        <v>534</v>
      </c>
      <c r="G154" s="2">
        <v>144360</v>
      </c>
      <c r="H154" t="s">
        <v>403</v>
      </c>
      <c r="I154" t="str">
        <f>IFERROR(VLOOKUP(Table1[[#This Row],[Department]],Doctor_Info!A:D,2,FALSE), "")</f>
        <v>Dr. George</v>
      </c>
      <c r="J154" t="str">
        <f>_xlfn.XLOOKUP(Table1[[#This Row],[Department]], Doctor_Info!A:A, Doctor_Info!C:C, "")&amp;""</f>
        <v>405</v>
      </c>
    </row>
    <row r="155" spans="1:10" x14ac:dyDescent="0.2">
      <c r="A155" t="s">
        <v>168</v>
      </c>
      <c r="B155" s="3">
        <v>45319</v>
      </c>
      <c r="C155" s="3">
        <v>45327</v>
      </c>
      <c r="D155" t="s">
        <v>7</v>
      </c>
      <c r="E155">
        <v>40</v>
      </c>
      <c r="F155" t="s">
        <v>533</v>
      </c>
      <c r="G155" s="2">
        <v>145330</v>
      </c>
      <c r="H155" t="s">
        <v>8</v>
      </c>
      <c r="I155" t="str">
        <f>IFERROR(VLOOKUP(Table1[[#This Row],[Department]],Doctor_Info!A:D,2,FALSE), "")</f>
        <v>Dr. Ada</v>
      </c>
      <c r="J155" t="str">
        <f>_xlfn.XLOOKUP(Table1[[#This Row],[Department]], Doctor_Info!A:A, Doctor_Info!C:C, "")&amp;""</f>
        <v>301</v>
      </c>
    </row>
    <row r="156" spans="1:10" x14ac:dyDescent="0.2">
      <c r="A156" t="s">
        <v>169</v>
      </c>
      <c r="B156" s="3">
        <v>45323</v>
      </c>
      <c r="C156" s="3">
        <v>45324</v>
      </c>
      <c r="D156" t="s">
        <v>528</v>
      </c>
      <c r="E156">
        <v>42</v>
      </c>
      <c r="F156" t="s">
        <v>534</v>
      </c>
      <c r="G156" s="2">
        <v>146300</v>
      </c>
      <c r="H156" t="s">
        <v>6</v>
      </c>
      <c r="I156" t="str">
        <f>IFERROR(VLOOKUP(Table1[[#This Row],[Department]],Doctor_Info!A:D,2,FALSE), "")</f>
        <v>Dr. Kofi</v>
      </c>
      <c r="J156" t="str">
        <f>_xlfn.XLOOKUP(Table1[[#This Row],[Department]], Doctor_Info!A:A, Doctor_Info!C:C, "")&amp;""</f>
        <v>102</v>
      </c>
    </row>
    <row r="157" spans="1:10" x14ac:dyDescent="0.2">
      <c r="A157" t="s">
        <v>170</v>
      </c>
      <c r="B157" s="3">
        <v>45325</v>
      </c>
      <c r="C157" s="3">
        <v>45337</v>
      </c>
      <c r="D157" t="s">
        <v>12</v>
      </c>
      <c r="E157">
        <v>44</v>
      </c>
      <c r="F157" t="s">
        <v>533</v>
      </c>
      <c r="G157" s="2">
        <v>147270</v>
      </c>
      <c r="H157" t="s">
        <v>8</v>
      </c>
      <c r="I157" t="str">
        <f>IFERROR(VLOOKUP(Table1[[#This Row],[Department]],Doctor_Info!A:D,2,FALSE), "")</f>
        <v>Dr. Temi</v>
      </c>
      <c r="J157" t="str">
        <f>_xlfn.XLOOKUP(Table1[[#This Row],[Department]], Doctor_Info!A:A, Doctor_Info!C:C, "")&amp;""</f>
        <v>502</v>
      </c>
    </row>
    <row r="158" spans="1:10" x14ac:dyDescent="0.2">
      <c r="A158" t="s">
        <v>123</v>
      </c>
      <c r="B158" s="3">
        <v>45327</v>
      </c>
      <c r="C158" s="3">
        <v>45328</v>
      </c>
      <c r="D158" t="s">
        <v>528</v>
      </c>
      <c r="E158">
        <v>50</v>
      </c>
      <c r="F158" t="s">
        <v>534</v>
      </c>
      <c r="G158" s="2">
        <v>148240</v>
      </c>
      <c r="H158" t="s">
        <v>6</v>
      </c>
      <c r="I158" t="str">
        <f>IFERROR(VLOOKUP(Table1[[#This Row],[Department]],Doctor_Info!A:D,2,FALSE), "")</f>
        <v>Dr. Kofi</v>
      </c>
      <c r="J158" t="str">
        <f>_xlfn.XLOOKUP(Table1[[#This Row],[Department]], Doctor_Info!A:A, Doctor_Info!C:C, "")&amp;""</f>
        <v>102</v>
      </c>
    </row>
    <row r="159" spans="1:10" x14ac:dyDescent="0.2">
      <c r="A159" t="s">
        <v>171</v>
      </c>
      <c r="B159" s="3">
        <v>45332</v>
      </c>
      <c r="D159" t="s">
        <v>10</v>
      </c>
      <c r="E159">
        <v>48</v>
      </c>
      <c r="F159" t="s">
        <v>534</v>
      </c>
      <c r="G159" s="2">
        <v>149210</v>
      </c>
      <c r="H159" t="s">
        <v>403</v>
      </c>
      <c r="I159" t="str">
        <f>IFERROR(VLOOKUP(Table1[[#This Row],[Department]],Doctor_Info!A:D,2,FALSE), "")</f>
        <v>Dr. George</v>
      </c>
      <c r="J159" t="str">
        <f>_xlfn.XLOOKUP(Table1[[#This Row],[Department]], Doctor_Info!A:A, Doctor_Info!C:C, "")&amp;""</f>
        <v>405</v>
      </c>
    </row>
    <row r="160" spans="1:10" x14ac:dyDescent="0.2">
      <c r="A160" t="s">
        <v>172</v>
      </c>
      <c r="B160" s="3">
        <v>45319</v>
      </c>
      <c r="C160" s="3">
        <v>45327</v>
      </c>
      <c r="D160" t="s">
        <v>7</v>
      </c>
      <c r="E160">
        <v>50</v>
      </c>
      <c r="F160" t="s">
        <v>533</v>
      </c>
      <c r="G160" s="2">
        <v>150180</v>
      </c>
      <c r="H160" t="s">
        <v>8</v>
      </c>
      <c r="I160" t="str">
        <f>IFERROR(VLOOKUP(Table1[[#This Row],[Department]],Doctor_Info!A:D,2,FALSE), "")</f>
        <v>Dr. Ada</v>
      </c>
      <c r="J160" t="str">
        <f>_xlfn.XLOOKUP(Table1[[#This Row],[Department]], Doctor_Info!A:A, Doctor_Info!C:C, "")&amp;""</f>
        <v>301</v>
      </c>
    </row>
    <row r="161" spans="1:10" x14ac:dyDescent="0.2">
      <c r="A161" t="s">
        <v>173</v>
      </c>
      <c r="B161" s="3">
        <v>45323</v>
      </c>
      <c r="C161" s="3">
        <v>45324</v>
      </c>
      <c r="D161" t="s">
        <v>528</v>
      </c>
      <c r="E161">
        <v>52</v>
      </c>
      <c r="F161" t="s">
        <v>534</v>
      </c>
      <c r="G161" s="2">
        <v>151150</v>
      </c>
      <c r="H161" t="s">
        <v>6</v>
      </c>
      <c r="I161" t="str">
        <f>IFERROR(VLOOKUP(Table1[[#This Row],[Department]],Doctor_Info!A:D,2,FALSE), "")</f>
        <v>Dr. Kofi</v>
      </c>
      <c r="J161" t="str">
        <f>_xlfn.XLOOKUP(Table1[[#This Row],[Department]], Doctor_Info!A:A, Doctor_Info!C:C, "")&amp;""</f>
        <v>102</v>
      </c>
    </row>
    <row r="162" spans="1:10" x14ac:dyDescent="0.2">
      <c r="A162" t="s">
        <v>174</v>
      </c>
      <c r="B162" s="3">
        <v>45325</v>
      </c>
      <c r="C162" s="3">
        <v>45337</v>
      </c>
      <c r="D162" t="s">
        <v>12</v>
      </c>
      <c r="E162">
        <v>54</v>
      </c>
      <c r="F162" t="s">
        <v>533</v>
      </c>
      <c r="G162" s="2">
        <v>152120</v>
      </c>
      <c r="H162" t="s">
        <v>8</v>
      </c>
      <c r="I162" t="str">
        <f>IFERROR(VLOOKUP(Table1[[#This Row],[Department]],Doctor_Info!A:D,2,FALSE), "")</f>
        <v>Dr. Temi</v>
      </c>
      <c r="J162" t="str">
        <f>_xlfn.XLOOKUP(Table1[[#This Row],[Department]], Doctor_Info!A:A, Doctor_Info!C:C, "")&amp;""</f>
        <v>502</v>
      </c>
    </row>
    <row r="163" spans="1:10" x14ac:dyDescent="0.2">
      <c r="A163" t="s">
        <v>175</v>
      </c>
      <c r="B163" s="3">
        <v>45327</v>
      </c>
      <c r="C163" s="3">
        <v>45328</v>
      </c>
      <c r="D163" t="s">
        <v>528</v>
      </c>
      <c r="E163">
        <v>56</v>
      </c>
      <c r="F163" t="s">
        <v>534</v>
      </c>
      <c r="G163" s="2">
        <v>153090</v>
      </c>
      <c r="H163" t="s">
        <v>6</v>
      </c>
      <c r="I163" t="str">
        <f>IFERROR(VLOOKUP(Table1[[#This Row],[Department]],Doctor_Info!A:D,2,FALSE), "")</f>
        <v>Dr. Kofi</v>
      </c>
      <c r="J163" t="str">
        <f>_xlfn.XLOOKUP(Table1[[#This Row],[Department]], Doctor_Info!A:A, Doctor_Info!C:C, "")&amp;""</f>
        <v>102</v>
      </c>
    </row>
    <row r="164" spans="1:10" x14ac:dyDescent="0.2">
      <c r="A164" t="s">
        <v>176</v>
      </c>
      <c r="B164" s="3">
        <v>45332</v>
      </c>
      <c r="D164" t="s">
        <v>10</v>
      </c>
      <c r="E164">
        <v>58</v>
      </c>
      <c r="F164" t="s">
        <v>534</v>
      </c>
      <c r="G164" s="2">
        <v>154060</v>
      </c>
      <c r="H164" t="s">
        <v>403</v>
      </c>
      <c r="I164" t="str">
        <f>IFERROR(VLOOKUP(Table1[[#This Row],[Department]],Doctor_Info!A:D,2,FALSE), "")</f>
        <v>Dr. George</v>
      </c>
      <c r="J164" t="str">
        <f>_xlfn.XLOOKUP(Table1[[#This Row],[Department]], Doctor_Info!A:A, Doctor_Info!C:C, "")&amp;""</f>
        <v>405</v>
      </c>
    </row>
    <row r="165" spans="1:10" x14ac:dyDescent="0.2">
      <c r="A165" t="s">
        <v>177</v>
      </c>
      <c r="B165" s="3">
        <v>45319</v>
      </c>
      <c r="C165" s="3">
        <v>45327</v>
      </c>
      <c r="D165" t="s">
        <v>7</v>
      </c>
      <c r="E165">
        <v>60</v>
      </c>
      <c r="F165" t="s">
        <v>533</v>
      </c>
      <c r="G165" s="2">
        <v>155030</v>
      </c>
      <c r="H165" t="s">
        <v>8</v>
      </c>
      <c r="I165" t="str">
        <f>IFERROR(VLOOKUP(Table1[[#This Row],[Department]],Doctor_Info!A:D,2,FALSE), "")</f>
        <v>Dr. Ada</v>
      </c>
      <c r="J165" t="str">
        <f>_xlfn.XLOOKUP(Table1[[#This Row],[Department]], Doctor_Info!A:A, Doctor_Info!C:C, "")&amp;""</f>
        <v>301</v>
      </c>
    </row>
    <row r="166" spans="1:10" x14ac:dyDescent="0.2">
      <c r="A166" t="s">
        <v>178</v>
      </c>
      <c r="B166" s="3">
        <v>45323</v>
      </c>
      <c r="C166" s="3">
        <v>45324</v>
      </c>
      <c r="D166" t="s">
        <v>528</v>
      </c>
      <c r="E166">
        <v>62</v>
      </c>
      <c r="F166" t="s">
        <v>534</v>
      </c>
      <c r="G166" s="2">
        <v>156000</v>
      </c>
      <c r="H166" t="s">
        <v>6</v>
      </c>
      <c r="I166" t="str">
        <f>IFERROR(VLOOKUP(Table1[[#This Row],[Department]],Doctor_Info!A:D,2,FALSE), "")</f>
        <v>Dr. Kofi</v>
      </c>
      <c r="J166" t="str">
        <f>_xlfn.XLOOKUP(Table1[[#This Row],[Department]], Doctor_Info!A:A, Doctor_Info!C:C, "")&amp;""</f>
        <v>102</v>
      </c>
    </row>
    <row r="167" spans="1:10" x14ac:dyDescent="0.2">
      <c r="A167" t="s">
        <v>179</v>
      </c>
      <c r="B167" s="3">
        <v>45325</v>
      </c>
      <c r="C167" s="3">
        <v>45337</v>
      </c>
      <c r="D167" t="s">
        <v>12</v>
      </c>
      <c r="E167">
        <v>64</v>
      </c>
      <c r="F167" t="s">
        <v>533</v>
      </c>
      <c r="G167" s="2">
        <v>156970</v>
      </c>
      <c r="H167" t="s">
        <v>8</v>
      </c>
      <c r="I167" t="str">
        <f>IFERROR(VLOOKUP(Table1[[#This Row],[Department]],Doctor_Info!A:D,2,FALSE), "")</f>
        <v>Dr. Temi</v>
      </c>
      <c r="J167" t="str">
        <f>_xlfn.XLOOKUP(Table1[[#This Row],[Department]], Doctor_Info!A:A, Doctor_Info!C:C, "")&amp;""</f>
        <v>502</v>
      </c>
    </row>
    <row r="168" spans="1:10" x14ac:dyDescent="0.2">
      <c r="A168" t="s">
        <v>180</v>
      </c>
      <c r="B168" s="3">
        <v>45327</v>
      </c>
      <c r="C168" s="3">
        <v>45328</v>
      </c>
      <c r="D168" t="s">
        <v>528</v>
      </c>
      <c r="E168">
        <v>66</v>
      </c>
      <c r="F168" t="s">
        <v>534</v>
      </c>
      <c r="G168" s="2">
        <v>157940</v>
      </c>
      <c r="H168" t="s">
        <v>6</v>
      </c>
      <c r="I168" t="str">
        <f>IFERROR(VLOOKUP(Table1[[#This Row],[Department]],Doctor_Info!A:D,2,FALSE), "")</f>
        <v>Dr. Kofi</v>
      </c>
      <c r="J168" t="str">
        <f>_xlfn.XLOOKUP(Table1[[#This Row],[Department]], Doctor_Info!A:A, Doctor_Info!C:C, "")&amp;""</f>
        <v>102</v>
      </c>
    </row>
    <row r="169" spans="1:10" x14ac:dyDescent="0.2">
      <c r="A169" t="s">
        <v>181</v>
      </c>
      <c r="B169" s="3">
        <v>45332</v>
      </c>
      <c r="D169" t="s">
        <v>10</v>
      </c>
      <c r="E169">
        <v>68</v>
      </c>
      <c r="F169" t="s">
        <v>534</v>
      </c>
      <c r="G169" s="2">
        <v>158910</v>
      </c>
      <c r="H169" t="s">
        <v>403</v>
      </c>
      <c r="I169" t="str">
        <f>IFERROR(VLOOKUP(Table1[[#This Row],[Department]],Doctor_Info!A:D,2,FALSE), "")</f>
        <v>Dr. George</v>
      </c>
      <c r="J169" t="str">
        <f>_xlfn.XLOOKUP(Table1[[#This Row],[Department]], Doctor_Info!A:A, Doctor_Info!C:C, "")&amp;""</f>
        <v>405</v>
      </c>
    </row>
    <row r="170" spans="1:10" x14ac:dyDescent="0.2">
      <c r="A170" t="s">
        <v>182</v>
      </c>
      <c r="B170" s="3">
        <v>45319</v>
      </c>
      <c r="C170" s="3">
        <v>45327</v>
      </c>
      <c r="D170" t="s">
        <v>7</v>
      </c>
      <c r="E170">
        <v>70</v>
      </c>
      <c r="F170" t="s">
        <v>533</v>
      </c>
      <c r="G170" s="2">
        <v>159880</v>
      </c>
      <c r="H170" t="s">
        <v>8</v>
      </c>
      <c r="I170" t="str">
        <f>IFERROR(VLOOKUP(Table1[[#This Row],[Department]],Doctor_Info!A:D,2,FALSE), "")</f>
        <v>Dr. Ada</v>
      </c>
      <c r="J170" t="str">
        <f>_xlfn.XLOOKUP(Table1[[#This Row],[Department]], Doctor_Info!A:A, Doctor_Info!C:C, "")&amp;""</f>
        <v>301</v>
      </c>
    </row>
    <row r="171" spans="1:10" x14ac:dyDescent="0.2">
      <c r="A171" t="s">
        <v>183</v>
      </c>
      <c r="B171" s="3">
        <v>45323</v>
      </c>
      <c r="C171" s="3">
        <v>45324</v>
      </c>
      <c r="D171" t="s">
        <v>528</v>
      </c>
      <c r="E171">
        <v>72</v>
      </c>
      <c r="F171" t="s">
        <v>534</v>
      </c>
      <c r="G171" s="2">
        <v>160850</v>
      </c>
      <c r="H171" t="s">
        <v>6</v>
      </c>
      <c r="I171" t="str">
        <f>IFERROR(VLOOKUP(Table1[[#This Row],[Department]],Doctor_Info!A:D,2,FALSE), "")</f>
        <v>Dr. Kofi</v>
      </c>
      <c r="J171" t="str">
        <f>_xlfn.XLOOKUP(Table1[[#This Row],[Department]], Doctor_Info!A:A, Doctor_Info!C:C, "")&amp;""</f>
        <v>102</v>
      </c>
    </row>
    <row r="172" spans="1:10" x14ac:dyDescent="0.2">
      <c r="A172" t="s">
        <v>184</v>
      </c>
      <c r="B172" s="3">
        <v>45325</v>
      </c>
      <c r="C172" s="3">
        <v>45337</v>
      </c>
      <c r="D172" t="s">
        <v>12</v>
      </c>
      <c r="E172">
        <v>74</v>
      </c>
      <c r="F172" t="s">
        <v>533</v>
      </c>
      <c r="G172" s="2">
        <v>161820</v>
      </c>
      <c r="H172" t="s">
        <v>8</v>
      </c>
      <c r="I172" t="str">
        <f>IFERROR(VLOOKUP(Table1[[#This Row],[Department]],Doctor_Info!A:D,2,FALSE), "")</f>
        <v>Dr. Temi</v>
      </c>
      <c r="J172" t="str">
        <f>_xlfn.XLOOKUP(Table1[[#This Row],[Department]], Doctor_Info!A:A, Doctor_Info!C:C, "")&amp;""</f>
        <v>502</v>
      </c>
    </row>
    <row r="173" spans="1:10" x14ac:dyDescent="0.2">
      <c r="A173" t="s">
        <v>185</v>
      </c>
      <c r="B173" s="3">
        <v>45327</v>
      </c>
      <c r="C173" s="3">
        <v>45328</v>
      </c>
      <c r="D173" t="s">
        <v>528</v>
      </c>
      <c r="E173">
        <v>76</v>
      </c>
      <c r="F173" t="s">
        <v>534</v>
      </c>
      <c r="G173" s="2">
        <v>162790</v>
      </c>
      <c r="H173" t="s">
        <v>6</v>
      </c>
      <c r="I173" t="str">
        <f>IFERROR(VLOOKUP(Table1[[#This Row],[Department]],Doctor_Info!A:D,2,FALSE), "")</f>
        <v>Dr. Kofi</v>
      </c>
      <c r="J173" t="str">
        <f>_xlfn.XLOOKUP(Table1[[#This Row],[Department]], Doctor_Info!A:A, Doctor_Info!C:C, "")&amp;""</f>
        <v>102</v>
      </c>
    </row>
    <row r="174" spans="1:10" x14ac:dyDescent="0.2">
      <c r="A174" t="s">
        <v>186</v>
      </c>
      <c r="B174" s="3">
        <v>45332</v>
      </c>
      <c r="D174" t="s">
        <v>10</v>
      </c>
      <c r="E174">
        <v>78</v>
      </c>
      <c r="F174" t="s">
        <v>534</v>
      </c>
      <c r="G174" s="2">
        <v>163760</v>
      </c>
      <c r="H174" t="s">
        <v>403</v>
      </c>
      <c r="I174" t="str">
        <f>IFERROR(VLOOKUP(Table1[[#This Row],[Department]],Doctor_Info!A:D,2,FALSE), "")</f>
        <v>Dr. George</v>
      </c>
      <c r="J174" t="str">
        <f>_xlfn.XLOOKUP(Table1[[#This Row],[Department]], Doctor_Info!A:A, Doctor_Info!C:C, "")&amp;""</f>
        <v>405</v>
      </c>
    </row>
    <row r="175" spans="1:10" x14ac:dyDescent="0.2">
      <c r="A175" t="s">
        <v>187</v>
      </c>
      <c r="B175" s="3">
        <v>45319</v>
      </c>
      <c r="C175" s="3">
        <v>45327</v>
      </c>
      <c r="D175" t="s">
        <v>7</v>
      </c>
      <c r="E175">
        <v>80</v>
      </c>
      <c r="F175" t="s">
        <v>533</v>
      </c>
      <c r="G175" s="2">
        <v>164730</v>
      </c>
      <c r="H175" t="s">
        <v>8</v>
      </c>
      <c r="I175" t="str">
        <f>IFERROR(VLOOKUP(Table1[[#This Row],[Department]],Doctor_Info!A:D,2,FALSE), "")</f>
        <v>Dr. Ada</v>
      </c>
      <c r="J175" t="str">
        <f>_xlfn.XLOOKUP(Table1[[#This Row],[Department]], Doctor_Info!A:A, Doctor_Info!C:C, "")&amp;""</f>
        <v>301</v>
      </c>
    </row>
    <row r="176" spans="1:10" x14ac:dyDescent="0.2">
      <c r="A176" t="s">
        <v>188</v>
      </c>
      <c r="B176" s="3">
        <v>45323</v>
      </c>
      <c r="C176" s="3">
        <v>45324</v>
      </c>
      <c r="D176" t="s">
        <v>528</v>
      </c>
      <c r="E176">
        <v>82</v>
      </c>
      <c r="F176" t="s">
        <v>534</v>
      </c>
      <c r="G176" s="2">
        <v>165700</v>
      </c>
      <c r="H176" t="s">
        <v>6</v>
      </c>
      <c r="I176" t="str">
        <f>IFERROR(VLOOKUP(Table1[[#This Row],[Department]],Doctor_Info!A:D,2,FALSE), "")</f>
        <v>Dr. Kofi</v>
      </c>
      <c r="J176" t="str">
        <f>_xlfn.XLOOKUP(Table1[[#This Row],[Department]], Doctor_Info!A:A, Doctor_Info!C:C, "")&amp;""</f>
        <v>102</v>
      </c>
    </row>
    <row r="177" spans="1:10" x14ac:dyDescent="0.2">
      <c r="A177" t="s">
        <v>189</v>
      </c>
      <c r="B177" s="3">
        <v>45325</v>
      </c>
      <c r="C177" s="3">
        <v>45337</v>
      </c>
      <c r="D177" t="s">
        <v>12</v>
      </c>
      <c r="E177">
        <v>84</v>
      </c>
      <c r="F177" t="s">
        <v>533</v>
      </c>
      <c r="G177" s="2">
        <v>166670</v>
      </c>
      <c r="H177" t="s">
        <v>8</v>
      </c>
      <c r="I177" t="str">
        <f>IFERROR(VLOOKUP(Table1[[#This Row],[Department]],Doctor_Info!A:D,2,FALSE), "")</f>
        <v>Dr. Temi</v>
      </c>
      <c r="J177" t="str">
        <f>_xlfn.XLOOKUP(Table1[[#This Row],[Department]], Doctor_Info!A:A, Doctor_Info!C:C, "")&amp;""</f>
        <v>502</v>
      </c>
    </row>
    <row r="178" spans="1:10" x14ac:dyDescent="0.2">
      <c r="A178" t="s">
        <v>190</v>
      </c>
      <c r="B178" s="3">
        <v>45327</v>
      </c>
      <c r="C178" s="3">
        <v>45328</v>
      </c>
      <c r="D178" t="s">
        <v>528</v>
      </c>
      <c r="E178">
        <v>86</v>
      </c>
      <c r="F178" t="s">
        <v>534</v>
      </c>
      <c r="G178" s="2">
        <v>167640</v>
      </c>
      <c r="H178" t="s">
        <v>6</v>
      </c>
      <c r="I178" t="str">
        <f>IFERROR(VLOOKUP(Table1[[#This Row],[Department]],Doctor_Info!A:D,2,FALSE), "")</f>
        <v>Dr. Kofi</v>
      </c>
      <c r="J178" t="str">
        <f>_xlfn.XLOOKUP(Table1[[#This Row],[Department]], Doctor_Info!A:A, Doctor_Info!C:C, "")&amp;""</f>
        <v>102</v>
      </c>
    </row>
    <row r="179" spans="1:10" x14ac:dyDescent="0.2">
      <c r="A179" t="s">
        <v>191</v>
      </c>
      <c r="B179" s="3">
        <v>45332</v>
      </c>
      <c r="D179" t="s">
        <v>10</v>
      </c>
      <c r="E179">
        <v>88</v>
      </c>
      <c r="F179" t="s">
        <v>534</v>
      </c>
      <c r="G179" s="2">
        <v>168610</v>
      </c>
      <c r="H179" t="s">
        <v>403</v>
      </c>
      <c r="I179" t="str">
        <f>IFERROR(VLOOKUP(Table1[[#This Row],[Department]],Doctor_Info!A:D,2,FALSE), "")</f>
        <v>Dr. George</v>
      </c>
      <c r="J179" t="str">
        <f>_xlfn.XLOOKUP(Table1[[#This Row],[Department]], Doctor_Info!A:A, Doctor_Info!C:C, "")&amp;""</f>
        <v>405</v>
      </c>
    </row>
    <row r="180" spans="1:10" x14ac:dyDescent="0.2">
      <c r="A180" t="s">
        <v>192</v>
      </c>
      <c r="B180" s="3">
        <v>45319</v>
      </c>
      <c r="C180" s="3">
        <v>45327</v>
      </c>
      <c r="D180" t="s">
        <v>7</v>
      </c>
      <c r="E180">
        <v>90</v>
      </c>
      <c r="F180" t="s">
        <v>533</v>
      </c>
      <c r="G180" s="2">
        <v>169580</v>
      </c>
      <c r="H180" t="s">
        <v>8</v>
      </c>
      <c r="I180" t="str">
        <f>IFERROR(VLOOKUP(Table1[[#This Row],[Department]],Doctor_Info!A:D,2,FALSE), "")</f>
        <v>Dr. Ada</v>
      </c>
      <c r="J180" t="str">
        <f>_xlfn.XLOOKUP(Table1[[#This Row],[Department]], Doctor_Info!A:A, Doctor_Info!C:C, "")&amp;""</f>
        <v>301</v>
      </c>
    </row>
    <row r="181" spans="1:10" x14ac:dyDescent="0.2">
      <c r="A181" t="s">
        <v>193</v>
      </c>
      <c r="B181" s="3">
        <v>45323</v>
      </c>
      <c r="C181" s="3">
        <v>45324</v>
      </c>
      <c r="D181" t="s">
        <v>528</v>
      </c>
      <c r="E181">
        <v>92</v>
      </c>
      <c r="F181" t="s">
        <v>534</v>
      </c>
      <c r="G181" s="2">
        <v>170550</v>
      </c>
      <c r="H181" t="s">
        <v>6</v>
      </c>
      <c r="I181" t="str">
        <f>IFERROR(VLOOKUP(Table1[[#This Row],[Department]],Doctor_Info!A:D,2,FALSE), "")</f>
        <v>Dr. Kofi</v>
      </c>
      <c r="J181" t="str">
        <f>_xlfn.XLOOKUP(Table1[[#This Row],[Department]], Doctor_Info!A:A, Doctor_Info!C:C, "")&amp;""</f>
        <v>102</v>
      </c>
    </row>
    <row r="182" spans="1:10" x14ac:dyDescent="0.2">
      <c r="A182" t="s">
        <v>194</v>
      </c>
      <c r="B182" s="3">
        <v>45325</v>
      </c>
      <c r="C182" s="3">
        <v>45337</v>
      </c>
      <c r="D182" t="s">
        <v>12</v>
      </c>
      <c r="E182">
        <v>94</v>
      </c>
      <c r="F182" t="s">
        <v>533</v>
      </c>
      <c r="G182" s="2">
        <v>171520</v>
      </c>
      <c r="H182" t="s">
        <v>8</v>
      </c>
      <c r="I182" t="str">
        <f>IFERROR(VLOOKUP(Table1[[#This Row],[Department]],Doctor_Info!A:D,2,FALSE), "")</f>
        <v>Dr. Temi</v>
      </c>
      <c r="J182" t="str">
        <f>_xlfn.XLOOKUP(Table1[[#This Row],[Department]], Doctor_Info!A:A, Doctor_Info!C:C, "")&amp;""</f>
        <v>502</v>
      </c>
    </row>
    <row r="183" spans="1:10" x14ac:dyDescent="0.2">
      <c r="A183" t="s">
        <v>195</v>
      </c>
      <c r="B183" s="3">
        <v>45327</v>
      </c>
      <c r="C183" s="3">
        <v>45328</v>
      </c>
      <c r="D183" t="s">
        <v>528</v>
      </c>
      <c r="E183">
        <v>96</v>
      </c>
      <c r="F183" t="s">
        <v>534</v>
      </c>
      <c r="G183" s="2">
        <v>172490</v>
      </c>
      <c r="H183" t="s">
        <v>6</v>
      </c>
      <c r="I183" t="str">
        <f>IFERROR(VLOOKUP(Table1[[#This Row],[Department]],Doctor_Info!A:D,2,FALSE), "")</f>
        <v>Dr. Kofi</v>
      </c>
      <c r="J183" t="str">
        <f>_xlfn.XLOOKUP(Table1[[#This Row],[Department]], Doctor_Info!A:A, Doctor_Info!C:C, "")&amp;""</f>
        <v>102</v>
      </c>
    </row>
    <row r="184" spans="1:10" x14ac:dyDescent="0.2">
      <c r="A184" t="s">
        <v>196</v>
      </c>
      <c r="B184" s="3">
        <v>45332</v>
      </c>
      <c r="D184" t="s">
        <v>10</v>
      </c>
      <c r="E184">
        <v>98</v>
      </c>
      <c r="F184" t="s">
        <v>534</v>
      </c>
      <c r="G184" s="2">
        <v>173460</v>
      </c>
      <c r="H184" t="s">
        <v>403</v>
      </c>
      <c r="I184" t="str">
        <f>IFERROR(VLOOKUP(Table1[[#This Row],[Department]],Doctor_Info!A:D,2,FALSE), "")</f>
        <v>Dr. George</v>
      </c>
      <c r="J184" t="str">
        <f>_xlfn.XLOOKUP(Table1[[#This Row],[Department]], Doctor_Info!A:A, Doctor_Info!C:C, "")&amp;""</f>
        <v>405</v>
      </c>
    </row>
    <row r="185" spans="1:10" x14ac:dyDescent="0.2">
      <c r="A185" t="s">
        <v>197</v>
      </c>
      <c r="B185" s="3">
        <v>45319</v>
      </c>
      <c r="C185" s="3">
        <v>45327</v>
      </c>
      <c r="D185" t="s">
        <v>7</v>
      </c>
      <c r="E185">
        <v>100</v>
      </c>
      <c r="F185" t="s">
        <v>533</v>
      </c>
      <c r="G185" s="2">
        <v>174430</v>
      </c>
      <c r="H185" t="s">
        <v>8</v>
      </c>
      <c r="I185" t="str">
        <f>IFERROR(VLOOKUP(Table1[[#This Row],[Department]],Doctor_Info!A:D,2,FALSE), "")</f>
        <v>Dr. Ada</v>
      </c>
      <c r="J185" t="str">
        <f>_xlfn.XLOOKUP(Table1[[#This Row],[Department]], Doctor_Info!A:A, Doctor_Info!C:C, "")&amp;""</f>
        <v>301</v>
      </c>
    </row>
    <row r="186" spans="1:10" x14ac:dyDescent="0.2">
      <c r="A186" t="s">
        <v>198</v>
      </c>
      <c r="B186" s="3">
        <v>45323</v>
      </c>
      <c r="C186" s="3">
        <v>45324</v>
      </c>
      <c r="D186" t="s">
        <v>528</v>
      </c>
      <c r="E186">
        <v>2</v>
      </c>
      <c r="F186" t="s">
        <v>534</v>
      </c>
      <c r="G186" s="2">
        <v>175400</v>
      </c>
      <c r="H186" t="s">
        <v>6</v>
      </c>
      <c r="I186" t="str">
        <f>IFERROR(VLOOKUP(Table1[[#This Row],[Department]],Doctor_Info!A:D,2,FALSE), "")</f>
        <v>Dr. Kofi</v>
      </c>
      <c r="J186" t="str">
        <f>_xlfn.XLOOKUP(Table1[[#This Row],[Department]], Doctor_Info!A:A, Doctor_Info!C:C, "")&amp;""</f>
        <v>102</v>
      </c>
    </row>
    <row r="187" spans="1:10" x14ac:dyDescent="0.2">
      <c r="A187" t="s">
        <v>199</v>
      </c>
      <c r="B187" s="3">
        <v>45325</v>
      </c>
      <c r="C187" s="3">
        <v>45337</v>
      </c>
      <c r="D187" t="s">
        <v>12</v>
      </c>
      <c r="E187">
        <v>4</v>
      </c>
      <c r="F187" t="s">
        <v>533</v>
      </c>
      <c r="G187" s="2">
        <v>176370</v>
      </c>
      <c r="H187" t="s">
        <v>8</v>
      </c>
      <c r="I187" t="str">
        <f>IFERROR(VLOOKUP(Table1[[#This Row],[Department]],Doctor_Info!A:D,2,FALSE), "")</f>
        <v>Dr. Temi</v>
      </c>
      <c r="J187" t="str">
        <f>_xlfn.XLOOKUP(Table1[[#This Row],[Department]], Doctor_Info!A:A, Doctor_Info!C:C, "")&amp;""</f>
        <v>502</v>
      </c>
    </row>
    <row r="188" spans="1:10" x14ac:dyDescent="0.2">
      <c r="A188" t="s">
        <v>200</v>
      </c>
      <c r="B188" s="3">
        <v>45327</v>
      </c>
      <c r="C188" s="3">
        <v>45328</v>
      </c>
      <c r="D188" t="s">
        <v>528</v>
      </c>
      <c r="E188">
        <v>6</v>
      </c>
      <c r="F188" t="s">
        <v>534</v>
      </c>
      <c r="G188" s="2">
        <v>177340</v>
      </c>
      <c r="H188" t="s">
        <v>6</v>
      </c>
      <c r="I188" t="str">
        <f>IFERROR(VLOOKUP(Table1[[#This Row],[Department]],Doctor_Info!A:D,2,FALSE), "")</f>
        <v>Dr. Kofi</v>
      </c>
      <c r="J188" t="str">
        <f>_xlfn.XLOOKUP(Table1[[#This Row],[Department]], Doctor_Info!A:A, Doctor_Info!C:C, "")&amp;""</f>
        <v>102</v>
      </c>
    </row>
    <row r="189" spans="1:10" x14ac:dyDescent="0.2">
      <c r="A189" t="s">
        <v>201</v>
      </c>
      <c r="B189" s="3">
        <v>45332</v>
      </c>
      <c r="D189" t="s">
        <v>10</v>
      </c>
      <c r="E189">
        <v>8</v>
      </c>
      <c r="F189" t="s">
        <v>534</v>
      </c>
      <c r="G189" s="2">
        <v>178310</v>
      </c>
      <c r="H189" t="s">
        <v>403</v>
      </c>
      <c r="I189" t="str">
        <f>IFERROR(VLOOKUP(Table1[[#This Row],[Department]],Doctor_Info!A:D,2,FALSE), "")</f>
        <v>Dr. George</v>
      </c>
      <c r="J189" t="str">
        <f>_xlfn.XLOOKUP(Table1[[#This Row],[Department]], Doctor_Info!A:A, Doctor_Info!C:C, "")&amp;""</f>
        <v>405</v>
      </c>
    </row>
    <row r="190" spans="1:10" x14ac:dyDescent="0.2">
      <c r="A190" t="s">
        <v>202</v>
      </c>
      <c r="B190" s="3">
        <v>45319</v>
      </c>
      <c r="C190" s="3">
        <v>45327</v>
      </c>
      <c r="D190" t="s">
        <v>7</v>
      </c>
      <c r="E190">
        <v>10</v>
      </c>
      <c r="F190" t="s">
        <v>533</v>
      </c>
      <c r="G190" s="2">
        <v>179280</v>
      </c>
      <c r="H190" t="s">
        <v>8</v>
      </c>
      <c r="I190" t="str">
        <f>IFERROR(VLOOKUP(Table1[[#This Row],[Department]],Doctor_Info!A:D,2,FALSE), "")</f>
        <v>Dr. Ada</v>
      </c>
      <c r="J190" t="str">
        <f>_xlfn.XLOOKUP(Table1[[#This Row],[Department]], Doctor_Info!A:A, Doctor_Info!C:C, "")&amp;""</f>
        <v>301</v>
      </c>
    </row>
    <row r="191" spans="1:10" x14ac:dyDescent="0.2">
      <c r="A191" t="s">
        <v>203</v>
      </c>
      <c r="B191" s="3">
        <v>45323</v>
      </c>
      <c r="C191" s="3">
        <v>45324</v>
      </c>
      <c r="D191" t="s">
        <v>528</v>
      </c>
      <c r="E191">
        <v>12</v>
      </c>
      <c r="F191" t="s">
        <v>534</v>
      </c>
      <c r="G191" s="2">
        <v>180250</v>
      </c>
      <c r="H191" t="s">
        <v>6</v>
      </c>
      <c r="I191" t="str">
        <f>IFERROR(VLOOKUP(Table1[[#This Row],[Department]],Doctor_Info!A:D,2,FALSE), "")</f>
        <v>Dr. Kofi</v>
      </c>
      <c r="J191" t="str">
        <f>_xlfn.XLOOKUP(Table1[[#This Row],[Department]], Doctor_Info!A:A, Doctor_Info!C:C, "")&amp;""</f>
        <v>102</v>
      </c>
    </row>
    <row r="192" spans="1:10" x14ac:dyDescent="0.2">
      <c r="A192" t="s">
        <v>204</v>
      </c>
      <c r="B192" s="3">
        <v>45325</v>
      </c>
      <c r="C192" s="3">
        <v>45337</v>
      </c>
      <c r="D192" t="s">
        <v>12</v>
      </c>
      <c r="E192">
        <v>14</v>
      </c>
      <c r="F192" t="s">
        <v>533</v>
      </c>
      <c r="G192" s="2">
        <v>181220</v>
      </c>
      <c r="H192" t="s">
        <v>8</v>
      </c>
      <c r="I192" t="str">
        <f>IFERROR(VLOOKUP(Table1[[#This Row],[Department]],Doctor_Info!A:D,2,FALSE), "")</f>
        <v>Dr. Temi</v>
      </c>
      <c r="J192" t="str">
        <f>_xlfn.XLOOKUP(Table1[[#This Row],[Department]], Doctor_Info!A:A, Doctor_Info!C:C, "")&amp;""</f>
        <v>502</v>
      </c>
    </row>
    <row r="193" spans="1:10" x14ac:dyDescent="0.2">
      <c r="A193" t="s">
        <v>205</v>
      </c>
      <c r="B193" s="3">
        <v>45327</v>
      </c>
      <c r="C193" s="3">
        <v>45328</v>
      </c>
      <c r="D193" t="s">
        <v>528</v>
      </c>
      <c r="E193">
        <v>16</v>
      </c>
      <c r="F193" t="s">
        <v>534</v>
      </c>
      <c r="G193" s="2">
        <v>182190</v>
      </c>
      <c r="H193" t="s">
        <v>6</v>
      </c>
      <c r="I193" t="str">
        <f>IFERROR(VLOOKUP(Table1[[#This Row],[Department]],Doctor_Info!A:D,2,FALSE), "")</f>
        <v>Dr. Kofi</v>
      </c>
      <c r="J193" t="str">
        <f>_xlfn.XLOOKUP(Table1[[#This Row],[Department]], Doctor_Info!A:A, Doctor_Info!C:C, "")&amp;""</f>
        <v>102</v>
      </c>
    </row>
    <row r="194" spans="1:10" x14ac:dyDescent="0.2">
      <c r="A194" t="s">
        <v>206</v>
      </c>
      <c r="B194" s="3">
        <v>45332</v>
      </c>
      <c r="D194" t="s">
        <v>10</v>
      </c>
      <c r="E194">
        <v>18</v>
      </c>
      <c r="F194" t="s">
        <v>534</v>
      </c>
      <c r="G194" s="2">
        <v>183160</v>
      </c>
      <c r="H194" t="s">
        <v>403</v>
      </c>
      <c r="I194" t="str">
        <f>IFERROR(VLOOKUP(Table1[[#This Row],[Department]],Doctor_Info!A:D,2,FALSE), "")</f>
        <v>Dr. George</v>
      </c>
      <c r="J194" t="str">
        <f>_xlfn.XLOOKUP(Table1[[#This Row],[Department]], Doctor_Info!A:A, Doctor_Info!C:C, "")&amp;""</f>
        <v>405</v>
      </c>
    </row>
    <row r="195" spans="1:10" x14ac:dyDescent="0.2">
      <c r="A195" t="s">
        <v>207</v>
      </c>
      <c r="B195" s="3">
        <v>45319</v>
      </c>
      <c r="C195" s="3">
        <v>45327</v>
      </c>
      <c r="D195" t="s">
        <v>7</v>
      </c>
      <c r="E195">
        <v>20</v>
      </c>
      <c r="F195" t="s">
        <v>533</v>
      </c>
      <c r="G195" s="2">
        <v>184130</v>
      </c>
      <c r="H195" t="s">
        <v>8</v>
      </c>
      <c r="I195" t="str">
        <f>IFERROR(VLOOKUP(Table1[[#This Row],[Department]],Doctor_Info!A:D,2,FALSE), "")</f>
        <v>Dr. Ada</v>
      </c>
      <c r="J195" t="str">
        <f>_xlfn.XLOOKUP(Table1[[#This Row],[Department]], Doctor_Info!A:A, Doctor_Info!C:C, "")&amp;""</f>
        <v>301</v>
      </c>
    </row>
    <row r="196" spans="1:10" x14ac:dyDescent="0.2">
      <c r="A196" t="s">
        <v>208</v>
      </c>
      <c r="B196" s="3">
        <v>45323</v>
      </c>
      <c r="C196" s="3">
        <v>45324</v>
      </c>
      <c r="D196" t="s">
        <v>528</v>
      </c>
      <c r="E196">
        <v>22</v>
      </c>
      <c r="F196" t="s">
        <v>534</v>
      </c>
      <c r="G196" s="2">
        <v>185100</v>
      </c>
      <c r="H196" t="s">
        <v>6</v>
      </c>
      <c r="I196" t="str">
        <f>IFERROR(VLOOKUP(Table1[[#This Row],[Department]],Doctor_Info!A:D,2,FALSE), "")</f>
        <v>Dr. Kofi</v>
      </c>
      <c r="J196" t="str">
        <f>_xlfn.XLOOKUP(Table1[[#This Row],[Department]], Doctor_Info!A:A, Doctor_Info!C:C, "")&amp;""</f>
        <v>102</v>
      </c>
    </row>
    <row r="197" spans="1:10" x14ac:dyDescent="0.2">
      <c r="A197" t="s">
        <v>209</v>
      </c>
      <c r="B197" s="3">
        <v>45325</v>
      </c>
      <c r="C197" s="3">
        <v>45337</v>
      </c>
      <c r="D197" t="s">
        <v>12</v>
      </c>
      <c r="E197">
        <v>24</v>
      </c>
      <c r="F197" t="s">
        <v>533</v>
      </c>
      <c r="G197" s="2">
        <v>186070</v>
      </c>
      <c r="H197" t="s">
        <v>8</v>
      </c>
      <c r="I197" t="str">
        <f>IFERROR(VLOOKUP(Table1[[#This Row],[Department]],Doctor_Info!A:D,2,FALSE), "")</f>
        <v>Dr. Temi</v>
      </c>
      <c r="J197" t="str">
        <f>_xlfn.XLOOKUP(Table1[[#This Row],[Department]], Doctor_Info!A:A, Doctor_Info!C:C, "")&amp;""</f>
        <v>502</v>
      </c>
    </row>
    <row r="198" spans="1:10" x14ac:dyDescent="0.2">
      <c r="A198" t="s">
        <v>210</v>
      </c>
      <c r="B198" s="3">
        <v>45327</v>
      </c>
      <c r="C198" s="3">
        <v>45328</v>
      </c>
      <c r="D198" t="s">
        <v>528</v>
      </c>
      <c r="E198">
        <v>26</v>
      </c>
      <c r="F198" t="s">
        <v>534</v>
      </c>
      <c r="G198" s="2">
        <v>187040</v>
      </c>
      <c r="H198" t="s">
        <v>6</v>
      </c>
      <c r="I198" t="str">
        <f>IFERROR(VLOOKUP(Table1[[#This Row],[Department]],Doctor_Info!A:D,2,FALSE), "")</f>
        <v>Dr. Kofi</v>
      </c>
      <c r="J198" t="str">
        <f>_xlfn.XLOOKUP(Table1[[#This Row],[Department]], Doctor_Info!A:A, Doctor_Info!C:C, "")&amp;""</f>
        <v>102</v>
      </c>
    </row>
    <row r="199" spans="1:10" x14ac:dyDescent="0.2">
      <c r="A199" t="s">
        <v>211</v>
      </c>
      <c r="B199" s="3">
        <v>45332</v>
      </c>
      <c r="D199" t="s">
        <v>10</v>
      </c>
      <c r="E199">
        <v>28</v>
      </c>
      <c r="F199" t="s">
        <v>534</v>
      </c>
      <c r="G199" s="2">
        <v>188010</v>
      </c>
      <c r="H199" t="s">
        <v>403</v>
      </c>
      <c r="I199" t="str">
        <f>IFERROR(VLOOKUP(Table1[[#This Row],[Department]],Doctor_Info!A:D,2,FALSE), "")</f>
        <v>Dr. George</v>
      </c>
      <c r="J199" t="str">
        <f>_xlfn.XLOOKUP(Table1[[#This Row],[Department]], Doctor_Info!A:A, Doctor_Info!C:C, "")&amp;""</f>
        <v>405</v>
      </c>
    </row>
    <row r="200" spans="1:10" x14ac:dyDescent="0.2">
      <c r="A200" t="s">
        <v>212</v>
      </c>
      <c r="B200" s="3">
        <v>45323</v>
      </c>
      <c r="C200" s="3">
        <v>45324</v>
      </c>
      <c r="D200" t="s">
        <v>528</v>
      </c>
      <c r="E200">
        <v>52</v>
      </c>
      <c r="F200" t="s">
        <v>534</v>
      </c>
      <c r="G200" s="2">
        <v>199650</v>
      </c>
      <c r="H200" t="s">
        <v>6</v>
      </c>
      <c r="I200" t="str">
        <f>IFERROR(VLOOKUP(Table1[[#This Row],[Department]],Doctor_Info!A:D,2,FALSE), "")</f>
        <v>Dr. Kofi</v>
      </c>
      <c r="J200" t="str">
        <f>_xlfn.XLOOKUP(Table1[[#This Row],[Department]], Doctor_Info!A:A, Doctor_Info!C:C, "")&amp;""</f>
        <v>102</v>
      </c>
    </row>
    <row r="201" spans="1:10" x14ac:dyDescent="0.2">
      <c r="A201" t="s">
        <v>213</v>
      </c>
      <c r="B201" s="3">
        <v>45325</v>
      </c>
      <c r="C201" s="3">
        <v>45337</v>
      </c>
      <c r="D201" t="s">
        <v>12</v>
      </c>
      <c r="E201">
        <v>54</v>
      </c>
      <c r="F201" t="s">
        <v>533</v>
      </c>
      <c r="G201" s="2">
        <v>200620</v>
      </c>
      <c r="H201" t="s">
        <v>8</v>
      </c>
      <c r="I201" t="str">
        <f>IFERROR(VLOOKUP(Table1[[#This Row],[Department]],Doctor_Info!A:D,2,FALSE), "")</f>
        <v>Dr. Temi</v>
      </c>
      <c r="J201" t="str">
        <f>_xlfn.XLOOKUP(Table1[[#This Row],[Department]], Doctor_Info!A:A, Doctor_Info!C:C, "")&amp;""</f>
        <v>502</v>
      </c>
    </row>
    <row r="202" spans="1:10" x14ac:dyDescent="0.2">
      <c r="A202" t="s">
        <v>214</v>
      </c>
      <c r="B202" s="3">
        <v>45327</v>
      </c>
      <c r="C202" s="3">
        <v>45328</v>
      </c>
      <c r="D202" t="s">
        <v>528</v>
      </c>
      <c r="E202">
        <v>56</v>
      </c>
      <c r="F202" t="s">
        <v>534</v>
      </c>
      <c r="G202" s="2">
        <v>201590</v>
      </c>
      <c r="H202" t="s">
        <v>6</v>
      </c>
      <c r="I202" t="str">
        <f>IFERROR(VLOOKUP(Table1[[#This Row],[Department]],Doctor_Info!A:D,2,FALSE), "")</f>
        <v>Dr. Kofi</v>
      </c>
      <c r="J202" t="str">
        <f>_xlfn.XLOOKUP(Table1[[#This Row],[Department]], Doctor_Info!A:A, Doctor_Info!C:C, "")&amp;""</f>
        <v>102</v>
      </c>
    </row>
    <row r="203" spans="1:10" x14ac:dyDescent="0.2">
      <c r="A203" t="s">
        <v>215</v>
      </c>
      <c r="B203" s="3">
        <v>45332</v>
      </c>
      <c r="D203" t="s">
        <v>10</v>
      </c>
      <c r="E203">
        <v>58</v>
      </c>
      <c r="F203" t="s">
        <v>534</v>
      </c>
      <c r="G203" s="2">
        <v>202560</v>
      </c>
      <c r="H203" t="s">
        <v>403</v>
      </c>
      <c r="I203" t="str">
        <f>IFERROR(VLOOKUP(Table1[[#This Row],[Department]],Doctor_Info!A:D,2,FALSE), "")</f>
        <v>Dr. George</v>
      </c>
      <c r="J203" t="str">
        <f>_xlfn.XLOOKUP(Table1[[#This Row],[Department]], Doctor_Info!A:A, Doctor_Info!C:C, "")&amp;""</f>
        <v>405</v>
      </c>
    </row>
    <row r="204" spans="1:10" x14ac:dyDescent="0.2">
      <c r="A204" t="s">
        <v>216</v>
      </c>
      <c r="B204" s="3">
        <v>45319</v>
      </c>
      <c r="C204" s="3">
        <v>45327</v>
      </c>
      <c r="D204" t="s">
        <v>7</v>
      </c>
      <c r="E204">
        <v>60</v>
      </c>
      <c r="F204" t="s">
        <v>533</v>
      </c>
      <c r="G204" s="2">
        <v>203530</v>
      </c>
      <c r="H204" t="s">
        <v>8</v>
      </c>
      <c r="I204" t="str">
        <f>IFERROR(VLOOKUP(Table1[[#This Row],[Department]],Doctor_Info!A:D,2,FALSE), "")</f>
        <v>Dr. Ada</v>
      </c>
      <c r="J204" t="str">
        <f>_xlfn.XLOOKUP(Table1[[#This Row],[Department]], Doctor_Info!A:A, Doctor_Info!C:C, "")&amp;""</f>
        <v>301</v>
      </c>
    </row>
    <row r="205" spans="1:10" x14ac:dyDescent="0.2">
      <c r="A205" t="s">
        <v>217</v>
      </c>
      <c r="B205" s="3">
        <v>45323</v>
      </c>
      <c r="C205" s="3">
        <v>45324</v>
      </c>
      <c r="D205" t="s">
        <v>528</v>
      </c>
      <c r="E205">
        <v>62</v>
      </c>
      <c r="F205" t="s">
        <v>534</v>
      </c>
      <c r="G205" s="2">
        <v>204500</v>
      </c>
      <c r="H205" t="s">
        <v>6</v>
      </c>
      <c r="I205" t="str">
        <f>IFERROR(VLOOKUP(Table1[[#This Row],[Department]],Doctor_Info!A:D,2,FALSE), "")</f>
        <v>Dr. Kofi</v>
      </c>
      <c r="J205" t="str">
        <f>_xlfn.XLOOKUP(Table1[[#This Row],[Department]], Doctor_Info!A:A, Doctor_Info!C:C, "")&amp;""</f>
        <v>102</v>
      </c>
    </row>
    <row r="206" spans="1:10" x14ac:dyDescent="0.2">
      <c r="A206" t="s">
        <v>218</v>
      </c>
      <c r="B206" s="3">
        <v>45325</v>
      </c>
      <c r="C206" s="3">
        <v>45337</v>
      </c>
      <c r="D206" t="s">
        <v>12</v>
      </c>
      <c r="E206">
        <v>64</v>
      </c>
      <c r="F206" t="s">
        <v>533</v>
      </c>
      <c r="G206" s="2">
        <v>205470</v>
      </c>
      <c r="H206" t="s">
        <v>8</v>
      </c>
      <c r="I206" t="str">
        <f>IFERROR(VLOOKUP(Table1[[#This Row],[Department]],Doctor_Info!A:D,2,FALSE), "")</f>
        <v>Dr. Temi</v>
      </c>
      <c r="J206" t="str">
        <f>_xlfn.XLOOKUP(Table1[[#This Row],[Department]], Doctor_Info!A:A, Doctor_Info!C:C, "")&amp;""</f>
        <v>502</v>
      </c>
    </row>
    <row r="207" spans="1:10" x14ac:dyDescent="0.2">
      <c r="A207" t="s">
        <v>219</v>
      </c>
      <c r="B207" s="3">
        <v>45327</v>
      </c>
      <c r="C207" s="3">
        <v>45328</v>
      </c>
      <c r="D207" t="s">
        <v>528</v>
      </c>
      <c r="E207">
        <v>66</v>
      </c>
      <c r="F207" t="s">
        <v>534</v>
      </c>
      <c r="G207" s="2">
        <v>206440</v>
      </c>
      <c r="H207" t="s">
        <v>6</v>
      </c>
      <c r="I207" t="str">
        <f>IFERROR(VLOOKUP(Table1[[#This Row],[Department]],Doctor_Info!A:D,2,FALSE), "")</f>
        <v>Dr. Kofi</v>
      </c>
      <c r="J207" t="str">
        <f>_xlfn.XLOOKUP(Table1[[#This Row],[Department]], Doctor_Info!A:A, Doctor_Info!C:C, "")&amp;""</f>
        <v>102</v>
      </c>
    </row>
    <row r="208" spans="1:10" x14ac:dyDescent="0.2">
      <c r="A208" t="s">
        <v>220</v>
      </c>
      <c r="B208" s="3">
        <v>45332</v>
      </c>
      <c r="D208" t="s">
        <v>10</v>
      </c>
      <c r="E208">
        <v>68</v>
      </c>
      <c r="F208" t="s">
        <v>534</v>
      </c>
      <c r="G208" s="2">
        <v>207410</v>
      </c>
      <c r="H208" t="s">
        <v>403</v>
      </c>
      <c r="I208" t="str">
        <f>IFERROR(VLOOKUP(Table1[[#This Row],[Department]],Doctor_Info!A:D,2,FALSE), "")</f>
        <v>Dr. George</v>
      </c>
      <c r="J208" t="str">
        <f>_xlfn.XLOOKUP(Table1[[#This Row],[Department]], Doctor_Info!A:A, Doctor_Info!C:C, "")&amp;""</f>
        <v>405</v>
      </c>
    </row>
    <row r="209" spans="1:10" x14ac:dyDescent="0.2">
      <c r="A209" t="s">
        <v>221</v>
      </c>
      <c r="B209" s="3">
        <v>45319</v>
      </c>
      <c r="C209" s="3">
        <v>45327</v>
      </c>
      <c r="D209" t="s">
        <v>7</v>
      </c>
      <c r="E209">
        <v>70</v>
      </c>
      <c r="F209" t="s">
        <v>533</v>
      </c>
      <c r="G209" s="2">
        <v>208380</v>
      </c>
      <c r="H209" t="s">
        <v>8</v>
      </c>
      <c r="I209" t="str">
        <f>IFERROR(VLOOKUP(Table1[[#This Row],[Department]],Doctor_Info!A:D,2,FALSE), "")</f>
        <v>Dr. Ada</v>
      </c>
      <c r="J209" t="str">
        <f>_xlfn.XLOOKUP(Table1[[#This Row],[Department]], Doctor_Info!A:A, Doctor_Info!C:C, "")&amp;""</f>
        <v>301</v>
      </c>
    </row>
    <row r="210" spans="1:10" x14ac:dyDescent="0.2">
      <c r="A210" t="s">
        <v>222</v>
      </c>
      <c r="B210" s="3">
        <v>45323</v>
      </c>
      <c r="C210" s="3">
        <v>45324</v>
      </c>
      <c r="D210" t="s">
        <v>528</v>
      </c>
      <c r="E210">
        <v>72</v>
      </c>
      <c r="F210" t="s">
        <v>534</v>
      </c>
      <c r="G210" s="2">
        <v>209350</v>
      </c>
      <c r="H210" t="s">
        <v>6</v>
      </c>
      <c r="I210" t="str">
        <f>IFERROR(VLOOKUP(Table1[[#This Row],[Department]],Doctor_Info!A:D,2,FALSE), "")</f>
        <v>Dr. Kofi</v>
      </c>
      <c r="J210" t="str">
        <f>_xlfn.XLOOKUP(Table1[[#This Row],[Department]], Doctor_Info!A:A, Doctor_Info!C:C, "")&amp;""</f>
        <v>102</v>
      </c>
    </row>
    <row r="211" spans="1:10" x14ac:dyDescent="0.2">
      <c r="A211" t="s">
        <v>223</v>
      </c>
      <c r="B211" s="3">
        <v>45325</v>
      </c>
      <c r="C211" s="3">
        <v>45337</v>
      </c>
      <c r="D211" t="s">
        <v>12</v>
      </c>
      <c r="E211">
        <v>74</v>
      </c>
      <c r="F211" t="s">
        <v>533</v>
      </c>
      <c r="G211" s="2">
        <v>210320</v>
      </c>
      <c r="H211" t="s">
        <v>8</v>
      </c>
      <c r="I211" t="str">
        <f>IFERROR(VLOOKUP(Table1[[#This Row],[Department]],Doctor_Info!A:D,2,FALSE), "")</f>
        <v>Dr. Temi</v>
      </c>
      <c r="J211" t="str">
        <f>_xlfn.XLOOKUP(Table1[[#This Row],[Department]], Doctor_Info!A:A, Doctor_Info!C:C, "")&amp;""</f>
        <v>502</v>
      </c>
    </row>
    <row r="212" spans="1:10" x14ac:dyDescent="0.2">
      <c r="A212" t="s">
        <v>224</v>
      </c>
      <c r="B212" s="3">
        <v>45327</v>
      </c>
      <c r="C212" s="3">
        <v>45328</v>
      </c>
      <c r="D212" t="s">
        <v>528</v>
      </c>
      <c r="E212">
        <v>76</v>
      </c>
      <c r="F212" t="s">
        <v>534</v>
      </c>
      <c r="G212" s="2">
        <v>211290</v>
      </c>
      <c r="H212" t="s">
        <v>6</v>
      </c>
      <c r="I212" t="str">
        <f>IFERROR(VLOOKUP(Table1[[#This Row],[Department]],Doctor_Info!A:D,2,FALSE), "")</f>
        <v>Dr. Kofi</v>
      </c>
      <c r="J212" t="str">
        <f>_xlfn.XLOOKUP(Table1[[#This Row],[Department]], Doctor_Info!A:A, Doctor_Info!C:C, "")&amp;""</f>
        <v>102</v>
      </c>
    </row>
    <row r="213" spans="1:10" x14ac:dyDescent="0.2">
      <c r="A213" t="s">
        <v>225</v>
      </c>
      <c r="B213" s="3">
        <v>45332</v>
      </c>
      <c r="D213" t="s">
        <v>10</v>
      </c>
      <c r="E213">
        <v>78</v>
      </c>
      <c r="F213" t="s">
        <v>534</v>
      </c>
      <c r="G213" s="2">
        <v>212260</v>
      </c>
      <c r="H213" t="s">
        <v>403</v>
      </c>
      <c r="I213" t="str">
        <f>IFERROR(VLOOKUP(Table1[[#This Row],[Department]],Doctor_Info!A:D,2,FALSE), "")</f>
        <v>Dr. George</v>
      </c>
      <c r="J213" t="str">
        <f>_xlfn.XLOOKUP(Table1[[#This Row],[Department]], Doctor_Info!A:A, Doctor_Info!C:C, "")&amp;""</f>
        <v>405</v>
      </c>
    </row>
    <row r="214" spans="1:10" x14ac:dyDescent="0.2">
      <c r="A214" t="s">
        <v>226</v>
      </c>
      <c r="B214" s="3">
        <v>45319</v>
      </c>
      <c r="C214" s="3">
        <v>45327</v>
      </c>
      <c r="D214" t="s">
        <v>7</v>
      </c>
      <c r="E214">
        <v>80</v>
      </c>
      <c r="F214" t="s">
        <v>533</v>
      </c>
      <c r="G214" s="2">
        <v>213230</v>
      </c>
      <c r="H214" t="s">
        <v>8</v>
      </c>
      <c r="I214" t="str">
        <f>IFERROR(VLOOKUP(Table1[[#This Row],[Department]],Doctor_Info!A:D,2,FALSE), "")</f>
        <v>Dr. Ada</v>
      </c>
      <c r="J214" t="str">
        <f>_xlfn.XLOOKUP(Table1[[#This Row],[Department]], Doctor_Info!A:A, Doctor_Info!C:C, "")&amp;""</f>
        <v>301</v>
      </c>
    </row>
    <row r="215" spans="1:10" x14ac:dyDescent="0.2">
      <c r="A215" t="s">
        <v>227</v>
      </c>
      <c r="B215" s="3">
        <v>45323</v>
      </c>
      <c r="C215" s="3">
        <v>45324</v>
      </c>
      <c r="D215" t="s">
        <v>528</v>
      </c>
      <c r="E215">
        <v>82</v>
      </c>
      <c r="F215" t="s">
        <v>534</v>
      </c>
      <c r="G215" s="2">
        <v>214200</v>
      </c>
      <c r="H215" t="s">
        <v>6</v>
      </c>
      <c r="I215" t="str">
        <f>IFERROR(VLOOKUP(Table1[[#This Row],[Department]],Doctor_Info!A:D,2,FALSE), "")</f>
        <v>Dr. Kofi</v>
      </c>
      <c r="J215" t="str">
        <f>_xlfn.XLOOKUP(Table1[[#This Row],[Department]], Doctor_Info!A:A, Doctor_Info!C:C, "")&amp;""</f>
        <v>102</v>
      </c>
    </row>
    <row r="216" spans="1:10" x14ac:dyDescent="0.2">
      <c r="A216" t="s">
        <v>228</v>
      </c>
      <c r="B216" s="3">
        <v>45325</v>
      </c>
      <c r="C216" s="3">
        <v>45337</v>
      </c>
      <c r="D216" t="s">
        <v>12</v>
      </c>
      <c r="E216">
        <v>84</v>
      </c>
      <c r="F216" t="s">
        <v>533</v>
      </c>
      <c r="G216" s="2">
        <v>215170</v>
      </c>
      <c r="H216" t="s">
        <v>8</v>
      </c>
      <c r="I216" t="str">
        <f>IFERROR(VLOOKUP(Table1[[#This Row],[Department]],Doctor_Info!A:D,2,FALSE), "")</f>
        <v>Dr. Temi</v>
      </c>
      <c r="J216" t="str">
        <f>_xlfn.XLOOKUP(Table1[[#This Row],[Department]], Doctor_Info!A:A, Doctor_Info!C:C, "")&amp;""</f>
        <v>502</v>
      </c>
    </row>
    <row r="217" spans="1:10" x14ac:dyDescent="0.2">
      <c r="A217" t="s">
        <v>229</v>
      </c>
      <c r="B217" s="3">
        <v>45327</v>
      </c>
      <c r="C217" s="3">
        <v>45328</v>
      </c>
      <c r="D217" t="s">
        <v>528</v>
      </c>
      <c r="E217">
        <v>86</v>
      </c>
      <c r="F217" t="s">
        <v>534</v>
      </c>
      <c r="G217" s="2">
        <v>216140</v>
      </c>
      <c r="H217" t="s">
        <v>6</v>
      </c>
      <c r="I217" t="str">
        <f>IFERROR(VLOOKUP(Table1[[#This Row],[Department]],Doctor_Info!A:D,2,FALSE), "")</f>
        <v>Dr. Kofi</v>
      </c>
      <c r="J217" t="str">
        <f>_xlfn.XLOOKUP(Table1[[#This Row],[Department]], Doctor_Info!A:A, Doctor_Info!C:C, "")&amp;""</f>
        <v>102</v>
      </c>
    </row>
    <row r="218" spans="1:10" x14ac:dyDescent="0.2">
      <c r="A218" t="s">
        <v>230</v>
      </c>
      <c r="B218" s="3">
        <v>45332</v>
      </c>
      <c r="D218" t="s">
        <v>10</v>
      </c>
      <c r="E218">
        <v>88</v>
      </c>
      <c r="F218" t="s">
        <v>534</v>
      </c>
      <c r="G218" s="2">
        <v>217110</v>
      </c>
      <c r="H218" t="s">
        <v>403</v>
      </c>
      <c r="I218" t="str">
        <f>IFERROR(VLOOKUP(Table1[[#This Row],[Department]],Doctor_Info!A:D,2,FALSE), "")</f>
        <v>Dr. George</v>
      </c>
      <c r="J218" t="str">
        <f>_xlfn.XLOOKUP(Table1[[#This Row],[Department]], Doctor_Info!A:A, Doctor_Info!C:C, "")&amp;""</f>
        <v>405</v>
      </c>
    </row>
    <row r="219" spans="1:10" x14ac:dyDescent="0.2">
      <c r="A219" t="s">
        <v>231</v>
      </c>
      <c r="B219" s="3">
        <v>45319</v>
      </c>
      <c r="C219" s="3">
        <v>45327</v>
      </c>
      <c r="D219" t="s">
        <v>7</v>
      </c>
      <c r="E219">
        <v>90</v>
      </c>
      <c r="F219" t="s">
        <v>533</v>
      </c>
      <c r="G219" s="2">
        <v>218080</v>
      </c>
      <c r="H219" t="s">
        <v>8</v>
      </c>
      <c r="I219" t="str">
        <f>IFERROR(VLOOKUP(Table1[[#This Row],[Department]],Doctor_Info!A:D,2,FALSE), "")</f>
        <v>Dr. Ada</v>
      </c>
      <c r="J219" t="str">
        <f>_xlfn.XLOOKUP(Table1[[#This Row],[Department]], Doctor_Info!A:A, Doctor_Info!C:C, "")&amp;""</f>
        <v>301</v>
      </c>
    </row>
    <row r="220" spans="1:10" x14ac:dyDescent="0.2">
      <c r="A220" t="s">
        <v>232</v>
      </c>
      <c r="B220" s="3">
        <v>45323</v>
      </c>
      <c r="C220" s="3">
        <v>45324</v>
      </c>
      <c r="D220" t="s">
        <v>528</v>
      </c>
      <c r="E220">
        <v>92</v>
      </c>
      <c r="F220" t="s">
        <v>534</v>
      </c>
      <c r="G220" s="2">
        <v>219050</v>
      </c>
      <c r="H220" t="s">
        <v>6</v>
      </c>
      <c r="I220" t="str">
        <f>IFERROR(VLOOKUP(Table1[[#This Row],[Department]],Doctor_Info!A:D,2,FALSE), "")</f>
        <v>Dr. Kofi</v>
      </c>
      <c r="J220" t="str">
        <f>_xlfn.XLOOKUP(Table1[[#This Row],[Department]], Doctor_Info!A:A, Doctor_Info!C:C, "")&amp;""</f>
        <v>102</v>
      </c>
    </row>
    <row r="221" spans="1:10" x14ac:dyDescent="0.2">
      <c r="A221" t="s">
        <v>233</v>
      </c>
      <c r="B221" s="3">
        <v>45325</v>
      </c>
      <c r="C221" s="3">
        <v>45337</v>
      </c>
      <c r="D221" t="s">
        <v>12</v>
      </c>
      <c r="E221">
        <v>94</v>
      </c>
      <c r="F221" t="s">
        <v>533</v>
      </c>
      <c r="G221" s="2">
        <v>220020</v>
      </c>
      <c r="H221" t="s">
        <v>8</v>
      </c>
      <c r="I221" t="str">
        <f>IFERROR(VLOOKUP(Table1[[#This Row],[Department]],Doctor_Info!A:D,2,FALSE), "")</f>
        <v>Dr. Temi</v>
      </c>
      <c r="J221" t="str">
        <f>_xlfn.XLOOKUP(Table1[[#This Row],[Department]], Doctor_Info!A:A, Doctor_Info!C:C, "")&amp;""</f>
        <v>502</v>
      </c>
    </row>
    <row r="222" spans="1:10" x14ac:dyDescent="0.2">
      <c r="A222" t="s">
        <v>234</v>
      </c>
      <c r="B222" s="3">
        <v>45332</v>
      </c>
      <c r="D222" t="s">
        <v>10</v>
      </c>
      <c r="E222">
        <v>98</v>
      </c>
      <c r="F222" t="s">
        <v>534</v>
      </c>
      <c r="G222" s="2">
        <v>221960</v>
      </c>
      <c r="H222" t="s">
        <v>403</v>
      </c>
      <c r="I222" t="str">
        <f>IFERROR(VLOOKUP(Table1[[#This Row],[Department]],Doctor_Info!A:D,2,FALSE), "")</f>
        <v>Dr. George</v>
      </c>
      <c r="J222" t="str">
        <f>_xlfn.XLOOKUP(Table1[[#This Row],[Department]], Doctor_Info!A:A, Doctor_Info!C:C, "")&amp;""</f>
        <v>405</v>
      </c>
    </row>
    <row r="223" spans="1:10" x14ac:dyDescent="0.2">
      <c r="A223" t="s">
        <v>235</v>
      </c>
      <c r="B223" s="3">
        <v>45319</v>
      </c>
      <c r="C223" s="3">
        <v>45327</v>
      </c>
      <c r="D223" t="s">
        <v>7</v>
      </c>
      <c r="E223">
        <v>100</v>
      </c>
      <c r="F223" t="s">
        <v>533</v>
      </c>
      <c r="G223" s="2">
        <v>222930</v>
      </c>
      <c r="H223" t="s">
        <v>8</v>
      </c>
      <c r="I223" t="str">
        <f>IFERROR(VLOOKUP(Table1[[#This Row],[Department]],Doctor_Info!A:D,2,FALSE), "")</f>
        <v>Dr. Ada</v>
      </c>
      <c r="J223" t="str">
        <f>_xlfn.XLOOKUP(Table1[[#This Row],[Department]], Doctor_Info!A:A, Doctor_Info!C:C, "")&amp;""</f>
        <v>301</v>
      </c>
    </row>
    <row r="224" spans="1:10" x14ac:dyDescent="0.2">
      <c r="A224" t="s">
        <v>236</v>
      </c>
      <c r="B224" s="3">
        <v>45323</v>
      </c>
      <c r="C224" s="3">
        <v>45324</v>
      </c>
      <c r="D224" t="s">
        <v>528</v>
      </c>
      <c r="E224">
        <v>2</v>
      </c>
      <c r="F224" t="s">
        <v>534</v>
      </c>
      <c r="G224" s="2">
        <v>223900</v>
      </c>
      <c r="H224" t="s">
        <v>6</v>
      </c>
      <c r="I224" t="str">
        <f>IFERROR(VLOOKUP(Table1[[#This Row],[Department]],Doctor_Info!A:D,2,FALSE), "")</f>
        <v>Dr. Kofi</v>
      </c>
      <c r="J224" t="str">
        <f>_xlfn.XLOOKUP(Table1[[#This Row],[Department]], Doctor_Info!A:A, Doctor_Info!C:C, "")&amp;""</f>
        <v>102</v>
      </c>
    </row>
    <row r="225" spans="1:10" x14ac:dyDescent="0.2">
      <c r="A225" t="s">
        <v>237</v>
      </c>
      <c r="B225" s="3">
        <v>45325</v>
      </c>
      <c r="C225" s="3">
        <v>45337</v>
      </c>
      <c r="D225" t="s">
        <v>12</v>
      </c>
      <c r="E225">
        <v>4</v>
      </c>
      <c r="F225" t="s">
        <v>533</v>
      </c>
      <c r="G225" s="2">
        <v>224870</v>
      </c>
      <c r="H225" t="s">
        <v>8</v>
      </c>
      <c r="I225" t="str">
        <f>IFERROR(VLOOKUP(Table1[[#This Row],[Department]],Doctor_Info!A:D,2,FALSE), "")</f>
        <v>Dr. Temi</v>
      </c>
      <c r="J225" t="str">
        <f>_xlfn.XLOOKUP(Table1[[#This Row],[Department]], Doctor_Info!A:A, Doctor_Info!C:C, "")&amp;""</f>
        <v>502</v>
      </c>
    </row>
    <row r="226" spans="1:10" x14ac:dyDescent="0.2">
      <c r="A226" t="s">
        <v>238</v>
      </c>
      <c r="B226" s="3">
        <v>45327</v>
      </c>
      <c r="C226" s="3">
        <v>45328</v>
      </c>
      <c r="D226" t="s">
        <v>528</v>
      </c>
      <c r="E226">
        <v>6</v>
      </c>
      <c r="F226" t="s">
        <v>534</v>
      </c>
      <c r="G226" s="2">
        <v>225840</v>
      </c>
      <c r="H226" t="s">
        <v>6</v>
      </c>
      <c r="I226" t="str">
        <f>IFERROR(VLOOKUP(Table1[[#This Row],[Department]],Doctor_Info!A:D,2,FALSE), "")</f>
        <v>Dr. Kofi</v>
      </c>
      <c r="J226" t="str">
        <f>_xlfn.XLOOKUP(Table1[[#This Row],[Department]], Doctor_Info!A:A, Doctor_Info!C:C, "")&amp;""</f>
        <v>102</v>
      </c>
    </row>
    <row r="227" spans="1:10" x14ac:dyDescent="0.2">
      <c r="A227" t="s">
        <v>239</v>
      </c>
      <c r="B227" s="3">
        <v>45332</v>
      </c>
      <c r="D227" t="s">
        <v>10</v>
      </c>
      <c r="E227">
        <v>8</v>
      </c>
      <c r="F227" t="s">
        <v>534</v>
      </c>
      <c r="G227" s="2">
        <v>226810</v>
      </c>
      <c r="H227" t="s">
        <v>403</v>
      </c>
      <c r="I227" t="str">
        <f>IFERROR(VLOOKUP(Table1[[#This Row],[Department]],Doctor_Info!A:D,2,FALSE), "")</f>
        <v>Dr. George</v>
      </c>
      <c r="J227" t="str">
        <f>_xlfn.XLOOKUP(Table1[[#This Row],[Department]], Doctor_Info!A:A, Doctor_Info!C:C, "")&amp;""</f>
        <v>405</v>
      </c>
    </row>
    <row r="228" spans="1:10" x14ac:dyDescent="0.2">
      <c r="A228" t="s">
        <v>240</v>
      </c>
      <c r="B228" s="3">
        <v>45319</v>
      </c>
      <c r="C228" s="3">
        <v>45327</v>
      </c>
      <c r="D228" t="s">
        <v>7</v>
      </c>
      <c r="E228">
        <v>10</v>
      </c>
      <c r="F228" t="s">
        <v>533</v>
      </c>
      <c r="G228" s="2">
        <v>227780</v>
      </c>
      <c r="H228" t="s">
        <v>8</v>
      </c>
      <c r="I228" t="str">
        <f>IFERROR(VLOOKUP(Table1[[#This Row],[Department]],Doctor_Info!A:D,2,FALSE), "")</f>
        <v>Dr. Ada</v>
      </c>
      <c r="J228" t="str">
        <f>_xlfn.XLOOKUP(Table1[[#This Row],[Department]], Doctor_Info!A:A, Doctor_Info!C:C, "")&amp;""</f>
        <v>301</v>
      </c>
    </row>
    <row r="229" spans="1:10" x14ac:dyDescent="0.2">
      <c r="A229" t="s">
        <v>241</v>
      </c>
      <c r="B229" s="3">
        <v>45323</v>
      </c>
      <c r="C229" s="3">
        <v>45324</v>
      </c>
      <c r="D229" t="s">
        <v>528</v>
      </c>
      <c r="E229">
        <v>12</v>
      </c>
      <c r="F229" t="s">
        <v>534</v>
      </c>
      <c r="G229" s="2">
        <v>228750</v>
      </c>
      <c r="H229" t="s">
        <v>6</v>
      </c>
      <c r="I229" t="str">
        <f>IFERROR(VLOOKUP(Table1[[#This Row],[Department]],Doctor_Info!A:D,2,FALSE), "")</f>
        <v>Dr. Kofi</v>
      </c>
      <c r="J229" t="str">
        <f>_xlfn.XLOOKUP(Table1[[#This Row],[Department]], Doctor_Info!A:A, Doctor_Info!C:C, "")&amp;""</f>
        <v>102</v>
      </c>
    </row>
    <row r="230" spans="1:10" x14ac:dyDescent="0.2">
      <c r="A230" t="s">
        <v>242</v>
      </c>
      <c r="B230" s="3">
        <v>45325</v>
      </c>
      <c r="C230" s="3">
        <v>45337</v>
      </c>
      <c r="D230" t="s">
        <v>12</v>
      </c>
      <c r="E230">
        <v>14</v>
      </c>
      <c r="F230" t="s">
        <v>533</v>
      </c>
      <c r="G230" s="2">
        <v>229720</v>
      </c>
      <c r="H230" t="s">
        <v>8</v>
      </c>
      <c r="I230" t="str">
        <f>IFERROR(VLOOKUP(Table1[[#This Row],[Department]],Doctor_Info!A:D,2,FALSE), "")</f>
        <v>Dr. Temi</v>
      </c>
      <c r="J230" t="str">
        <f>_xlfn.XLOOKUP(Table1[[#This Row],[Department]], Doctor_Info!A:A, Doctor_Info!C:C, "")&amp;""</f>
        <v>502</v>
      </c>
    </row>
    <row r="231" spans="1:10" x14ac:dyDescent="0.2">
      <c r="A231" t="s">
        <v>243</v>
      </c>
      <c r="B231" s="3">
        <v>45327</v>
      </c>
      <c r="C231" s="3">
        <v>45328</v>
      </c>
      <c r="D231" t="s">
        <v>528</v>
      </c>
      <c r="E231">
        <v>16</v>
      </c>
      <c r="F231" t="s">
        <v>534</v>
      </c>
      <c r="G231" s="2">
        <v>230690</v>
      </c>
      <c r="H231" t="s">
        <v>6</v>
      </c>
      <c r="I231" t="str">
        <f>IFERROR(VLOOKUP(Table1[[#This Row],[Department]],Doctor_Info!A:D,2,FALSE), "")</f>
        <v>Dr. Kofi</v>
      </c>
      <c r="J231" t="str">
        <f>_xlfn.XLOOKUP(Table1[[#This Row],[Department]], Doctor_Info!A:A, Doctor_Info!C:C, "")&amp;""</f>
        <v>102</v>
      </c>
    </row>
    <row r="232" spans="1:10" x14ac:dyDescent="0.2">
      <c r="A232" t="s">
        <v>244</v>
      </c>
      <c r="B232" s="3">
        <v>45332</v>
      </c>
      <c r="D232" t="s">
        <v>10</v>
      </c>
      <c r="E232">
        <v>18</v>
      </c>
      <c r="F232" t="s">
        <v>534</v>
      </c>
      <c r="G232" s="2">
        <v>231660</v>
      </c>
      <c r="H232" t="s">
        <v>403</v>
      </c>
      <c r="I232" t="str">
        <f>IFERROR(VLOOKUP(Table1[[#This Row],[Department]],Doctor_Info!A:D,2,FALSE), "")</f>
        <v>Dr. George</v>
      </c>
      <c r="J232" t="str">
        <f>_xlfn.XLOOKUP(Table1[[#This Row],[Department]], Doctor_Info!A:A, Doctor_Info!C:C, "")&amp;""</f>
        <v>405</v>
      </c>
    </row>
    <row r="233" spans="1:10" x14ac:dyDescent="0.2">
      <c r="A233" t="s">
        <v>245</v>
      </c>
      <c r="B233" s="3">
        <v>45319</v>
      </c>
      <c r="C233" s="3">
        <v>45327</v>
      </c>
      <c r="D233" t="s">
        <v>7</v>
      </c>
      <c r="E233">
        <v>20</v>
      </c>
      <c r="F233" t="s">
        <v>533</v>
      </c>
      <c r="G233" s="2">
        <v>232630</v>
      </c>
      <c r="H233" t="s">
        <v>8</v>
      </c>
      <c r="I233" t="str">
        <f>IFERROR(VLOOKUP(Table1[[#This Row],[Department]],Doctor_Info!A:D,2,FALSE), "")</f>
        <v>Dr. Ada</v>
      </c>
      <c r="J233" t="str">
        <f>_xlfn.XLOOKUP(Table1[[#This Row],[Department]], Doctor_Info!A:A, Doctor_Info!C:C, "")&amp;""</f>
        <v>301</v>
      </c>
    </row>
    <row r="234" spans="1:10" x14ac:dyDescent="0.2">
      <c r="A234" t="s">
        <v>246</v>
      </c>
      <c r="B234" s="3">
        <v>45323</v>
      </c>
      <c r="C234" s="3">
        <v>45324</v>
      </c>
      <c r="D234" t="s">
        <v>528</v>
      </c>
      <c r="E234">
        <v>22</v>
      </c>
      <c r="F234" t="s">
        <v>534</v>
      </c>
      <c r="G234" s="2">
        <v>233600</v>
      </c>
      <c r="H234" t="s">
        <v>6</v>
      </c>
      <c r="I234" t="str">
        <f>IFERROR(VLOOKUP(Table1[[#This Row],[Department]],Doctor_Info!A:D,2,FALSE), "")</f>
        <v>Dr. Kofi</v>
      </c>
      <c r="J234" t="str">
        <f>_xlfn.XLOOKUP(Table1[[#This Row],[Department]], Doctor_Info!A:A, Doctor_Info!C:C, "")&amp;""</f>
        <v>102</v>
      </c>
    </row>
    <row r="235" spans="1:10" x14ac:dyDescent="0.2">
      <c r="A235" t="s">
        <v>247</v>
      </c>
      <c r="B235" s="3">
        <v>45325</v>
      </c>
      <c r="C235" s="3">
        <v>45337</v>
      </c>
      <c r="D235" t="s">
        <v>12</v>
      </c>
      <c r="E235">
        <v>24</v>
      </c>
      <c r="F235" t="s">
        <v>533</v>
      </c>
      <c r="G235" s="2">
        <v>234570</v>
      </c>
      <c r="H235" t="s">
        <v>8</v>
      </c>
      <c r="I235" t="str">
        <f>IFERROR(VLOOKUP(Table1[[#This Row],[Department]],Doctor_Info!A:D,2,FALSE), "")</f>
        <v>Dr. Temi</v>
      </c>
      <c r="J235" t="str">
        <f>_xlfn.XLOOKUP(Table1[[#This Row],[Department]], Doctor_Info!A:A, Doctor_Info!C:C, "")&amp;""</f>
        <v>502</v>
      </c>
    </row>
    <row r="236" spans="1:10" x14ac:dyDescent="0.2">
      <c r="A236" t="s">
        <v>248</v>
      </c>
      <c r="B236" s="3">
        <v>45327</v>
      </c>
      <c r="C236" s="3">
        <v>45328</v>
      </c>
      <c r="D236" t="s">
        <v>528</v>
      </c>
      <c r="E236">
        <v>26</v>
      </c>
      <c r="F236" t="s">
        <v>534</v>
      </c>
      <c r="G236" s="2">
        <v>235540</v>
      </c>
      <c r="H236" t="s">
        <v>6</v>
      </c>
      <c r="I236" t="str">
        <f>IFERROR(VLOOKUP(Table1[[#This Row],[Department]],Doctor_Info!A:D,2,FALSE), "")</f>
        <v>Dr. Kofi</v>
      </c>
      <c r="J236" t="str">
        <f>_xlfn.XLOOKUP(Table1[[#This Row],[Department]], Doctor_Info!A:A, Doctor_Info!C:C, "")&amp;""</f>
        <v>102</v>
      </c>
    </row>
    <row r="237" spans="1:10" x14ac:dyDescent="0.2">
      <c r="A237" t="s">
        <v>249</v>
      </c>
      <c r="B237" s="3">
        <v>45332</v>
      </c>
      <c r="D237" t="s">
        <v>10</v>
      </c>
      <c r="E237">
        <v>28</v>
      </c>
      <c r="F237" t="s">
        <v>534</v>
      </c>
      <c r="G237" s="2">
        <v>236510</v>
      </c>
      <c r="H237" t="s">
        <v>403</v>
      </c>
      <c r="I237" t="str">
        <f>IFERROR(VLOOKUP(Table1[[#This Row],[Department]],Doctor_Info!A:D,2,FALSE), "")</f>
        <v>Dr. George</v>
      </c>
      <c r="J237" t="str">
        <f>_xlfn.XLOOKUP(Table1[[#This Row],[Department]], Doctor_Info!A:A, Doctor_Info!C:C, "")&amp;""</f>
        <v>405</v>
      </c>
    </row>
    <row r="238" spans="1:10" x14ac:dyDescent="0.2">
      <c r="A238" t="s">
        <v>250</v>
      </c>
      <c r="B238" s="3">
        <v>45319</v>
      </c>
      <c r="C238" s="3">
        <v>45327</v>
      </c>
      <c r="D238" t="s">
        <v>7</v>
      </c>
      <c r="E238">
        <v>30</v>
      </c>
      <c r="F238" t="s">
        <v>533</v>
      </c>
      <c r="G238" s="2">
        <v>237480</v>
      </c>
      <c r="H238" t="s">
        <v>8</v>
      </c>
      <c r="I238" t="str">
        <f>IFERROR(VLOOKUP(Table1[[#This Row],[Department]],Doctor_Info!A:D,2,FALSE), "")</f>
        <v>Dr. Ada</v>
      </c>
      <c r="J238" t="str">
        <f>_xlfn.XLOOKUP(Table1[[#This Row],[Department]], Doctor_Info!A:A, Doctor_Info!C:C, "")&amp;""</f>
        <v>301</v>
      </c>
    </row>
    <row r="239" spans="1:10" x14ac:dyDescent="0.2">
      <c r="A239" t="s">
        <v>251</v>
      </c>
      <c r="B239" s="3">
        <v>45323</v>
      </c>
      <c r="C239" s="3">
        <v>45324</v>
      </c>
      <c r="D239" t="s">
        <v>528</v>
      </c>
      <c r="E239">
        <v>32</v>
      </c>
      <c r="F239" t="s">
        <v>534</v>
      </c>
      <c r="G239" s="2">
        <v>238450</v>
      </c>
      <c r="H239" t="s">
        <v>6</v>
      </c>
      <c r="I239" t="str">
        <f>IFERROR(VLOOKUP(Table1[[#This Row],[Department]],Doctor_Info!A:D,2,FALSE), "")</f>
        <v>Dr. Kofi</v>
      </c>
      <c r="J239" t="str">
        <f>_xlfn.XLOOKUP(Table1[[#This Row],[Department]], Doctor_Info!A:A, Doctor_Info!C:C, "")&amp;""</f>
        <v>102</v>
      </c>
    </row>
    <row r="240" spans="1:10" x14ac:dyDescent="0.2">
      <c r="A240" t="s">
        <v>252</v>
      </c>
      <c r="B240" s="3">
        <v>45325</v>
      </c>
      <c r="C240" s="3">
        <v>45337</v>
      </c>
      <c r="D240" t="s">
        <v>12</v>
      </c>
      <c r="E240">
        <v>34</v>
      </c>
      <c r="F240" t="s">
        <v>533</v>
      </c>
      <c r="G240" s="2">
        <v>239420</v>
      </c>
      <c r="H240" t="s">
        <v>8</v>
      </c>
      <c r="I240" t="str">
        <f>IFERROR(VLOOKUP(Table1[[#This Row],[Department]],Doctor_Info!A:D,2,FALSE), "")</f>
        <v>Dr. Temi</v>
      </c>
      <c r="J240" t="str">
        <f>_xlfn.XLOOKUP(Table1[[#This Row],[Department]], Doctor_Info!A:A, Doctor_Info!C:C, "")&amp;""</f>
        <v>502</v>
      </c>
    </row>
    <row r="241" spans="1:10" x14ac:dyDescent="0.2">
      <c r="A241" t="s">
        <v>253</v>
      </c>
      <c r="B241" s="3">
        <v>45327</v>
      </c>
      <c r="C241" s="3">
        <v>45328</v>
      </c>
      <c r="D241" t="s">
        <v>528</v>
      </c>
      <c r="E241">
        <v>36</v>
      </c>
      <c r="F241" t="s">
        <v>534</v>
      </c>
      <c r="G241" s="2">
        <v>240390</v>
      </c>
      <c r="H241" t="s">
        <v>6</v>
      </c>
      <c r="I241" t="str">
        <f>IFERROR(VLOOKUP(Table1[[#This Row],[Department]],Doctor_Info!A:D,2,FALSE), "")</f>
        <v>Dr. Kofi</v>
      </c>
      <c r="J241" t="str">
        <f>_xlfn.XLOOKUP(Table1[[#This Row],[Department]], Doctor_Info!A:A, Doctor_Info!C:C, "")&amp;""</f>
        <v>102</v>
      </c>
    </row>
    <row r="242" spans="1:10" x14ac:dyDescent="0.2">
      <c r="A242" t="s">
        <v>254</v>
      </c>
      <c r="B242" s="3">
        <v>45332</v>
      </c>
      <c r="D242" t="s">
        <v>10</v>
      </c>
      <c r="E242">
        <v>38</v>
      </c>
      <c r="F242" t="s">
        <v>534</v>
      </c>
      <c r="G242" s="2">
        <v>241360</v>
      </c>
      <c r="H242" t="s">
        <v>403</v>
      </c>
      <c r="I242" t="str">
        <f>IFERROR(VLOOKUP(Table1[[#This Row],[Department]],Doctor_Info!A:D,2,FALSE), "")</f>
        <v>Dr. George</v>
      </c>
      <c r="J242" t="str">
        <f>_xlfn.XLOOKUP(Table1[[#This Row],[Department]], Doctor_Info!A:A, Doctor_Info!C:C, "")&amp;""</f>
        <v>405</v>
      </c>
    </row>
    <row r="243" spans="1:10" x14ac:dyDescent="0.2">
      <c r="A243" t="s">
        <v>255</v>
      </c>
      <c r="B243" s="3">
        <v>45319</v>
      </c>
      <c r="C243" s="3">
        <v>45327</v>
      </c>
      <c r="D243" t="s">
        <v>7</v>
      </c>
      <c r="E243">
        <v>40</v>
      </c>
      <c r="F243" t="s">
        <v>533</v>
      </c>
      <c r="G243" s="2">
        <v>242330</v>
      </c>
      <c r="H243" t="s">
        <v>8</v>
      </c>
      <c r="I243" t="str">
        <f>IFERROR(VLOOKUP(Table1[[#This Row],[Department]],Doctor_Info!A:D,2,FALSE), "")</f>
        <v>Dr. Ada</v>
      </c>
      <c r="J243" t="str">
        <f>_xlfn.XLOOKUP(Table1[[#This Row],[Department]], Doctor_Info!A:A, Doctor_Info!C:C, "")&amp;""</f>
        <v>301</v>
      </c>
    </row>
    <row r="244" spans="1:10" x14ac:dyDescent="0.2">
      <c r="A244" t="s">
        <v>256</v>
      </c>
      <c r="B244" s="3">
        <v>45323</v>
      </c>
      <c r="C244" s="3">
        <v>45324</v>
      </c>
      <c r="D244" t="s">
        <v>528</v>
      </c>
      <c r="E244">
        <v>42</v>
      </c>
      <c r="F244" t="s">
        <v>534</v>
      </c>
      <c r="G244" s="2">
        <v>243300</v>
      </c>
      <c r="H244" t="s">
        <v>6</v>
      </c>
      <c r="I244" t="str">
        <f>IFERROR(VLOOKUP(Table1[[#This Row],[Department]],Doctor_Info!A:D,2,FALSE), "")</f>
        <v>Dr. Kofi</v>
      </c>
      <c r="J244" t="str">
        <f>_xlfn.XLOOKUP(Table1[[#This Row],[Department]], Doctor_Info!A:A, Doctor_Info!C:C, "")&amp;""</f>
        <v>102</v>
      </c>
    </row>
    <row r="245" spans="1:10" x14ac:dyDescent="0.2">
      <c r="A245" t="s">
        <v>257</v>
      </c>
      <c r="B245" s="3">
        <v>45325</v>
      </c>
      <c r="C245" s="3">
        <v>45337</v>
      </c>
      <c r="D245" t="s">
        <v>12</v>
      </c>
      <c r="E245">
        <v>44</v>
      </c>
      <c r="F245" t="s">
        <v>533</v>
      </c>
      <c r="G245" s="2">
        <v>244270</v>
      </c>
      <c r="H245" t="s">
        <v>8</v>
      </c>
      <c r="I245" t="str">
        <f>IFERROR(VLOOKUP(Table1[[#This Row],[Department]],Doctor_Info!A:D,2,FALSE), "")</f>
        <v>Dr. Temi</v>
      </c>
      <c r="J245" t="str">
        <f>_xlfn.XLOOKUP(Table1[[#This Row],[Department]], Doctor_Info!A:A, Doctor_Info!C:C, "")&amp;""</f>
        <v>502</v>
      </c>
    </row>
    <row r="246" spans="1:10" x14ac:dyDescent="0.2">
      <c r="A246" t="s">
        <v>258</v>
      </c>
      <c r="B246" s="3">
        <v>45327</v>
      </c>
      <c r="C246" s="3">
        <v>45328</v>
      </c>
      <c r="D246" t="s">
        <v>528</v>
      </c>
      <c r="E246">
        <v>46</v>
      </c>
      <c r="F246" t="s">
        <v>534</v>
      </c>
      <c r="G246" s="2">
        <v>245240</v>
      </c>
      <c r="H246" t="s">
        <v>6</v>
      </c>
      <c r="I246" t="str">
        <f>IFERROR(VLOOKUP(Table1[[#This Row],[Department]],Doctor_Info!A:D,2,FALSE), "")</f>
        <v>Dr. Kofi</v>
      </c>
      <c r="J246" t="str">
        <f>_xlfn.XLOOKUP(Table1[[#This Row],[Department]], Doctor_Info!A:A, Doctor_Info!C:C, "")&amp;""</f>
        <v>102</v>
      </c>
    </row>
    <row r="247" spans="1:10" x14ac:dyDescent="0.2">
      <c r="A247" t="s">
        <v>259</v>
      </c>
      <c r="B247" s="3">
        <v>45332</v>
      </c>
      <c r="D247" t="s">
        <v>10</v>
      </c>
      <c r="E247">
        <v>48</v>
      </c>
      <c r="F247" t="s">
        <v>534</v>
      </c>
      <c r="G247" s="2">
        <v>246210</v>
      </c>
      <c r="H247" t="s">
        <v>403</v>
      </c>
      <c r="I247" t="str">
        <f>IFERROR(VLOOKUP(Table1[[#This Row],[Department]],Doctor_Info!A:D,2,FALSE), "")</f>
        <v>Dr. George</v>
      </c>
      <c r="J247" t="str">
        <f>_xlfn.XLOOKUP(Table1[[#This Row],[Department]], Doctor_Info!A:A, Doctor_Info!C:C, "")&amp;""</f>
        <v>405</v>
      </c>
    </row>
    <row r="248" spans="1:10" x14ac:dyDescent="0.2">
      <c r="A248" t="s">
        <v>260</v>
      </c>
      <c r="B248" s="3">
        <v>45319</v>
      </c>
      <c r="C248" s="3">
        <v>45327</v>
      </c>
      <c r="D248" t="s">
        <v>7</v>
      </c>
      <c r="E248">
        <v>50</v>
      </c>
      <c r="F248" t="s">
        <v>533</v>
      </c>
      <c r="G248" s="2">
        <v>247180</v>
      </c>
      <c r="H248" t="s">
        <v>8</v>
      </c>
      <c r="I248" t="str">
        <f>IFERROR(VLOOKUP(Table1[[#This Row],[Department]],Doctor_Info!A:D,2,FALSE), "")</f>
        <v>Dr. Ada</v>
      </c>
      <c r="J248" t="str">
        <f>_xlfn.XLOOKUP(Table1[[#This Row],[Department]], Doctor_Info!A:A, Doctor_Info!C:C, "")&amp;""</f>
        <v>301</v>
      </c>
    </row>
    <row r="249" spans="1:10" x14ac:dyDescent="0.2">
      <c r="A249" t="s">
        <v>261</v>
      </c>
      <c r="B249" s="3">
        <v>45323</v>
      </c>
      <c r="C249" s="3">
        <v>45324</v>
      </c>
      <c r="D249" t="s">
        <v>528</v>
      </c>
      <c r="E249">
        <v>52</v>
      </c>
      <c r="F249" t="s">
        <v>534</v>
      </c>
      <c r="G249" s="2">
        <v>248150</v>
      </c>
      <c r="H249" t="s">
        <v>6</v>
      </c>
      <c r="I249" t="str">
        <f>IFERROR(VLOOKUP(Table1[[#This Row],[Department]],Doctor_Info!A:D,2,FALSE), "")</f>
        <v>Dr. Kofi</v>
      </c>
      <c r="J249" t="str">
        <f>_xlfn.XLOOKUP(Table1[[#This Row],[Department]], Doctor_Info!A:A, Doctor_Info!C:C, "")&amp;""</f>
        <v>102</v>
      </c>
    </row>
    <row r="250" spans="1:10" x14ac:dyDescent="0.2">
      <c r="A250" t="s">
        <v>262</v>
      </c>
      <c r="B250" s="3">
        <v>45325</v>
      </c>
      <c r="C250" s="3">
        <v>45337</v>
      </c>
      <c r="D250" t="s">
        <v>12</v>
      </c>
      <c r="E250">
        <v>54</v>
      </c>
      <c r="F250" t="s">
        <v>533</v>
      </c>
      <c r="G250" s="2">
        <v>249120</v>
      </c>
      <c r="H250" t="s">
        <v>8</v>
      </c>
      <c r="I250" t="str">
        <f>IFERROR(VLOOKUP(Table1[[#This Row],[Department]],Doctor_Info!A:D,2,FALSE), "")</f>
        <v>Dr. Temi</v>
      </c>
      <c r="J250" t="str">
        <f>_xlfn.XLOOKUP(Table1[[#This Row],[Department]], Doctor_Info!A:A, Doctor_Info!C:C, "")&amp;""</f>
        <v>502</v>
      </c>
    </row>
    <row r="251" spans="1:10" x14ac:dyDescent="0.2">
      <c r="A251" t="s">
        <v>263</v>
      </c>
      <c r="B251" s="3">
        <v>45327</v>
      </c>
      <c r="C251" s="3">
        <v>45328</v>
      </c>
      <c r="D251" t="s">
        <v>528</v>
      </c>
      <c r="E251">
        <v>56</v>
      </c>
      <c r="F251" t="s">
        <v>534</v>
      </c>
      <c r="G251" s="2">
        <v>250090</v>
      </c>
      <c r="H251" t="s">
        <v>6</v>
      </c>
      <c r="I251" t="str">
        <f>IFERROR(VLOOKUP(Table1[[#This Row],[Department]],Doctor_Info!A:D,2,FALSE), "")</f>
        <v>Dr. Kofi</v>
      </c>
      <c r="J251" t="str">
        <f>_xlfn.XLOOKUP(Table1[[#This Row],[Department]], Doctor_Info!A:A, Doctor_Info!C:C, "")&amp;""</f>
        <v>102</v>
      </c>
    </row>
    <row r="252" spans="1:10" x14ac:dyDescent="0.2">
      <c r="A252" t="s">
        <v>264</v>
      </c>
      <c r="B252" s="3">
        <v>45332</v>
      </c>
      <c r="D252" t="s">
        <v>10</v>
      </c>
      <c r="E252">
        <v>58</v>
      </c>
      <c r="F252" t="s">
        <v>534</v>
      </c>
      <c r="G252" s="2">
        <v>251060</v>
      </c>
      <c r="H252" t="s">
        <v>403</v>
      </c>
      <c r="I252" t="str">
        <f>IFERROR(VLOOKUP(Table1[[#This Row],[Department]],Doctor_Info!A:D,2,FALSE), "")</f>
        <v>Dr. George</v>
      </c>
      <c r="J252" t="str">
        <f>_xlfn.XLOOKUP(Table1[[#This Row],[Department]], Doctor_Info!A:A, Doctor_Info!C:C, "")&amp;""</f>
        <v>405</v>
      </c>
    </row>
    <row r="253" spans="1:10" x14ac:dyDescent="0.2">
      <c r="A253" t="s">
        <v>265</v>
      </c>
      <c r="B253" s="3">
        <v>45319</v>
      </c>
      <c r="C253" s="3">
        <v>45327</v>
      </c>
      <c r="D253" t="s">
        <v>7</v>
      </c>
      <c r="E253">
        <v>60</v>
      </c>
      <c r="F253" t="s">
        <v>533</v>
      </c>
      <c r="G253" s="2">
        <v>252030</v>
      </c>
      <c r="H253" t="s">
        <v>8</v>
      </c>
      <c r="I253" t="str">
        <f>IFERROR(VLOOKUP(Table1[[#This Row],[Department]],Doctor_Info!A:D,2,FALSE), "")</f>
        <v>Dr. Ada</v>
      </c>
      <c r="J253" t="str">
        <f>_xlfn.XLOOKUP(Table1[[#This Row],[Department]], Doctor_Info!A:A, Doctor_Info!C:C, "")&amp;""</f>
        <v>301</v>
      </c>
    </row>
    <row r="254" spans="1:10" x14ac:dyDescent="0.2">
      <c r="A254" t="s">
        <v>266</v>
      </c>
      <c r="B254" s="3">
        <v>45323</v>
      </c>
      <c r="C254" s="3">
        <v>45324</v>
      </c>
      <c r="D254" t="s">
        <v>528</v>
      </c>
      <c r="E254">
        <v>62</v>
      </c>
      <c r="F254" t="s">
        <v>534</v>
      </c>
      <c r="G254" s="2">
        <v>253000</v>
      </c>
      <c r="H254" t="s">
        <v>6</v>
      </c>
      <c r="I254" t="str">
        <f>IFERROR(VLOOKUP(Table1[[#This Row],[Department]],Doctor_Info!A:D,2,FALSE), "")</f>
        <v>Dr. Kofi</v>
      </c>
      <c r="J254" t="str">
        <f>_xlfn.XLOOKUP(Table1[[#This Row],[Department]], Doctor_Info!A:A, Doctor_Info!C:C, "")&amp;""</f>
        <v>102</v>
      </c>
    </row>
    <row r="255" spans="1:10" x14ac:dyDescent="0.2">
      <c r="A255" t="s">
        <v>267</v>
      </c>
      <c r="B255" s="3">
        <v>45325</v>
      </c>
      <c r="C255" s="3">
        <v>45337</v>
      </c>
      <c r="D255" t="s">
        <v>12</v>
      </c>
      <c r="E255">
        <v>64</v>
      </c>
      <c r="F255" t="s">
        <v>533</v>
      </c>
      <c r="G255" s="2">
        <v>253970</v>
      </c>
      <c r="H255" t="s">
        <v>8</v>
      </c>
      <c r="I255" t="str">
        <f>IFERROR(VLOOKUP(Table1[[#This Row],[Department]],Doctor_Info!A:D,2,FALSE), "")</f>
        <v>Dr. Temi</v>
      </c>
      <c r="J255" t="str">
        <f>_xlfn.XLOOKUP(Table1[[#This Row],[Department]], Doctor_Info!A:A, Doctor_Info!C:C, "")&amp;""</f>
        <v>502</v>
      </c>
    </row>
    <row r="256" spans="1:10" x14ac:dyDescent="0.2">
      <c r="A256" t="s">
        <v>268</v>
      </c>
      <c r="B256" s="3">
        <v>45327</v>
      </c>
      <c r="C256" s="3">
        <v>45328</v>
      </c>
      <c r="D256" t="s">
        <v>528</v>
      </c>
      <c r="E256">
        <v>66</v>
      </c>
      <c r="F256" t="s">
        <v>534</v>
      </c>
      <c r="G256" s="2">
        <v>254940</v>
      </c>
      <c r="H256" t="s">
        <v>6</v>
      </c>
      <c r="I256" t="str">
        <f>IFERROR(VLOOKUP(Table1[[#This Row],[Department]],Doctor_Info!A:D,2,FALSE), "")</f>
        <v>Dr. Kofi</v>
      </c>
      <c r="J256" t="str">
        <f>_xlfn.XLOOKUP(Table1[[#This Row],[Department]], Doctor_Info!A:A, Doctor_Info!C:C, "")&amp;""</f>
        <v>102</v>
      </c>
    </row>
    <row r="257" spans="1:10" x14ac:dyDescent="0.2">
      <c r="A257" t="s">
        <v>269</v>
      </c>
      <c r="B257" s="3">
        <v>45332</v>
      </c>
      <c r="D257" t="s">
        <v>10</v>
      </c>
      <c r="E257">
        <v>68</v>
      </c>
      <c r="F257" t="s">
        <v>534</v>
      </c>
      <c r="G257" s="2">
        <v>255910</v>
      </c>
      <c r="H257" t="s">
        <v>403</v>
      </c>
      <c r="I257" t="str">
        <f>IFERROR(VLOOKUP(Table1[[#This Row],[Department]],Doctor_Info!A:D,2,FALSE), "")</f>
        <v>Dr. George</v>
      </c>
      <c r="J257" t="str">
        <f>_xlfn.XLOOKUP(Table1[[#This Row],[Department]], Doctor_Info!A:A, Doctor_Info!C:C, "")&amp;""</f>
        <v>405</v>
      </c>
    </row>
    <row r="258" spans="1:10" x14ac:dyDescent="0.2">
      <c r="A258" t="s">
        <v>270</v>
      </c>
      <c r="B258" s="3">
        <v>45319</v>
      </c>
      <c r="C258" s="3">
        <v>45327</v>
      </c>
      <c r="D258" t="s">
        <v>7</v>
      </c>
      <c r="E258">
        <v>70</v>
      </c>
      <c r="F258" t="s">
        <v>533</v>
      </c>
      <c r="G258" s="2">
        <v>256880</v>
      </c>
      <c r="H258" t="s">
        <v>8</v>
      </c>
      <c r="I258" t="str">
        <f>IFERROR(VLOOKUP(Table1[[#This Row],[Department]],Doctor_Info!A:D,2,FALSE), "")</f>
        <v>Dr. Ada</v>
      </c>
      <c r="J258" t="str">
        <f>_xlfn.XLOOKUP(Table1[[#This Row],[Department]], Doctor_Info!A:A, Doctor_Info!C:C, "")&amp;""</f>
        <v>301</v>
      </c>
    </row>
    <row r="259" spans="1:10" x14ac:dyDescent="0.2">
      <c r="A259" t="s">
        <v>271</v>
      </c>
      <c r="B259" s="3">
        <v>45323</v>
      </c>
      <c r="C259" s="3">
        <v>45324</v>
      </c>
      <c r="D259" t="s">
        <v>528</v>
      </c>
      <c r="E259">
        <v>72</v>
      </c>
      <c r="F259" t="s">
        <v>534</v>
      </c>
      <c r="G259" s="2">
        <v>257850</v>
      </c>
      <c r="H259" t="s">
        <v>6</v>
      </c>
      <c r="I259" t="str">
        <f>IFERROR(VLOOKUP(Table1[[#This Row],[Department]],Doctor_Info!A:D,2,FALSE), "")</f>
        <v>Dr. Kofi</v>
      </c>
      <c r="J259" t="str">
        <f>_xlfn.XLOOKUP(Table1[[#This Row],[Department]], Doctor_Info!A:A, Doctor_Info!C:C, "")&amp;""</f>
        <v>102</v>
      </c>
    </row>
    <row r="260" spans="1:10" x14ac:dyDescent="0.2">
      <c r="A260" t="s">
        <v>272</v>
      </c>
      <c r="B260" s="3">
        <v>45325</v>
      </c>
      <c r="C260" s="3">
        <v>45337</v>
      </c>
      <c r="D260" t="s">
        <v>12</v>
      </c>
      <c r="E260">
        <v>74</v>
      </c>
      <c r="F260" t="s">
        <v>533</v>
      </c>
      <c r="G260" s="2">
        <v>258820</v>
      </c>
      <c r="H260" t="s">
        <v>8</v>
      </c>
      <c r="I260" t="str">
        <f>IFERROR(VLOOKUP(Table1[[#This Row],[Department]],Doctor_Info!A:D,2,FALSE), "")</f>
        <v>Dr. Temi</v>
      </c>
      <c r="J260" t="str">
        <f>_xlfn.XLOOKUP(Table1[[#This Row],[Department]], Doctor_Info!A:A, Doctor_Info!C:C, "")&amp;""</f>
        <v>502</v>
      </c>
    </row>
    <row r="261" spans="1:10" x14ac:dyDescent="0.2">
      <c r="A261" t="s">
        <v>273</v>
      </c>
      <c r="B261" s="3">
        <v>45327</v>
      </c>
      <c r="C261" s="3">
        <v>45328</v>
      </c>
      <c r="D261" t="s">
        <v>528</v>
      </c>
      <c r="E261">
        <v>76</v>
      </c>
      <c r="F261" t="s">
        <v>534</v>
      </c>
      <c r="G261" s="2">
        <v>259790</v>
      </c>
      <c r="H261" t="s">
        <v>6</v>
      </c>
      <c r="I261" t="str">
        <f>IFERROR(VLOOKUP(Table1[[#This Row],[Department]],Doctor_Info!A:D,2,FALSE), "")</f>
        <v>Dr. Kofi</v>
      </c>
      <c r="J261" t="str">
        <f>_xlfn.XLOOKUP(Table1[[#This Row],[Department]], Doctor_Info!A:A, Doctor_Info!C:C, "")&amp;""</f>
        <v>102</v>
      </c>
    </row>
    <row r="262" spans="1:10" x14ac:dyDescent="0.2">
      <c r="A262" t="s">
        <v>274</v>
      </c>
      <c r="B262" s="3">
        <v>45319</v>
      </c>
      <c r="C262" s="3">
        <v>45327</v>
      </c>
      <c r="D262" t="s">
        <v>7</v>
      </c>
      <c r="E262">
        <v>80</v>
      </c>
      <c r="F262" t="s">
        <v>533</v>
      </c>
      <c r="G262" s="2">
        <v>261730</v>
      </c>
      <c r="H262" t="s">
        <v>8</v>
      </c>
      <c r="I262" t="str">
        <f>IFERROR(VLOOKUP(Table1[[#This Row],[Department]],Doctor_Info!A:D,2,FALSE), "")</f>
        <v>Dr. Ada</v>
      </c>
      <c r="J262" t="str">
        <f>_xlfn.XLOOKUP(Table1[[#This Row],[Department]], Doctor_Info!A:A, Doctor_Info!C:C, "")&amp;""</f>
        <v>301</v>
      </c>
    </row>
    <row r="263" spans="1:10" x14ac:dyDescent="0.2">
      <c r="A263" t="s">
        <v>275</v>
      </c>
      <c r="B263" s="3">
        <v>45323</v>
      </c>
      <c r="C263" s="3">
        <v>45324</v>
      </c>
      <c r="D263" t="s">
        <v>528</v>
      </c>
      <c r="E263">
        <v>82</v>
      </c>
      <c r="F263" t="s">
        <v>534</v>
      </c>
      <c r="G263" s="2">
        <v>262700</v>
      </c>
      <c r="H263" t="s">
        <v>6</v>
      </c>
      <c r="I263" t="str">
        <f>IFERROR(VLOOKUP(Table1[[#This Row],[Department]],Doctor_Info!A:D,2,FALSE), "")</f>
        <v>Dr. Kofi</v>
      </c>
      <c r="J263" t="str">
        <f>_xlfn.XLOOKUP(Table1[[#This Row],[Department]], Doctor_Info!A:A, Doctor_Info!C:C, "")&amp;""</f>
        <v>102</v>
      </c>
    </row>
    <row r="264" spans="1:10" x14ac:dyDescent="0.2">
      <c r="A264" t="s">
        <v>276</v>
      </c>
      <c r="B264" s="3">
        <v>45325</v>
      </c>
      <c r="C264" s="3">
        <v>45337</v>
      </c>
      <c r="D264" t="s">
        <v>12</v>
      </c>
      <c r="E264">
        <v>84</v>
      </c>
      <c r="F264" t="s">
        <v>533</v>
      </c>
      <c r="G264" s="2">
        <v>263670</v>
      </c>
      <c r="H264" t="s">
        <v>8</v>
      </c>
      <c r="I264" t="str">
        <f>IFERROR(VLOOKUP(Table1[[#This Row],[Department]],Doctor_Info!A:D,2,FALSE), "")</f>
        <v>Dr. Temi</v>
      </c>
      <c r="J264" t="str">
        <f>_xlfn.XLOOKUP(Table1[[#This Row],[Department]], Doctor_Info!A:A, Doctor_Info!C:C, "")&amp;""</f>
        <v>502</v>
      </c>
    </row>
    <row r="265" spans="1:10" x14ac:dyDescent="0.2">
      <c r="A265" t="s">
        <v>277</v>
      </c>
      <c r="B265" s="3">
        <v>45327</v>
      </c>
      <c r="C265" s="3">
        <v>45328</v>
      </c>
      <c r="D265" t="s">
        <v>528</v>
      </c>
      <c r="E265">
        <v>86</v>
      </c>
      <c r="F265" t="s">
        <v>534</v>
      </c>
      <c r="G265" s="2">
        <v>264640</v>
      </c>
      <c r="H265" t="s">
        <v>6</v>
      </c>
      <c r="I265" t="str">
        <f>IFERROR(VLOOKUP(Table1[[#This Row],[Department]],Doctor_Info!A:D,2,FALSE), "")</f>
        <v>Dr. Kofi</v>
      </c>
      <c r="J265" t="str">
        <f>_xlfn.XLOOKUP(Table1[[#This Row],[Department]], Doctor_Info!A:A, Doctor_Info!C:C, "")&amp;""</f>
        <v>102</v>
      </c>
    </row>
    <row r="266" spans="1:10" x14ac:dyDescent="0.2">
      <c r="A266" t="s">
        <v>278</v>
      </c>
      <c r="B266" s="3">
        <v>45332</v>
      </c>
      <c r="D266" t="s">
        <v>10</v>
      </c>
      <c r="E266">
        <v>88</v>
      </c>
      <c r="F266" t="s">
        <v>534</v>
      </c>
      <c r="G266" s="2">
        <v>265610</v>
      </c>
      <c r="H266" t="s">
        <v>403</v>
      </c>
      <c r="I266" t="str">
        <f>IFERROR(VLOOKUP(Table1[[#This Row],[Department]],Doctor_Info!A:D,2,FALSE), "")</f>
        <v>Dr. George</v>
      </c>
      <c r="J266" t="str">
        <f>_xlfn.XLOOKUP(Table1[[#This Row],[Department]], Doctor_Info!A:A, Doctor_Info!C:C, "")&amp;""</f>
        <v>405</v>
      </c>
    </row>
    <row r="267" spans="1:10" x14ac:dyDescent="0.2">
      <c r="A267" t="s">
        <v>279</v>
      </c>
      <c r="B267" s="3">
        <v>45319</v>
      </c>
      <c r="C267" s="3">
        <v>45327</v>
      </c>
      <c r="D267" t="s">
        <v>7</v>
      </c>
      <c r="E267">
        <v>90</v>
      </c>
      <c r="F267" t="s">
        <v>533</v>
      </c>
      <c r="G267" s="2">
        <v>266580</v>
      </c>
      <c r="H267" t="s">
        <v>8</v>
      </c>
      <c r="I267" t="str">
        <f>IFERROR(VLOOKUP(Table1[[#This Row],[Department]],Doctor_Info!A:D,2,FALSE), "")</f>
        <v>Dr. Ada</v>
      </c>
      <c r="J267" t="str">
        <f>_xlfn.XLOOKUP(Table1[[#This Row],[Department]], Doctor_Info!A:A, Doctor_Info!C:C, "")&amp;""</f>
        <v>301</v>
      </c>
    </row>
    <row r="268" spans="1:10" x14ac:dyDescent="0.2">
      <c r="A268" t="s">
        <v>280</v>
      </c>
      <c r="B268" s="3">
        <v>45323</v>
      </c>
      <c r="C268" s="3">
        <v>45324</v>
      </c>
      <c r="D268" t="s">
        <v>528</v>
      </c>
      <c r="E268">
        <v>92</v>
      </c>
      <c r="F268" t="s">
        <v>534</v>
      </c>
      <c r="G268" s="2">
        <v>267550</v>
      </c>
      <c r="H268" t="s">
        <v>6</v>
      </c>
      <c r="I268" t="str">
        <f>IFERROR(VLOOKUP(Table1[[#This Row],[Department]],Doctor_Info!A:D,2,FALSE), "")</f>
        <v>Dr. Kofi</v>
      </c>
      <c r="J268" t="str">
        <f>_xlfn.XLOOKUP(Table1[[#This Row],[Department]], Doctor_Info!A:A, Doctor_Info!C:C, "")&amp;""</f>
        <v>102</v>
      </c>
    </row>
    <row r="269" spans="1:10" x14ac:dyDescent="0.2">
      <c r="A269" t="s">
        <v>281</v>
      </c>
      <c r="B269" s="3">
        <v>45325</v>
      </c>
      <c r="C269" s="3">
        <v>45337</v>
      </c>
      <c r="D269" t="s">
        <v>12</v>
      </c>
      <c r="E269">
        <v>94</v>
      </c>
      <c r="F269" t="s">
        <v>533</v>
      </c>
      <c r="G269" s="2">
        <v>268520</v>
      </c>
      <c r="H269" t="s">
        <v>8</v>
      </c>
      <c r="I269" t="str">
        <f>IFERROR(VLOOKUP(Table1[[#This Row],[Department]],Doctor_Info!A:D,2,FALSE), "")</f>
        <v>Dr. Temi</v>
      </c>
      <c r="J269" t="str">
        <f>_xlfn.XLOOKUP(Table1[[#This Row],[Department]], Doctor_Info!A:A, Doctor_Info!C:C, "")&amp;""</f>
        <v>502</v>
      </c>
    </row>
    <row r="270" spans="1:10" x14ac:dyDescent="0.2">
      <c r="A270" t="s">
        <v>282</v>
      </c>
      <c r="B270" s="3">
        <v>45327</v>
      </c>
      <c r="C270" s="3">
        <v>45328</v>
      </c>
      <c r="D270" t="s">
        <v>528</v>
      </c>
      <c r="E270">
        <v>96</v>
      </c>
      <c r="F270" t="s">
        <v>534</v>
      </c>
      <c r="G270" s="2">
        <v>269490</v>
      </c>
      <c r="H270" t="s">
        <v>6</v>
      </c>
      <c r="I270" t="str">
        <f>IFERROR(VLOOKUP(Table1[[#This Row],[Department]],Doctor_Info!A:D,2,FALSE), "")</f>
        <v>Dr. Kofi</v>
      </c>
      <c r="J270" t="str">
        <f>_xlfn.XLOOKUP(Table1[[#This Row],[Department]], Doctor_Info!A:A, Doctor_Info!C:C, "")&amp;""</f>
        <v>102</v>
      </c>
    </row>
    <row r="271" spans="1:10" x14ac:dyDescent="0.2">
      <c r="A271" t="s">
        <v>283</v>
      </c>
      <c r="B271" s="3">
        <v>45332</v>
      </c>
      <c r="D271" t="s">
        <v>10</v>
      </c>
      <c r="E271">
        <v>98</v>
      </c>
      <c r="F271" t="s">
        <v>534</v>
      </c>
      <c r="G271" s="2">
        <v>270460</v>
      </c>
      <c r="H271" t="s">
        <v>403</v>
      </c>
      <c r="I271" t="str">
        <f>IFERROR(VLOOKUP(Table1[[#This Row],[Department]],Doctor_Info!A:D,2,FALSE), "")</f>
        <v>Dr. George</v>
      </c>
      <c r="J271" t="str">
        <f>_xlfn.XLOOKUP(Table1[[#This Row],[Department]], Doctor_Info!A:A, Doctor_Info!C:C, "")&amp;""</f>
        <v>405</v>
      </c>
    </row>
    <row r="272" spans="1:10" x14ac:dyDescent="0.2">
      <c r="A272" t="s">
        <v>284</v>
      </c>
      <c r="B272" s="3">
        <v>45319</v>
      </c>
      <c r="C272" s="3">
        <v>45327</v>
      </c>
      <c r="D272" t="s">
        <v>7</v>
      </c>
      <c r="E272">
        <v>100</v>
      </c>
      <c r="F272" t="s">
        <v>533</v>
      </c>
      <c r="G272" s="2">
        <v>271430</v>
      </c>
      <c r="H272" t="s">
        <v>8</v>
      </c>
      <c r="I272" t="str">
        <f>IFERROR(VLOOKUP(Table1[[#This Row],[Department]],Doctor_Info!A:D,2,FALSE), "")</f>
        <v>Dr. Ada</v>
      </c>
      <c r="J272" t="str">
        <f>_xlfn.XLOOKUP(Table1[[#This Row],[Department]], Doctor_Info!A:A, Doctor_Info!C:C, "")&amp;""</f>
        <v>301</v>
      </c>
    </row>
    <row r="273" spans="1:10" x14ac:dyDescent="0.2">
      <c r="A273" t="s">
        <v>285</v>
      </c>
      <c r="B273" s="3">
        <v>45323</v>
      </c>
      <c r="C273" s="3">
        <v>45324</v>
      </c>
      <c r="D273" t="s">
        <v>528</v>
      </c>
      <c r="E273">
        <v>2</v>
      </c>
      <c r="F273" t="s">
        <v>534</v>
      </c>
      <c r="G273" s="2">
        <v>272400</v>
      </c>
      <c r="H273" t="s">
        <v>6</v>
      </c>
      <c r="I273" t="str">
        <f>IFERROR(VLOOKUP(Table1[[#This Row],[Department]],Doctor_Info!A:D,2,FALSE), "")</f>
        <v>Dr. Kofi</v>
      </c>
      <c r="J273" t="str">
        <f>_xlfn.XLOOKUP(Table1[[#This Row],[Department]], Doctor_Info!A:A, Doctor_Info!C:C, "")&amp;""</f>
        <v>102</v>
      </c>
    </row>
    <row r="274" spans="1:10" x14ac:dyDescent="0.2">
      <c r="A274" t="s">
        <v>286</v>
      </c>
      <c r="B274" s="3">
        <v>45325</v>
      </c>
      <c r="C274" s="3">
        <v>45337</v>
      </c>
      <c r="D274" t="s">
        <v>12</v>
      </c>
      <c r="E274">
        <v>4</v>
      </c>
      <c r="F274" t="s">
        <v>533</v>
      </c>
      <c r="G274" s="2">
        <v>273370</v>
      </c>
      <c r="H274" t="s">
        <v>8</v>
      </c>
      <c r="I274" t="str">
        <f>IFERROR(VLOOKUP(Table1[[#This Row],[Department]],Doctor_Info!A:D,2,FALSE), "")</f>
        <v>Dr. Temi</v>
      </c>
      <c r="J274" t="str">
        <f>_xlfn.XLOOKUP(Table1[[#This Row],[Department]], Doctor_Info!A:A, Doctor_Info!C:C, "")&amp;""</f>
        <v>502</v>
      </c>
    </row>
    <row r="275" spans="1:10" x14ac:dyDescent="0.2">
      <c r="A275" t="s">
        <v>287</v>
      </c>
      <c r="B275" s="3">
        <v>45327</v>
      </c>
      <c r="C275" s="3">
        <v>45328</v>
      </c>
      <c r="D275" t="s">
        <v>528</v>
      </c>
      <c r="E275">
        <v>6</v>
      </c>
      <c r="F275" t="s">
        <v>534</v>
      </c>
      <c r="G275" s="2">
        <v>274340</v>
      </c>
      <c r="H275" t="s">
        <v>6</v>
      </c>
      <c r="I275" t="str">
        <f>IFERROR(VLOOKUP(Table1[[#This Row],[Department]],Doctor_Info!A:D,2,FALSE), "")</f>
        <v>Dr. Kofi</v>
      </c>
      <c r="J275" t="str">
        <f>_xlfn.XLOOKUP(Table1[[#This Row],[Department]], Doctor_Info!A:A, Doctor_Info!C:C, "")&amp;""</f>
        <v>102</v>
      </c>
    </row>
    <row r="276" spans="1:10" x14ac:dyDescent="0.2">
      <c r="A276" t="s">
        <v>288</v>
      </c>
      <c r="B276" s="3">
        <v>45332</v>
      </c>
      <c r="D276" t="s">
        <v>10</v>
      </c>
      <c r="E276">
        <v>8</v>
      </c>
      <c r="F276" t="s">
        <v>534</v>
      </c>
      <c r="G276" s="2">
        <v>275310</v>
      </c>
      <c r="H276" t="s">
        <v>403</v>
      </c>
      <c r="I276" t="str">
        <f>IFERROR(VLOOKUP(Table1[[#This Row],[Department]],Doctor_Info!A:D,2,FALSE), "")</f>
        <v>Dr. George</v>
      </c>
      <c r="J276" t="str">
        <f>_xlfn.XLOOKUP(Table1[[#This Row],[Department]], Doctor_Info!A:A, Doctor_Info!C:C, "")&amp;""</f>
        <v>405</v>
      </c>
    </row>
    <row r="277" spans="1:10" x14ac:dyDescent="0.2">
      <c r="A277" t="s">
        <v>289</v>
      </c>
      <c r="B277" s="3">
        <v>45319</v>
      </c>
      <c r="C277" s="3">
        <v>45327</v>
      </c>
      <c r="D277" t="s">
        <v>7</v>
      </c>
      <c r="E277">
        <v>10</v>
      </c>
      <c r="F277" t="s">
        <v>533</v>
      </c>
      <c r="G277" s="2">
        <v>276280</v>
      </c>
      <c r="H277" t="s">
        <v>8</v>
      </c>
      <c r="I277" t="str">
        <f>IFERROR(VLOOKUP(Table1[[#This Row],[Department]],Doctor_Info!A:D,2,FALSE), "")</f>
        <v>Dr. Ada</v>
      </c>
      <c r="J277" t="str">
        <f>_xlfn.XLOOKUP(Table1[[#This Row],[Department]], Doctor_Info!A:A, Doctor_Info!C:C, "")&amp;""</f>
        <v>301</v>
      </c>
    </row>
    <row r="278" spans="1:10" x14ac:dyDescent="0.2">
      <c r="A278" t="s">
        <v>290</v>
      </c>
      <c r="B278" s="3">
        <v>45323</v>
      </c>
      <c r="C278" s="3">
        <v>45324</v>
      </c>
      <c r="D278" t="s">
        <v>528</v>
      </c>
      <c r="E278">
        <v>12</v>
      </c>
      <c r="F278" t="s">
        <v>534</v>
      </c>
      <c r="G278" s="2">
        <v>277250</v>
      </c>
      <c r="H278" t="s">
        <v>6</v>
      </c>
      <c r="I278" t="str">
        <f>IFERROR(VLOOKUP(Table1[[#This Row],[Department]],Doctor_Info!A:D,2,FALSE), "")</f>
        <v>Dr. Kofi</v>
      </c>
      <c r="J278" t="str">
        <f>_xlfn.XLOOKUP(Table1[[#This Row],[Department]], Doctor_Info!A:A, Doctor_Info!C:C, "")&amp;""</f>
        <v>102</v>
      </c>
    </row>
    <row r="279" spans="1:10" x14ac:dyDescent="0.2">
      <c r="A279" t="s">
        <v>291</v>
      </c>
      <c r="B279" s="3">
        <v>45325</v>
      </c>
      <c r="C279" s="3">
        <v>45337</v>
      </c>
      <c r="D279" t="s">
        <v>12</v>
      </c>
      <c r="E279">
        <v>14</v>
      </c>
      <c r="F279" t="s">
        <v>533</v>
      </c>
      <c r="G279" s="2">
        <v>278220</v>
      </c>
      <c r="H279" t="s">
        <v>8</v>
      </c>
      <c r="I279" t="str">
        <f>IFERROR(VLOOKUP(Table1[[#This Row],[Department]],Doctor_Info!A:D,2,FALSE), "")</f>
        <v>Dr. Temi</v>
      </c>
      <c r="J279" t="str">
        <f>_xlfn.XLOOKUP(Table1[[#This Row],[Department]], Doctor_Info!A:A, Doctor_Info!C:C, "")&amp;""</f>
        <v>502</v>
      </c>
    </row>
    <row r="280" spans="1:10" x14ac:dyDescent="0.2">
      <c r="A280" t="s">
        <v>292</v>
      </c>
      <c r="B280" s="3">
        <v>45327</v>
      </c>
      <c r="C280" s="3">
        <v>45328</v>
      </c>
      <c r="D280" t="s">
        <v>528</v>
      </c>
      <c r="E280">
        <v>16</v>
      </c>
      <c r="F280" t="s">
        <v>534</v>
      </c>
      <c r="G280" s="2">
        <v>279190</v>
      </c>
      <c r="H280" t="s">
        <v>6</v>
      </c>
      <c r="I280" t="str">
        <f>IFERROR(VLOOKUP(Table1[[#This Row],[Department]],Doctor_Info!A:D,2,FALSE), "")</f>
        <v>Dr. Kofi</v>
      </c>
      <c r="J280" t="str">
        <f>_xlfn.XLOOKUP(Table1[[#This Row],[Department]], Doctor_Info!A:A, Doctor_Info!C:C, "")&amp;""</f>
        <v>102</v>
      </c>
    </row>
    <row r="281" spans="1:10" x14ac:dyDescent="0.2">
      <c r="A281" t="s">
        <v>293</v>
      </c>
      <c r="B281" s="3">
        <v>45332</v>
      </c>
      <c r="D281" t="s">
        <v>10</v>
      </c>
      <c r="E281">
        <v>18</v>
      </c>
      <c r="F281" t="s">
        <v>534</v>
      </c>
      <c r="G281" s="2">
        <v>280160</v>
      </c>
      <c r="H281" t="s">
        <v>403</v>
      </c>
      <c r="I281" t="str">
        <f>IFERROR(VLOOKUP(Table1[[#This Row],[Department]],Doctor_Info!A:D,2,FALSE), "")</f>
        <v>Dr. George</v>
      </c>
      <c r="J281" t="str">
        <f>_xlfn.XLOOKUP(Table1[[#This Row],[Department]], Doctor_Info!A:A, Doctor_Info!C:C, "")&amp;""</f>
        <v>405</v>
      </c>
    </row>
    <row r="282" spans="1:10" x14ac:dyDescent="0.2">
      <c r="A282" t="s">
        <v>294</v>
      </c>
      <c r="B282" s="3">
        <v>45319</v>
      </c>
      <c r="C282" s="3">
        <v>45327</v>
      </c>
      <c r="D282" t="s">
        <v>7</v>
      </c>
      <c r="E282">
        <v>20</v>
      </c>
      <c r="F282" t="s">
        <v>533</v>
      </c>
      <c r="G282" s="2">
        <v>281130</v>
      </c>
      <c r="H282" t="s">
        <v>8</v>
      </c>
      <c r="I282" t="str">
        <f>IFERROR(VLOOKUP(Table1[[#This Row],[Department]],Doctor_Info!A:D,2,FALSE), "")</f>
        <v>Dr. Ada</v>
      </c>
      <c r="J282" t="str">
        <f>_xlfn.XLOOKUP(Table1[[#This Row],[Department]], Doctor_Info!A:A, Doctor_Info!C:C, "")&amp;""</f>
        <v>301</v>
      </c>
    </row>
    <row r="283" spans="1:10" x14ac:dyDescent="0.2">
      <c r="A283" t="s">
        <v>295</v>
      </c>
      <c r="B283" s="3">
        <v>45323</v>
      </c>
      <c r="C283" s="3">
        <v>45324</v>
      </c>
      <c r="D283" t="s">
        <v>528</v>
      </c>
      <c r="E283">
        <v>22</v>
      </c>
      <c r="F283" t="s">
        <v>534</v>
      </c>
      <c r="G283" s="2">
        <v>282100</v>
      </c>
      <c r="H283" t="s">
        <v>6</v>
      </c>
      <c r="I283" t="str">
        <f>IFERROR(VLOOKUP(Table1[[#This Row],[Department]],Doctor_Info!A:D,2,FALSE), "")</f>
        <v>Dr. Kofi</v>
      </c>
      <c r="J283" t="str">
        <f>_xlfn.XLOOKUP(Table1[[#This Row],[Department]], Doctor_Info!A:A, Doctor_Info!C:C, "")&amp;""</f>
        <v>102</v>
      </c>
    </row>
    <row r="284" spans="1:10" x14ac:dyDescent="0.2">
      <c r="A284" t="s">
        <v>296</v>
      </c>
      <c r="B284" s="3">
        <v>45325</v>
      </c>
      <c r="C284" s="3">
        <v>45337</v>
      </c>
      <c r="D284" t="s">
        <v>12</v>
      </c>
      <c r="E284">
        <v>24</v>
      </c>
      <c r="F284" t="s">
        <v>533</v>
      </c>
      <c r="G284" s="2">
        <v>283070</v>
      </c>
      <c r="H284" t="s">
        <v>8</v>
      </c>
      <c r="I284" t="str">
        <f>IFERROR(VLOOKUP(Table1[[#This Row],[Department]],Doctor_Info!A:D,2,FALSE), "")</f>
        <v>Dr. Temi</v>
      </c>
      <c r="J284" t="str">
        <f>_xlfn.XLOOKUP(Table1[[#This Row],[Department]], Doctor_Info!A:A, Doctor_Info!C:C, "")&amp;""</f>
        <v>502</v>
      </c>
    </row>
    <row r="285" spans="1:10" x14ac:dyDescent="0.2">
      <c r="A285" t="s">
        <v>297</v>
      </c>
      <c r="B285" s="3">
        <v>45327</v>
      </c>
      <c r="C285" s="3">
        <v>45328</v>
      </c>
      <c r="D285" t="s">
        <v>528</v>
      </c>
      <c r="E285">
        <v>26</v>
      </c>
      <c r="F285" t="s">
        <v>534</v>
      </c>
      <c r="G285" s="2">
        <v>284040</v>
      </c>
      <c r="H285" t="s">
        <v>6</v>
      </c>
      <c r="I285" t="str">
        <f>IFERROR(VLOOKUP(Table1[[#This Row],[Department]],Doctor_Info!A:D,2,FALSE), "")</f>
        <v>Dr. Kofi</v>
      </c>
      <c r="J285" t="str">
        <f>_xlfn.XLOOKUP(Table1[[#This Row],[Department]], Doctor_Info!A:A, Doctor_Info!C:C, "")&amp;""</f>
        <v>102</v>
      </c>
    </row>
    <row r="286" spans="1:10" x14ac:dyDescent="0.2">
      <c r="A286" t="s">
        <v>298</v>
      </c>
      <c r="B286" s="3">
        <v>45332</v>
      </c>
      <c r="D286" t="s">
        <v>10</v>
      </c>
      <c r="E286">
        <v>28</v>
      </c>
      <c r="F286" t="s">
        <v>534</v>
      </c>
      <c r="G286" s="2">
        <v>285010</v>
      </c>
      <c r="H286" t="s">
        <v>403</v>
      </c>
      <c r="I286" t="str">
        <f>IFERROR(VLOOKUP(Table1[[#This Row],[Department]],Doctor_Info!A:D,2,FALSE), "")</f>
        <v>Dr. George</v>
      </c>
      <c r="J286" t="str">
        <f>_xlfn.XLOOKUP(Table1[[#This Row],[Department]], Doctor_Info!A:A, Doctor_Info!C:C, "")&amp;""</f>
        <v>405</v>
      </c>
    </row>
    <row r="287" spans="1:10" x14ac:dyDescent="0.2">
      <c r="A287" t="s">
        <v>299</v>
      </c>
      <c r="B287" s="3">
        <v>45319</v>
      </c>
      <c r="C287" s="3">
        <v>45327</v>
      </c>
      <c r="D287" t="s">
        <v>7</v>
      </c>
      <c r="E287">
        <v>30</v>
      </c>
      <c r="F287" t="s">
        <v>533</v>
      </c>
      <c r="G287" s="2">
        <v>285980</v>
      </c>
      <c r="H287" t="s">
        <v>8</v>
      </c>
      <c r="I287" t="str">
        <f>IFERROR(VLOOKUP(Table1[[#This Row],[Department]],Doctor_Info!A:D,2,FALSE), "")</f>
        <v>Dr. Ada</v>
      </c>
      <c r="J287" t="str">
        <f>_xlfn.XLOOKUP(Table1[[#This Row],[Department]], Doctor_Info!A:A, Doctor_Info!C:C, "")&amp;""</f>
        <v>301</v>
      </c>
    </row>
    <row r="288" spans="1:10" x14ac:dyDescent="0.2">
      <c r="A288" t="s">
        <v>300</v>
      </c>
      <c r="B288" s="3">
        <v>45323</v>
      </c>
      <c r="C288" s="3">
        <v>45324</v>
      </c>
      <c r="D288" t="s">
        <v>528</v>
      </c>
      <c r="E288">
        <v>32</v>
      </c>
      <c r="F288" t="s">
        <v>534</v>
      </c>
      <c r="G288" s="2">
        <v>286950</v>
      </c>
      <c r="H288" t="s">
        <v>6</v>
      </c>
      <c r="I288" t="str">
        <f>IFERROR(VLOOKUP(Table1[[#This Row],[Department]],Doctor_Info!A:D,2,FALSE), "")</f>
        <v>Dr. Kofi</v>
      </c>
      <c r="J288" t="str">
        <f>_xlfn.XLOOKUP(Table1[[#This Row],[Department]], Doctor_Info!A:A, Doctor_Info!C:C, "")&amp;""</f>
        <v>102</v>
      </c>
    </row>
    <row r="289" spans="1:10" x14ac:dyDescent="0.2">
      <c r="A289" t="s">
        <v>301</v>
      </c>
      <c r="B289" s="3">
        <v>45325</v>
      </c>
      <c r="C289" s="3">
        <v>45337</v>
      </c>
      <c r="D289" t="s">
        <v>12</v>
      </c>
      <c r="E289">
        <v>34</v>
      </c>
      <c r="F289" t="s">
        <v>533</v>
      </c>
      <c r="G289" s="2">
        <v>287920</v>
      </c>
      <c r="H289" t="s">
        <v>8</v>
      </c>
      <c r="I289" t="str">
        <f>IFERROR(VLOOKUP(Table1[[#This Row],[Department]],Doctor_Info!A:D,2,FALSE), "")</f>
        <v>Dr. Temi</v>
      </c>
      <c r="J289" t="str">
        <f>_xlfn.XLOOKUP(Table1[[#This Row],[Department]], Doctor_Info!A:A, Doctor_Info!C:C, "")&amp;""</f>
        <v>502</v>
      </c>
    </row>
    <row r="290" spans="1:10" x14ac:dyDescent="0.2">
      <c r="A290" t="s">
        <v>302</v>
      </c>
      <c r="B290" s="3">
        <v>45327</v>
      </c>
      <c r="C290" s="3">
        <v>45328</v>
      </c>
      <c r="D290" t="s">
        <v>528</v>
      </c>
      <c r="E290">
        <v>36</v>
      </c>
      <c r="F290" t="s">
        <v>534</v>
      </c>
      <c r="G290" s="2">
        <v>288890</v>
      </c>
      <c r="H290" t="s">
        <v>6</v>
      </c>
      <c r="I290" t="str">
        <f>IFERROR(VLOOKUP(Table1[[#This Row],[Department]],Doctor_Info!A:D,2,FALSE), "")</f>
        <v>Dr. Kofi</v>
      </c>
      <c r="J290" t="str">
        <f>_xlfn.XLOOKUP(Table1[[#This Row],[Department]], Doctor_Info!A:A, Doctor_Info!C:C, "")&amp;""</f>
        <v>102</v>
      </c>
    </row>
    <row r="291" spans="1:10" x14ac:dyDescent="0.2">
      <c r="A291" t="s">
        <v>303</v>
      </c>
      <c r="B291" s="3">
        <v>45332</v>
      </c>
      <c r="D291" t="s">
        <v>10</v>
      </c>
      <c r="E291">
        <v>38</v>
      </c>
      <c r="F291" t="s">
        <v>534</v>
      </c>
      <c r="G291" s="2">
        <v>289860</v>
      </c>
      <c r="H291" t="s">
        <v>403</v>
      </c>
      <c r="I291" t="str">
        <f>IFERROR(VLOOKUP(Table1[[#This Row],[Department]],Doctor_Info!A:D,2,FALSE), "")</f>
        <v>Dr. George</v>
      </c>
      <c r="J291" t="str">
        <f>_xlfn.XLOOKUP(Table1[[#This Row],[Department]], Doctor_Info!A:A, Doctor_Info!C:C, "")&amp;""</f>
        <v>405</v>
      </c>
    </row>
    <row r="292" spans="1:10" x14ac:dyDescent="0.2">
      <c r="A292" t="s">
        <v>304</v>
      </c>
      <c r="B292" s="3">
        <v>45319</v>
      </c>
      <c r="C292" s="3">
        <v>45327</v>
      </c>
      <c r="D292" t="s">
        <v>7</v>
      </c>
      <c r="E292">
        <v>40</v>
      </c>
      <c r="F292" t="s">
        <v>533</v>
      </c>
      <c r="G292" s="2">
        <v>290830</v>
      </c>
      <c r="H292" t="s">
        <v>8</v>
      </c>
      <c r="I292" t="str">
        <f>IFERROR(VLOOKUP(Table1[[#This Row],[Department]],Doctor_Info!A:D,2,FALSE), "")</f>
        <v>Dr. Ada</v>
      </c>
      <c r="J292" t="str">
        <f>_xlfn.XLOOKUP(Table1[[#This Row],[Department]], Doctor_Info!A:A, Doctor_Info!C:C, "")&amp;""</f>
        <v>301</v>
      </c>
    </row>
    <row r="293" spans="1:10" x14ac:dyDescent="0.2">
      <c r="A293" t="s">
        <v>305</v>
      </c>
      <c r="B293" s="3">
        <v>45323</v>
      </c>
      <c r="C293" s="3">
        <v>45324</v>
      </c>
      <c r="D293" t="s">
        <v>528</v>
      </c>
      <c r="E293">
        <v>42</v>
      </c>
      <c r="F293" t="s">
        <v>534</v>
      </c>
      <c r="G293" s="2">
        <v>291800</v>
      </c>
      <c r="H293" t="s">
        <v>6</v>
      </c>
      <c r="I293" t="str">
        <f>IFERROR(VLOOKUP(Table1[[#This Row],[Department]],Doctor_Info!A:D,2,FALSE), "")</f>
        <v>Dr. Kofi</v>
      </c>
      <c r="J293" t="str">
        <f>_xlfn.XLOOKUP(Table1[[#This Row],[Department]], Doctor_Info!A:A, Doctor_Info!C:C, "")&amp;""</f>
        <v>102</v>
      </c>
    </row>
    <row r="294" spans="1:10" x14ac:dyDescent="0.2">
      <c r="A294" t="s">
        <v>306</v>
      </c>
      <c r="B294" s="3">
        <v>45325</v>
      </c>
      <c r="C294" s="3">
        <v>45337</v>
      </c>
      <c r="D294" t="s">
        <v>12</v>
      </c>
      <c r="E294">
        <v>44</v>
      </c>
      <c r="F294" t="s">
        <v>533</v>
      </c>
      <c r="G294" s="2">
        <v>292770</v>
      </c>
      <c r="H294" t="s">
        <v>8</v>
      </c>
      <c r="I294" t="str">
        <f>IFERROR(VLOOKUP(Table1[[#This Row],[Department]],Doctor_Info!A:D,2,FALSE), "")</f>
        <v>Dr. Temi</v>
      </c>
      <c r="J294" t="str">
        <f>_xlfn.XLOOKUP(Table1[[#This Row],[Department]], Doctor_Info!A:A, Doctor_Info!C:C, "")&amp;""</f>
        <v>502</v>
      </c>
    </row>
    <row r="295" spans="1:10" x14ac:dyDescent="0.2">
      <c r="A295" t="s">
        <v>307</v>
      </c>
      <c r="B295" s="3">
        <v>45327</v>
      </c>
      <c r="C295" s="3">
        <v>45328</v>
      </c>
      <c r="D295" t="s">
        <v>528</v>
      </c>
      <c r="E295">
        <v>46</v>
      </c>
      <c r="F295" t="s">
        <v>534</v>
      </c>
      <c r="G295" s="2">
        <v>293740</v>
      </c>
      <c r="H295" t="s">
        <v>6</v>
      </c>
      <c r="I295" t="str">
        <f>IFERROR(VLOOKUP(Table1[[#This Row],[Department]],Doctor_Info!A:D,2,FALSE), "")</f>
        <v>Dr. Kofi</v>
      </c>
      <c r="J295" t="str">
        <f>_xlfn.XLOOKUP(Table1[[#This Row],[Department]], Doctor_Info!A:A, Doctor_Info!C:C, "")&amp;""</f>
        <v>102</v>
      </c>
    </row>
    <row r="296" spans="1:10" x14ac:dyDescent="0.2">
      <c r="A296" t="s">
        <v>308</v>
      </c>
      <c r="B296" s="3">
        <v>45332</v>
      </c>
      <c r="D296" t="s">
        <v>10</v>
      </c>
      <c r="E296">
        <v>48</v>
      </c>
      <c r="F296" t="s">
        <v>534</v>
      </c>
      <c r="G296" s="2">
        <v>294710</v>
      </c>
      <c r="H296" t="s">
        <v>403</v>
      </c>
      <c r="I296" t="str">
        <f>IFERROR(VLOOKUP(Table1[[#This Row],[Department]],Doctor_Info!A:D,2,FALSE), "")</f>
        <v>Dr. George</v>
      </c>
      <c r="J296" t="str">
        <f>_xlfn.XLOOKUP(Table1[[#This Row],[Department]], Doctor_Info!A:A, Doctor_Info!C:C, "")&amp;""</f>
        <v>405</v>
      </c>
    </row>
    <row r="297" spans="1:10" x14ac:dyDescent="0.2">
      <c r="A297" t="s">
        <v>309</v>
      </c>
      <c r="B297" s="3">
        <v>45319</v>
      </c>
      <c r="C297" s="3">
        <v>45327</v>
      </c>
      <c r="D297" t="s">
        <v>7</v>
      </c>
      <c r="E297">
        <v>50</v>
      </c>
      <c r="F297" t="s">
        <v>533</v>
      </c>
      <c r="G297" s="2">
        <v>295680</v>
      </c>
      <c r="H297" t="s">
        <v>8</v>
      </c>
      <c r="I297" t="str">
        <f>IFERROR(VLOOKUP(Table1[[#This Row],[Department]],Doctor_Info!A:D,2,FALSE), "")</f>
        <v>Dr. Ada</v>
      </c>
      <c r="J297" t="str">
        <f>_xlfn.XLOOKUP(Table1[[#This Row],[Department]], Doctor_Info!A:A, Doctor_Info!C:C, "")&amp;""</f>
        <v>301</v>
      </c>
    </row>
    <row r="298" spans="1:10" x14ac:dyDescent="0.2">
      <c r="A298" t="s">
        <v>310</v>
      </c>
      <c r="B298" s="3">
        <v>45323</v>
      </c>
      <c r="C298" s="3">
        <v>45324</v>
      </c>
      <c r="D298" t="s">
        <v>528</v>
      </c>
      <c r="E298">
        <v>52</v>
      </c>
      <c r="F298" t="s">
        <v>534</v>
      </c>
      <c r="G298" s="2">
        <v>296650</v>
      </c>
      <c r="H298" t="s">
        <v>6</v>
      </c>
      <c r="I298" t="str">
        <f>IFERROR(VLOOKUP(Table1[[#This Row],[Department]],Doctor_Info!A:D,2,FALSE), "")</f>
        <v>Dr. Kofi</v>
      </c>
      <c r="J298" t="str">
        <f>_xlfn.XLOOKUP(Table1[[#This Row],[Department]], Doctor_Info!A:A, Doctor_Info!C:C, "")&amp;""</f>
        <v>102</v>
      </c>
    </row>
    <row r="299" spans="1:10" x14ac:dyDescent="0.2">
      <c r="A299" t="s">
        <v>311</v>
      </c>
      <c r="B299" s="3">
        <v>45325</v>
      </c>
      <c r="C299" s="3">
        <v>45337</v>
      </c>
      <c r="D299" t="s">
        <v>12</v>
      </c>
      <c r="E299">
        <v>54</v>
      </c>
      <c r="F299" t="s">
        <v>533</v>
      </c>
      <c r="G299" s="2">
        <v>297620</v>
      </c>
      <c r="H299" t="s">
        <v>8</v>
      </c>
      <c r="I299" t="str">
        <f>IFERROR(VLOOKUP(Table1[[#This Row],[Department]],Doctor_Info!A:D,2,FALSE), "")</f>
        <v>Dr. Temi</v>
      </c>
      <c r="J299" t="str">
        <f>_xlfn.XLOOKUP(Table1[[#This Row],[Department]], Doctor_Info!A:A, Doctor_Info!C:C, "")&amp;""</f>
        <v>502</v>
      </c>
    </row>
    <row r="300" spans="1:10" x14ac:dyDescent="0.2">
      <c r="A300" t="s">
        <v>312</v>
      </c>
      <c r="B300" s="3">
        <v>45327</v>
      </c>
      <c r="C300" s="3">
        <v>45328</v>
      </c>
      <c r="D300" t="s">
        <v>528</v>
      </c>
      <c r="E300">
        <v>56</v>
      </c>
      <c r="F300" t="s">
        <v>534</v>
      </c>
      <c r="G300" s="2">
        <v>298590</v>
      </c>
      <c r="H300" t="s">
        <v>6</v>
      </c>
      <c r="I300" t="str">
        <f>IFERROR(VLOOKUP(Table1[[#This Row],[Department]],Doctor_Info!A:D,2,FALSE), "")</f>
        <v>Dr. Kofi</v>
      </c>
      <c r="J300" t="str">
        <f>_xlfn.XLOOKUP(Table1[[#This Row],[Department]], Doctor_Info!A:A, Doctor_Info!C:C, "")&amp;""</f>
        <v>102</v>
      </c>
    </row>
    <row r="301" spans="1:10" x14ac:dyDescent="0.2">
      <c r="A301" t="s">
        <v>313</v>
      </c>
      <c r="B301" s="3">
        <v>45332</v>
      </c>
      <c r="D301" t="s">
        <v>10</v>
      </c>
      <c r="E301">
        <v>58</v>
      </c>
      <c r="F301" t="s">
        <v>534</v>
      </c>
      <c r="G301" s="2">
        <v>299560</v>
      </c>
      <c r="H301" t="s">
        <v>403</v>
      </c>
      <c r="I301" t="str">
        <f>IFERROR(VLOOKUP(Table1[[#This Row],[Department]],Doctor_Info!A:D,2,FALSE), "")</f>
        <v>Dr. George</v>
      </c>
      <c r="J301" t="str">
        <f>_xlfn.XLOOKUP(Table1[[#This Row],[Department]], Doctor_Info!A:A, Doctor_Info!C:C, "")&amp;""</f>
        <v>405</v>
      </c>
    </row>
    <row r="302" spans="1:10" x14ac:dyDescent="0.2">
      <c r="A302" t="s">
        <v>314</v>
      </c>
      <c r="B302" s="3">
        <v>45319</v>
      </c>
      <c r="C302" s="3">
        <v>45327</v>
      </c>
      <c r="D302" t="s">
        <v>7</v>
      </c>
      <c r="E302">
        <v>60</v>
      </c>
      <c r="F302" t="s">
        <v>533</v>
      </c>
      <c r="G302" s="2">
        <v>300530</v>
      </c>
      <c r="H302" t="s">
        <v>8</v>
      </c>
      <c r="I302" t="str">
        <f>IFERROR(VLOOKUP(Table1[[#This Row],[Department]],Doctor_Info!A:D,2,FALSE), "")</f>
        <v>Dr. Ada</v>
      </c>
      <c r="J302" t="str">
        <f>_xlfn.XLOOKUP(Table1[[#This Row],[Department]], Doctor_Info!A:A, Doctor_Info!C:C, "")&amp;""</f>
        <v>301</v>
      </c>
    </row>
    <row r="303" spans="1:10" x14ac:dyDescent="0.2">
      <c r="A303" t="s">
        <v>315</v>
      </c>
      <c r="B303" s="3">
        <v>45323</v>
      </c>
      <c r="C303" s="3">
        <v>45324</v>
      </c>
      <c r="D303" t="s">
        <v>528</v>
      </c>
      <c r="E303">
        <v>62</v>
      </c>
      <c r="F303" t="s">
        <v>534</v>
      </c>
      <c r="G303" s="2">
        <v>301500</v>
      </c>
      <c r="H303" t="s">
        <v>6</v>
      </c>
      <c r="I303" t="str">
        <f>IFERROR(VLOOKUP(Table1[[#This Row],[Department]],Doctor_Info!A:D,2,FALSE), "")</f>
        <v>Dr. Kofi</v>
      </c>
      <c r="J303" t="str">
        <f>_xlfn.XLOOKUP(Table1[[#This Row],[Department]], Doctor_Info!A:A, Doctor_Info!C:C, "")&amp;""</f>
        <v>102</v>
      </c>
    </row>
    <row r="304" spans="1:10" x14ac:dyDescent="0.2">
      <c r="A304" t="s">
        <v>316</v>
      </c>
      <c r="B304" s="3">
        <v>45325</v>
      </c>
      <c r="C304" s="3">
        <v>45337</v>
      </c>
      <c r="D304" t="s">
        <v>12</v>
      </c>
      <c r="E304">
        <v>64</v>
      </c>
      <c r="F304" t="s">
        <v>533</v>
      </c>
      <c r="G304" s="2">
        <v>302470</v>
      </c>
      <c r="H304" t="s">
        <v>8</v>
      </c>
      <c r="I304" t="str">
        <f>IFERROR(VLOOKUP(Table1[[#This Row],[Department]],Doctor_Info!A:D,2,FALSE), "")</f>
        <v>Dr. Temi</v>
      </c>
      <c r="J304" t="str">
        <f>_xlfn.XLOOKUP(Table1[[#This Row],[Department]], Doctor_Info!A:A, Doctor_Info!C:C, "")&amp;""</f>
        <v>502</v>
      </c>
    </row>
    <row r="305" spans="1:10" x14ac:dyDescent="0.2">
      <c r="A305" t="s">
        <v>317</v>
      </c>
      <c r="B305" s="3">
        <v>45327</v>
      </c>
      <c r="C305" s="3">
        <v>45328</v>
      </c>
      <c r="D305" t="s">
        <v>528</v>
      </c>
      <c r="E305">
        <v>66</v>
      </c>
      <c r="F305" t="s">
        <v>534</v>
      </c>
      <c r="G305" s="2">
        <v>303440</v>
      </c>
      <c r="H305" t="s">
        <v>6</v>
      </c>
      <c r="I305" t="str">
        <f>IFERROR(VLOOKUP(Table1[[#This Row],[Department]],Doctor_Info!A:D,2,FALSE), "")</f>
        <v>Dr. Kofi</v>
      </c>
      <c r="J305" t="str">
        <f>_xlfn.XLOOKUP(Table1[[#This Row],[Department]], Doctor_Info!A:A, Doctor_Info!C:C, "")&amp;""</f>
        <v>102</v>
      </c>
    </row>
    <row r="306" spans="1:10" x14ac:dyDescent="0.2">
      <c r="A306" t="s">
        <v>318</v>
      </c>
      <c r="B306" s="3">
        <v>45332</v>
      </c>
      <c r="D306" t="s">
        <v>10</v>
      </c>
      <c r="E306">
        <v>68</v>
      </c>
      <c r="F306" t="s">
        <v>534</v>
      </c>
      <c r="G306" s="2">
        <v>304410</v>
      </c>
      <c r="H306" t="s">
        <v>403</v>
      </c>
      <c r="I306" t="str">
        <f>IFERROR(VLOOKUP(Table1[[#This Row],[Department]],Doctor_Info!A:D,2,FALSE), "")</f>
        <v>Dr. George</v>
      </c>
      <c r="J306" t="str">
        <f>_xlfn.XLOOKUP(Table1[[#This Row],[Department]], Doctor_Info!A:A, Doctor_Info!C:C, "")&amp;""</f>
        <v>405</v>
      </c>
    </row>
    <row r="307" spans="1:10" x14ac:dyDescent="0.2">
      <c r="A307" t="s">
        <v>319</v>
      </c>
      <c r="B307" s="3">
        <v>45319</v>
      </c>
      <c r="C307" s="3">
        <v>45327</v>
      </c>
      <c r="D307" t="s">
        <v>7</v>
      </c>
      <c r="E307">
        <v>70</v>
      </c>
      <c r="F307" t="s">
        <v>533</v>
      </c>
      <c r="G307" s="2">
        <v>305380</v>
      </c>
      <c r="H307" t="s">
        <v>8</v>
      </c>
      <c r="I307" t="str">
        <f>IFERROR(VLOOKUP(Table1[[#This Row],[Department]],Doctor_Info!A:D,2,FALSE), "")</f>
        <v>Dr. Ada</v>
      </c>
      <c r="J307" t="str">
        <f>_xlfn.XLOOKUP(Table1[[#This Row],[Department]], Doctor_Info!A:A, Doctor_Info!C:C, "")&amp;""</f>
        <v>301</v>
      </c>
    </row>
    <row r="308" spans="1:10" x14ac:dyDescent="0.2">
      <c r="A308" t="s">
        <v>320</v>
      </c>
      <c r="B308" s="3">
        <v>45323</v>
      </c>
      <c r="C308" s="3">
        <v>45324</v>
      </c>
      <c r="D308" t="s">
        <v>528</v>
      </c>
      <c r="E308">
        <v>72</v>
      </c>
      <c r="F308" t="s">
        <v>534</v>
      </c>
      <c r="G308" s="2">
        <v>306350</v>
      </c>
      <c r="H308" t="s">
        <v>6</v>
      </c>
      <c r="I308" t="str">
        <f>IFERROR(VLOOKUP(Table1[[#This Row],[Department]],Doctor_Info!A:D,2,FALSE), "")</f>
        <v>Dr. Kofi</v>
      </c>
      <c r="J308" t="str">
        <f>_xlfn.XLOOKUP(Table1[[#This Row],[Department]], Doctor_Info!A:A, Doctor_Info!C:C, "")&amp;""</f>
        <v>102</v>
      </c>
    </row>
    <row r="309" spans="1:10" x14ac:dyDescent="0.2">
      <c r="A309" t="s">
        <v>321</v>
      </c>
      <c r="B309" s="3">
        <v>45325</v>
      </c>
      <c r="C309" s="3">
        <v>45337</v>
      </c>
      <c r="D309" t="s">
        <v>12</v>
      </c>
      <c r="E309">
        <v>74</v>
      </c>
      <c r="F309" t="s">
        <v>533</v>
      </c>
      <c r="G309" s="2">
        <v>307320</v>
      </c>
      <c r="H309" t="s">
        <v>8</v>
      </c>
      <c r="I309" t="str">
        <f>IFERROR(VLOOKUP(Table1[[#This Row],[Department]],Doctor_Info!A:D,2,FALSE), "")</f>
        <v>Dr. Temi</v>
      </c>
      <c r="J309" t="str">
        <f>_xlfn.XLOOKUP(Table1[[#This Row],[Department]], Doctor_Info!A:A, Doctor_Info!C:C, "")&amp;""</f>
        <v>502</v>
      </c>
    </row>
    <row r="310" spans="1:10" x14ac:dyDescent="0.2">
      <c r="A310" t="s">
        <v>322</v>
      </c>
      <c r="B310" s="3">
        <v>45327</v>
      </c>
      <c r="C310" s="3">
        <v>45328</v>
      </c>
      <c r="D310" t="s">
        <v>528</v>
      </c>
      <c r="E310">
        <v>76</v>
      </c>
      <c r="F310" t="s">
        <v>534</v>
      </c>
      <c r="G310" s="2">
        <v>308290</v>
      </c>
      <c r="H310" t="s">
        <v>6</v>
      </c>
      <c r="I310" t="str">
        <f>IFERROR(VLOOKUP(Table1[[#This Row],[Department]],Doctor_Info!A:D,2,FALSE), "")</f>
        <v>Dr. Kofi</v>
      </c>
      <c r="J310" t="str">
        <f>_xlfn.XLOOKUP(Table1[[#This Row],[Department]], Doctor_Info!A:A, Doctor_Info!C:C, "")&amp;""</f>
        <v>102</v>
      </c>
    </row>
    <row r="311" spans="1:10" x14ac:dyDescent="0.2">
      <c r="A311" t="s">
        <v>323</v>
      </c>
      <c r="B311" s="3">
        <v>45332</v>
      </c>
      <c r="D311" t="s">
        <v>10</v>
      </c>
      <c r="E311">
        <v>78</v>
      </c>
      <c r="F311" t="s">
        <v>534</v>
      </c>
      <c r="G311" s="2">
        <v>309260</v>
      </c>
      <c r="H311" t="s">
        <v>403</v>
      </c>
      <c r="I311" t="str">
        <f>IFERROR(VLOOKUP(Table1[[#This Row],[Department]],Doctor_Info!A:D,2,FALSE), "")</f>
        <v>Dr. George</v>
      </c>
      <c r="J311" t="str">
        <f>_xlfn.XLOOKUP(Table1[[#This Row],[Department]], Doctor_Info!A:A, Doctor_Info!C:C, "")&amp;""</f>
        <v>405</v>
      </c>
    </row>
    <row r="312" spans="1:10" x14ac:dyDescent="0.2">
      <c r="A312" t="s">
        <v>324</v>
      </c>
      <c r="B312" s="3">
        <v>45319</v>
      </c>
      <c r="C312" s="3">
        <v>45327</v>
      </c>
      <c r="D312" t="s">
        <v>7</v>
      </c>
      <c r="E312">
        <v>80</v>
      </c>
      <c r="F312" t="s">
        <v>533</v>
      </c>
      <c r="G312" s="2">
        <v>310230</v>
      </c>
      <c r="H312" t="s">
        <v>8</v>
      </c>
      <c r="I312" t="str">
        <f>IFERROR(VLOOKUP(Table1[[#This Row],[Department]],Doctor_Info!A:D,2,FALSE), "")</f>
        <v>Dr. Ada</v>
      </c>
      <c r="J312" t="str">
        <f>_xlfn.XLOOKUP(Table1[[#This Row],[Department]], Doctor_Info!A:A, Doctor_Info!C:C, "")&amp;""</f>
        <v>301</v>
      </c>
    </row>
    <row r="313" spans="1:10" x14ac:dyDescent="0.2">
      <c r="A313" t="s">
        <v>325</v>
      </c>
      <c r="B313" s="3">
        <v>45323</v>
      </c>
      <c r="C313" s="3">
        <v>45324</v>
      </c>
      <c r="D313" t="s">
        <v>528</v>
      </c>
      <c r="E313">
        <v>82</v>
      </c>
      <c r="F313" t="s">
        <v>534</v>
      </c>
      <c r="G313" s="2">
        <v>311200</v>
      </c>
      <c r="H313" t="s">
        <v>6</v>
      </c>
      <c r="I313" t="str">
        <f>IFERROR(VLOOKUP(Table1[[#This Row],[Department]],Doctor_Info!A:D,2,FALSE), "")</f>
        <v>Dr. Kofi</v>
      </c>
      <c r="J313" t="str">
        <f>_xlfn.XLOOKUP(Table1[[#This Row],[Department]], Doctor_Info!A:A, Doctor_Info!C:C, "")&amp;""</f>
        <v>102</v>
      </c>
    </row>
    <row r="314" spans="1:10" x14ac:dyDescent="0.2">
      <c r="A314" t="s">
        <v>326</v>
      </c>
      <c r="B314" s="3">
        <v>45325</v>
      </c>
      <c r="C314" s="3">
        <v>45337</v>
      </c>
      <c r="D314" t="s">
        <v>12</v>
      </c>
      <c r="E314">
        <v>84</v>
      </c>
      <c r="F314" t="s">
        <v>533</v>
      </c>
      <c r="G314" s="2">
        <v>312170</v>
      </c>
      <c r="H314" t="s">
        <v>8</v>
      </c>
      <c r="I314" t="str">
        <f>IFERROR(VLOOKUP(Table1[[#This Row],[Department]],Doctor_Info!A:D,2,FALSE), "")</f>
        <v>Dr. Temi</v>
      </c>
      <c r="J314" t="str">
        <f>_xlfn.XLOOKUP(Table1[[#This Row],[Department]], Doctor_Info!A:A, Doctor_Info!C:C, "")&amp;""</f>
        <v>502</v>
      </c>
    </row>
    <row r="315" spans="1:10" x14ac:dyDescent="0.2">
      <c r="A315" t="s">
        <v>327</v>
      </c>
      <c r="B315" s="3">
        <v>45327</v>
      </c>
      <c r="C315" s="3">
        <v>45328</v>
      </c>
      <c r="D315" t="s">
        <v>528</v>
      </c>
      <c r="E315">
        <v>86</v>
      </c>
      <c r="F315" t="s">
        <v>534</v>
      </c>
      <c r="G315" s="2">
        <v>313140</v>
      </c>
      <c r="H315" t="s">
        <v>6</v>
      </c>
      <c r="I315" t="str">
        <f>IFERROR(VLOOKUP(Table1[[#This Row],[Department]],Doctor_Info!A:D,2,FALSE), "")</f>
        <v>Dr. Kofi</v>
      </c>
      <c r="J315" t="str">
        <f>_xlfn.XLOOKUP(Table1[[#This Row],[Department]], Doctor_Info!A:A, Doctor_Info!C:C, "")&amp;""</f>
        <v>102</v>
      </c>
    </row>
    <row r="316" spans="1:10" x14ac:dyDescent="0.2">
      <c r="A316" t="s">
        <v>328</v>
      </c>
      <c r="B316" s="3">
        <v>45332</v>
      </c>
      <c r="D316" t="s">
        <v>10</v>
      </c>
      <c r="E316">
        <v>88</v>
      </c>
      <c r="F316" t="s">
        <v>534</v>
      </c>
      <c r="G316" s="2">
        <v>314110</v>
      </c>
      <c r="H316" t="s">
        <v>403</v>
      </c>
      <c r="I316" t="str">
        <f>IFERROR(VLOOKUP(Table1[[#This Row],[Department]],Doctor_Info!A:D,2,FALSE), "")</f>
        <v>Dr. George</v>
      </c>
      <c r="J316" t="str">
        <f>_xlfn.XLOOKUP(Table1[[#This Row],[Department]], Doctor_Info!A:A, Doctor_Info!C:C, "")&amp;""</f>
        <v>405</v>
      </c>
    </row>
    <row r="317" spans="1:10" x14ac:dyDescent="0.2">
      <c r="A317" t="s">
        <v>329</v>
      </c>
      <c r="B317" s="3">
        <v>45319</v>
      </c>
      <c r="C317" s="3">
        <v>45327</v>
      </c>
      <c r="D317" t="s">
        <v>7</v>
      </c>
      <c r="E317">
        <v>90</v>
      </c>
      <c r="F317" t="s">
        <v>533</v>
      </c>
      <c r="G317" s="2">
        <v>315080</v>
      </c>
      <c r="H317" t="s">
        <v>8</v>
      </c>
      <c r="I317" t="str">
        <f>IFERROR(VLOOKUP(Table1[[#This Row],[Department]],Doctor_Info!A:D,2,FALSE), "")</f>
        <v>Dr. Ada</v>
      </c>
      <c r="J317" t="str">
        <f>_xlfn.XLOOKUP(Table1[[#This Row],[Department]], Doctor_Info!A:A, Doctor_Info!C:C, "")&amp;""</f>
        <v>301</v>
      </c>
    </row>
    <row r="318" spans="1:10" x14ac:dyDescent="0.2">
      <c r="A318" t="s">
        <v>330</v>
      </c>
      <c r="B318" s="3">
        <v>45323</v>
      </c>
      <c r="C318" s="3">
        <v>45324</v>
      </c>
      <c r="D318" t="s">
        <v>528</v>
      </c>
      <c r="E318">
        <v>92</v>
      </c>
      <c r="F318" t="s">
        <v>534</v>
      </c>
      <c r="G318" s="2">
        <v>316050</v>
      </c>
      <c r="H318" t="s">
        <v>6</v>
      </c>
      <c r="I318" t="str">
        <f>IFERROR(VLOOKUP(Table1[[#This Row],[Department]],Doctor_Info!A:D,2,FALSE), "")</f>
        <v>Dr. Kofi</v>
      </c>
      <c r="J318" t="str">
        <f>_xlfn.XLOOKUP(Table1[[#This Row],[Department]], Doctor_Info!A:A, Doctor_Info!C:C, "")&amp;""</f>
        <v>102</v>
      </c>
    </row>
    <row r="319" spans="1:10" x14ac:dyDescent="0.2">
      <c r="A319" t="s">
        <v>331</v>
      </c>
      <c r="B319" s="3">
        <v>45325</v>
      </c>
      <c r="C319" s="3">
        <v>45337</v>
      </c>
      <c r="D319" t="s">
        <v>12</v>
      </c>
      <c r="E319">
        <v>94</v>
      </c>
      <c r="F319" t="s">
        <v>533</v>
      </c>
      <c r="G319" s="2">
        <v>317020</v>
      </c>
      <c r="H319" t="s">
        <v>8</v>
      </c>
      <c r="I319" t="str">
        <f>IFERROR(VLOOKUP(Table1[[#This Row],[Department]],Doctor_Info!A:D,2,FALSE), "")</f>
        <v>Dr. Temi</v>
      </c>
      <c r="J319" t="str">
        <f>_xlfn.XLOOKUP(Table1[[#This Row],[Department]], Doctor_Info!A:A, Doctor_Info!C:C, "")&amp;""</f>
        <v>502</v>
      </c>
    </row>
    <row r="320" spans="1:10" x14ac:dyDescent="0.2">
      <c r="A320" t="s">
        <v>332</v>
      </c>
      <c r="B320" s="3">
        <v>45327</v>
      </c>
      <c r="C320" s="3">
        <v>45328</v>
      </c>
      <c r="D320" t="s">
        <v>528</v>
      </c>
      <c r="E320">
        <v>96</v>
      </c>
      <c r="F320" t="s">
        <v>534</v>
      </c>
      <c r="G320" s="2">
        <v>317990</v>
      </c>
      <c r="H320" t="s">
        <v>6</v>
      </c>
      <c r="I320" t="str">
        <f>IFERROR(VLOOKUP(Table1[[#This Row],[Department]],Doctor_Info!A:D,2,FALSE), "")</f>
        <v>Dr. Kofi</v>
      </c>
      <c r="J320" t="str">
        <f>_xlfn.XLOOKUP(Table1[[#This Row],[Department]], Doctor_Info!A:A, Doctor_Info!C:C, "")&amp;""</f>
        <v>102</v>
      </c>
    </row>
    <row r="321" spans="1:10" x14ac:dyDescent="0.2">
      <c r="A321" t="s">
        <v>333</v>
      </c>
      <c r="B321" s="3">
        <v>45332</v>
      </c>
      <c r="D321" t="s">
        <v>10</v>
      </c>
      <c r="E321">
        <v>98</v>
      </c>
      <c r="F321" t="s">
        <v>534</v>
      </c>
      <c r="G321" s="2">
        <v>318960</v>
      </c>
      <c r="H321" t="s">
        <v>403</v>
      </c>
      <c r="I321" t="str">
        <f>IFERROR(VLOOKUP(Table1[[#This Row],[Department]],Doctor_Info!A:D,2,FALSE), "")</f>
        <v>Dr. George</v>
      </c>
      <c r="J321" t="str">
        <f>_xlfn.XLOOKUP(Table1[[#This Row],[Department]], Doctor_Info!A:A, Doctor_Info!C:C, "")&amp;""</f>
        <v>405</v>
      </c>
    </row>
    <row r="322" spans="1:10" x14ac:dyDescent="0.2">
      <c r="A322" t="s">
        <v>334</v>
      </c>
      <c r="B322" s="3">
        <v>45319</v>
      </c>
      <c r="C322" s="3">
        <v>45327</v>
      </c>
      <c r="D322" t="s">
        <v>7</v>
      </c>
      <c r="E322">
        <v>100</v>
      </c>
      <c r="F322" t="s">
        <v>533</v>
      </c>
      <c r="G322" s="2">
        <v>319930</v>
      </c>
      <c r="H322" t="s">
        <v>8</v>
      </c>
      <c r="I322" t="str">
        <f>IFERROR(VLOOKUP(Table1[[#This Row],[Department]],Doctor_Info!A:D,2,FALSE), "")</f>
        <v>Dr. Ada</v>
      </c>
      <c r="J322" t="str">
        <f>_xlfn.XLOOKUP(Table1[[#This Row],[Department]], Doctor_Info!A:A, Doctor_Info!C:C, "")&amp;""</f>
        <v>301</v>
      </c>
    </row>
    <row r="323" spans="1:10" x14ac:dyDescent="0.2">
      <c r="A323" t="s">
        <v>335</v>
      </c>
      <c r="B323" s="3">
        <v>45323</v>
      </c>
      <c r="C323" s="3">
        <v>45324</v>
      </c>
      <c r="D323" t="s">
        <v>528</v>
      </c>
      <c r="E323">
        <v>2</v>
      </c>
      <c r="F323" t="s">
        <v>534</v>
      </c>
      <c r="G323" s="2">
        <v>320900</v>
      </c>
      <c r="H323" t="s">
        <v>6</v>
      </c>
      <c r="I323" t="str">
        <f>IFERROR(VLOOKUP(Table1[[#This Row],[Department]],Doctor_Info!A:D,2,FALSE), "")</f>
        <v>Dr. Kofi</v>
      </c>
      <c r="J323" t="str">
        <f>_xlfn.XLOOKUP(Table1[[#This Row],[Department]], Doctor_Info!A:A, Doctor_Info!C:C, "")&amp;""</f>
        <v>102</v>
      </c>
    </row>
    <row r="324" spans="1:10" x14ac:dyDescent="0.2">
      <c r="A324" t="s">
        <v>336</v>
      </c>
      <c r="B324" s="3">
        <v>45325</v>
      </c>
      <c r="C324" s="3">
        <v>45337</v>
      </c>
      <c r="D324" t="s">
        <v>12</v>
      </c>
      <c r="E324">
        <v>4</v>
      </c>
      <c r="F324" t="s">
        <v>533</v>
      </c>
      <c r="G324" s="2">
        <v>321870</v>
      </c>
      <c r="H324" t="s">
        <v>8</v>
      </c>
      <c r="I324" t="str">
        <f>IFERROR(VLOOKUP(Table1[[#This Row],[Department]],Doctor_Info!A:D,2,FALSE), "")</f>
        <v>Dr. Temi</v>
      </c>
      <c r="J324" t="str">
        <f>_xlfn.XLOOKUP(Table1[[#This Row],[Department]], Doctor_Info!A:A, Doctor_Info!C:C, "")&amp;""</f>
        <v>502</v>
      </c>
    </row>
    <row r="325" spans="1:10" x14ac:dyDescent="0.2">
      <c r="A325" t="s">
        <v>337</v>
      </c>
      <c r="B325" s="3">
        <v>45327</v>
      </c>
      <c r="C325" s="3">
        <v>45328</v>
      </c>
      <c r="D325" t="s">
        <v>528</v>
      </c>
      <c r="E325">
        <v>6</v>
      </c>
      <c r="F325" t="s">
        <v>534</v>
      </c>
      <c r="G325" s="2">
        <v>322840</v>
      </c>
      <c r="H325" t="s">
        <v>6</v>
      </c>
      <c r="I325" t="str">
        <f>IFERROR(VLOOKUP(Table1[[#This Row],[Department]],Doctor_Info!A:D,2,FALSE), "")</f>
        <v>Dr. Kofi</v>
      </c>
      <c r="J325" t="str">
        <f>_xlfn.XLOOKUP(Table1[[#This Row],[Department]], Doctor_Info!A:A, Doctor_Info!C:C, "")&amp;""</f>
        <v>102</v>
      </c>
    </row>
    <row r="326" spans="1:10" x14ac:dyDescent="0.2">
      <c r="A326" t="s">
        <v>338</v>
      </c>
      <c r="B326" s="3">
        <v>45332</v>
      </c>
      <c r="D326" t="s">
        <v>10</v>
      </c>
      <c r="E326">
        <v>8</v>
      </c>
      <c r="F326" t="s">
        <v>534</v>
      </c>
      <c r="G326" s="2">
        <v>323810</v>
      </c>
      <c r="H326" t="s">
        <v>403</v>
      </c>
      <c r="I326" t="str">
        <f>IFERROR(VLOOKUP(Table1[[#This Row],[Department]],Doctor_Info!A:D,2,FALSE), "")</f>
        <v>Dr. George</v>
      </c>
      <c r="J326" t="str">
        <f>_xlfn.XLOOKUP(Table1[[#This Row],[Department]], Doctor_Info!A:A, Doctor_Info!C:C, "")&amp;""</f>
        <v>405</v>
      </c>
    </row>
    <row r="327" spans="1:10" x14ac:dyDescent="0.2">
      <c r="A327" t="s">
        <v>339</v>
      </c>
      <c r="B327" s="3">
        <v>45319</v>
      </c>
      <c r="C327" s="3">
        <v>45327</v>
      </c>
      <c r="D327" t="s">
        <v>7</v>
      </c>
      <c r="E327">
        <v>10</v>
      </c>
      <c r="F327" t="s">
        <v>533</v>
      </c>
      <c r="G327" s="2">
        <v>324780</v>
      </c>
      <c r="H327" t="s">
        <v>8</v>
      </c>
      <c r="I327" t="str">
        <f>IFERROR(VLOOKUP(Table1[[#This Row],[Department]],Doctor_Info!A:D,2,FALSE), "")</f>
        <v>Dr. Ada</v>
      </c>
      <c r="J327" t="str">
        <f>_xlfn.XLOOKUP(Table1[[#This Row],[Department]], Doctor_Info!A:A, Doctor_Info!C:C, "")&amp;""</f>
        <v>301</v>
      </c>
    </row>
    <row r="328" spans="1:10" x14ac:dyDescent="0.2">
      <c r="A328" t="s">
        <v>340</v>
      </c>
      <c r="B328" s="3">
        <v>45323</v>
      </c>
      <c r="C328" s="3">
        <v>45324</v>
      </c>
      <c r="D328" t="s">
        <v>528</v>
      </c>
      <c r="E328">
        <v>12</v>
      </c>
      <c r="F328" t="s">
        <v>534</v>
      </c>
      <c r="G328" s="2">
        <v>325750</v>
      </c>
      <c r="H328" t="s">
        <v>6</v>
      </c>
      <c r="I328" t="str">
        <f>IFERROR(VLOOKUP(Table1[[#This Row],[Department]],Doctor_Info!A:D,2,FALSE), "")</f>
        <v>Dr. Kofi</v>
      </c>
      <c r="J328" t="str">
        <f>_xlfn.XLOOKUP(Table1[[#This Row],[Department]], Doctor_Info!A:A, Doctor_Info!C:C, "")&amp;""</f>
        <v>102</v>
      </c>
    </row>
    <row r="329" spans="1:10" x14ac:dyDescent="0.2">
      <c r="A329" t="s">
        <v>341</v>
      </c>
      <c r="B329" s="3">
        <v>45325</v>
      </c>
      <c r="C329" s="3">
        <v>45337</v>
      </c>
      <c r="D329" t="s">
        <v>12</v>
      </c>
      <c r="E329">
        <v>14</v>
      </c>
      <c r="F329" t="s">
        <v>533</v>
      </c>
      <c r="G329" s="2">
        <v>326720</v>
      </c>
      <c r="H329" t="s">
        <v>8</v>
      </c>
      <c r="I329" t="str">
        <f>IFERROR(VLOOKUP(Table1[[#This Row],[Department]],Doctor_Info!A:D,2,FALSE), "")</f>
        <v>Dr. Temi</v>
      </c>
      <c r="J329" t="str">
        <f>_xlfn.XLOOKUP(Table1[[#This Row],[Department]], Doctor_Info!A:A, Doctor_Info!C:C, "")&amp;""</f>
        <v>502</v>
      </c>
    </row>
    <row r="330" spans="1:10" x14ac:dyDescent="0.2">
      <c r="A330" t="s">
        <v>342</v>
      </c>
      <c r="B330" s="3">
        <v>45327</v>
      </c>
      <c r="C330" s="3">
        <v>45328</v>
      </c>
      <c r="D330" t="s">
        <v>528</v>
      </c>
      <c r="E330">
        <v>16</v>
      </c>
      <c r="F330" t="s">
        <v>534</v>
      </c>
      <c r="G330" s="2">
        <v>327690</v>
      </c>
      <c r="H330" t="s">
        <v>6</v>
      </c>
      <c r="I330" t="str">
        <f>IFERROR(VLOOKUP(Table1[[#This Row],[Department]],Doctor_Info!A:D,2,FALSE), "")</f>
        <v>Dr. Kofi</v>
      </c>
      <c r="J330" t="str">
        <f>_xlfn.XLOOKUP(Table1[[#This Row],[Department]], Doctor_Info!A:A, Doctor_Info!C:C, "")&amp;""</f>
        <v>102</v>
      </c>
    </row>
    <row r="331" spans="1:10" x14ac:dyDescent="0.2">
      <c r="A331" t="s">
        <v>343</v>
      </c>
      <c r="B331" s="3">
        <v>45332</v>
      </c>
      <c r="D331" t="s">
        <v>10</v>
      </c>
      <c r="E331">
        <v>18</v>
      </c>
      <c r="F331" t="s">
        <v>534</v>
      </c>
      <c r="G331" s="2">
        <v>328660</v>
      </c>
      <c r="H331" t="s">
        <v>403</v>
      </c>
      <c r="I331" t="str">
        <f>IFERROR(VLOOKUP(Table1[[#This Row],[Department]],Doctor_Info!A:D,2,FALSE), "")</f>
        <v>Dr. George</v>
      </c>
      <c r="J331" t="str">
        <f>_xlfn.XLOOKUP(Table1[[#This Row],[Department]], Doctor_Info!A:A, Doctor_Info!C:C, "")&amp;""</f>
        <v>405</v>
      </c>
    </row>
    <row r="332" spans="1:10" x14ac:dyDescent="0.2">
      <c r="A332" t="s">
        <v>344</v>
      </c>
      <c r="B332" s="3">
        <v>45323</v>
      </c>
      <c r="C332" s="3">
        <v>45324</v>
      </c>
      <c r="D332" t="s">
        <v>528</v>
      </c>
      <c r="E332">
        <v>22</v>
      </c>
      <c r="F332" t="s">
        <v>534</v>
      </c>
      <c r="G332" s="2">
        <v>330600</v>
      </c>
      <c r="H332" t="s">
        <v>6</v>
      </c>
      <c r="I332" t="str">
        <f>IFERROR(VLOOKUP(Table1[[#This Row],[Department]],Doctor_Info!A:D,2,FALSE), "")</f>
        <v>Dr. Kofi</v>
      </c>
      <c r="J332" t="str">
        <f>_xlfn.XLOOKUP(Table1[[#This Row],[Department]], Doctor_Info!A:A, Doctor_Info!C:C, "")&amp;""</f>
        <v>102</v>
      </c>
    </row>
    <row r="333" spans="1:10" x14ac:dyDescent="0.2">
      <c r="A333" t="s">
        <v>345</v>
      </c>
      <c r="B333" s="3">
        <v>45325</v>
      </c>
      <c r="C333" s="3">
        <v>45337</v>
      </c>
      <c r="D333" t="s">
        <v>12</v>
      </c>
      <c r="E333">
        <v>24</v>
      </c>
      <c r="F333" t="s">
        <v>533</v>
      </c>
      <c r="G333" s="2">
        <v>331570</v>
      </c>
      <c r="H333" t="s">
        <v>8</v>
      </c>
      <c r="I333" t="str">
        <f>IFERROR(VLOOKUP(Table1[[#This Row],[Department]],Doctor_Info!A:D,2,FALSE), "")</f>
        <v>Dr. Temi</v>
      </c>
      <c r="J333" t="str">
        <f>_xlfn.XLOOKUP(Table1[[#This Row],[Department]], Doctor_Info!A:A, Doctor_Info!C:C, "")&amp;""</f>
        <v>502</v>
      </c>
    </row>
    <row r="334" spans="1:10" x14ac:dyDescent="0.2">
      <c r="A334" t="s">
        <v>346</v>
      </c>
      <c r="B334" s="3">
        <v>45327</v>
      </c>
      <c r="C334" s="3">
        <v>45328</v>
      </c>
      <c r="D334" t="s">
        <v>528</v>
      </c>
      <c r="E334">
        <v>26</v>
      </c>
      <c r="F334" t="s">
        <v>534</v>
      </c>
      <c r="G334" s="2">
        <v>332540</v>
      </c>
      <c r="H334" t="s">
        <v>6</v>
      </c>
      <c r="I334" t="str">
        <f>IFERROR(VLOOKUP(Table1[[#This Row],[Department]],Doctor_Info!A:D,2,FALSE), "")</f>
        <v>Dr. Kofi</v>
      </c>
      <c r="J334" t="str">
        <f>_xlfn.XLOOKUP(Table1[[#This Row],[Department]], Doctor_Info!A:A, Doctor_Info!C:C, "")&amp;""</f>
        <v>102</v>
      </c>
    </row>
    <row r="335" spans="1:10" x14ac:dyDescent="0.2">
      <c r="A335" t="s">
        <v>347</v>
      </c>
      <c r="B335" s="3">
        <v>45332</v>
      </c>
      <c r="D335" t="s">
        <v>10</v>
      </c>
      <c r="E335">
        <v>28</v>
      </c>
      <c r="F335" t="s">
        <v>534</v>
      </c>
      <c r="G335" s="2">
        <v>333510</v>
      </c>
      <c r="H335" t="s">
        <v>403</v>
      </c>
      <c r="I335" t="str">
        <f>IFERROR(VLOOKUP(Table1[[#This Row],[Department]],Doctor_Info!A:D,2,FALSE), "")</f>
        <v>Dr. George</v>
      </c>
      <c r="J335" t="str">
        <f>_xlfn.XLOOKUP(Table1[[#This Row],[Department]], Doctor_Info!A:A, Doctor_Info!C:C, "")&amp;""</f>
        <v>405</v>
      </c>
    </row>
    <row r="336" spans="1:10" x14ac:dyDescent="0.2">
      <c r="A336" t="s">
        <v>348</v>
      </c>
      <c r="B336" s="3">
        <v>45319</v>
      </c>
      <c r="C336" s="3">
        <v>45327</v>
      </c>
      <c r="D336" t="s">
        <v>7</v>
      </c>
      <c r="E336">
        <v>30</v>
      </c>
      <c r="F336" t="s">
        <v>533</v>
      </c>
      <c r="G336" s="2">
        <v>334480</v>
      </c>
      <c r="H336" t="s">
        <v>8</v>
      </c>
      <c r="I336" t="str">
        <f>IFERROR(VLOOKUP(Table1[[#This Row],[Department]],Doctor_Info!A:D,2,FALSE), "")</f>
        <v>Dr. Ada</v>
      </c>
      <c r="J336" t="str">
        <f>_xlfn.XLOOKUP(Table1[[#This Row],[Department]], Doctor_Info!A:A, Doctor_Info!C:C, "")&amp;""</f>
        <v>301</v>
      </c>
    </row>
    <row r="337" spans="1:10" x14ac:dyDescent="0.2">
      <c r="A337" t="s">
        <v>349</v>
      </c>
      <c r="B337" s="3">
        <v>45323</v>
      </c>
      <c r="C337" s="3">
        <v>45324</v>
      </c>
      <c r="D337" t="s">
        <v>528</v>
      </c>
      <c r="E337">
        <v>32</v>
      </c>
      <c r="F337" t="s">
        <v>534</v>
      </c>
      <c r="G337" s="2">
        <v>335450</v>
      </c>
      <c r="H337" t="s">
        <v>6</v>
      </c>
      <c r="I337" t="str">
        <f>IFERROR(VLOOKUP(Table1[[#This Row],[Department]],Doctor_Info!A:D,2,FALSE), "")</f>
        <v>Dr. Kofi</v>
      </c>
      <c r="J337" t="str">
        <f>_xlfn.XLOOKUP(Table1[[#This Row],[Department]], Doctor_Info!A:A, Doctor_Info!C:C, "")&amp;""</f>
        <v>102</v>
      </c>
    </row>
    <row r="338" spans="1:10" x14ac:dyDescent="0.2">
      <c r="A338" t="s">
        <v>350</v>
      </c>
      <c r="B338" s="3">
        <v>45325</v>
      </c>
      <c r="C338" s="3">
        <v>45337</v>
      </c>
      <c r="D338" t="s">
        <v>12</v>
      </c>
      <c r="E338">
        <v>34</v>
      </c>
      <c r="F338" t="s">
        <v>533</v>
      </c>
      <c r="G338" s="2">
        <v>336420</v>
      </c>
      <c r="H338" t="s">
        <v>8</v>
      </c>
      <c r="I338" t="str">
        <f>IFERROR(VLOOKUP(Table1[[#This Row],[Department]],Doctor_Info!A:D,2,FALSE), "")</f>
        <v>Dr. Temi</v>
      </c>
      <c r="J338" t="str">
        <f>_xlfn.XLOOKUP(Table1[[#This Row],[Department]], Doctor_Info!A:A, Doctor_Info!C:C, "")&amp;""</f>
        <v>502</v>
      </c>
    </row>
    <row r="339" spans="1:10" x14ac:dyDescent="0.2">
      <c r="A339" t="s">
        <v>351</v>
      </c>
      <c r="B339" s="3">
        <v>45327</v>
      </c>
      <c r="C339" s="3">
        <v>45328</v>
      </c>
      <c r="D339" t="s">
        <v>528</v>
      </c>
      <c r="E339">
        <v>36</v>
      </c>
      <c r="F339" t="s">
        <v>534</v>
      </c>
      <c r="G339" s="2">
        <v>337390</v>
      </c>
      <c r="H339" t="s">
        <v>6</v>
      </c>
      <c r="I339" t="str">
        <f>IFERROR(VLOOKUP(Table1[[#This Row],[Department]],Doctor_Info!A:D,2,FALSE), "")</f>
        <v>Dr. Kofi</v>
      </c>
      <c r="J339" t="str">
        <f>_xlfn.XLOOKUP(Table1[[#This Row],[Department]], Doctor_Info!A:A, Doctor_Info!C:C, "")&amp;""</f>
        <v>102</v>
      </c>
    </row>
    <row r="340" spans="1:10" x14ac:dyDescent="0.2">
      <c r="A340" t="s">
        <v>352</v>
      </c>
      <c r="B340" s="3">
        <v>45332</v>
      </c>
      <c r="D340" t="s">
        <v>10</v>
      </c>
      <c r="E340">
        <v>38</v>
      </c>
      <c r="F340" t="s">
        <v>534</v>
      </c>
      <c r="G340" s="2">
        <v>338360</v>
      </c>
      <c r="H340" t="s">
        <v>403</v>
      </c>
      <c r="I340" t="str">
        <f>IFERROR(VLOOKUP(Table1[[#This Row],[Department]],Doctor_Info!A:D,2,FALSE), "")</f>
        <v>Dr. George</v>
      </c>
      <c r="J340" t="str">
        <f>_xlfn.XLOOKUP(Table1[[#This Row],[Department]], Doctor_Info!A:A, Doctor_Info!C:C, "")&amp;""</f>
        <v>405</v>
      </c>
    </row>
    <row r="341" spans="1:10" x14ac:dyDescent="0.2">
      <c r="A341" t="s">
        <v>353</v>
      </c>
      <c r="B341" s="3">
        <v>45319</v>
      </c>
      <c r="C341" s="3">
        <v>45327</v>
      </c>
      <c r="D341" t="s">
        <v>7</v>
      </c>
      <c r="E341">
        <v>40</v>
      </c>
      <c r="F341" t="s">
        <v>533</v>
      </c>
      <c r="G341" s="2">
        <v>339330</v>
      </c>
      <c r="H341" t="s">
        <v>8</v>
      </c>
      <c r="I341" t="str">
        <f>IFERROR(VLOOKUP(Table1[[#This Row],[Department]],Doctor_Info!A:D,2,FALSE), "")</f>
        <v>Dr. Ada</v>
      </c>
      <c r="J341" t="str">
        <f>_xlfn.XLOOKUP(Table1[[#This Row],[Department]], Doctor_Info!A:A, Doctor_Info!C:C, "")&amp;""</f>
        <v>301</v>
      </c>
    </row>
    <row r="342" spans="1:10" x14ac:dyDescent="0.2">
      <c r="A342" t="s">
        <v>354</v>
      </c>
      <c r="B342" s="3">
        <v>45323</v>
      </c>
      <c r="C342" s="3">
        <v>45324</v>
      </c>
      <c r="D342" t="s">
        <v>528</v>
      </c>
      <c r="E342">
        <v>42</v>
      </c>
      <c r="F342" t="s">
        <v>534</v>
      </c>
      <c r="G342" s="2">
        <v>340300</v>
      </c>
      <c r="H342" t="s">
        <v>6</v>
      </c>
      <c r="I342" t="str">
        <f>IFERROR(VLOOKUP(Table1[[#This Row],[Department]],Doctor_Info!A:D,2,FALSE), "")</f>
        <v>Dr. Kofi</v>
      </c>
      <c r="J342" t="str">
        <f>_xlfn.XLOOKUP(Table1[[#This Row],[Department]], Doctor_Info!A:A, Doctor_Info!C:C, "")&amp;""</f>
        <v>102</v>
      </c>
    </row>
    <row r="343" spans="1:10" x14ac:dyDescent="0.2">
      <c r="A343" t="s">
        <v>355</v>
      </c>
      <c r="B343" s="3">
        <v>45325</v>
      </c>
      <c r="C343" s="3">
        <v>45337</v>
      </c>
      <c r="D343" t="s">
        <v>12</v>
      </c>
      <c r="E343">
        <v>44</v>
      </c>
      <c r="F343" t="s">
        <v>533</v>
      </c>
      <c r="G343" s="2">
        <v>341270</v>
      </c>
      <c r="H343" t="s">
        <v>8</v>
      </c>
      <c r="I343" t="str">
        <f>IFERROR(VLOOKUP(Table1[[#This Row],[Department]],Doctor_Info!A:D,2,FALSE), "")</f>
        <v>Dr. Temi</v>
      </c>
      <c r="J343" t="str">
        <f>_xlfn.XLOOKUP(Table1[[#This Row],[Department]], Doctor_Info!A:A, Doctor_Info!C:C, "")&amp;""</f>
        <v>502</v>
      </c>
    </row>
    <row r="344" spans="1:10" x14ac:dyDescent="0.2">
      <c r="A344" t="s">
        <v>356</v>
      </c>
      <c r="B344" s="3">
        <v>45327</v>
      </c>
      <c r="C344" s="3">
        <v>45328</v>
      </c>
      <c r="D344" t="s">
        <v>528</v>
      </c>
      <c r="E344">
        <v>46</v>
      </c>
      <c r="F344" t="s">
        <v>534</v>
      </c>
      <c r="G344" s="2">
        <v>342240</v>
      </c>
      <c r="H344" t="s">
        <v>6</v>
      </c>
      <c r="I344" t="str">
        <f>IFERROR(VLOOKUP(Table1[[#This Row],[Department]],Doctor_Info!A:D,2,FALSE), "")</f>
        <v>Dr. Kofi</v>
      </c>
      <c r="J344" t="str">
        <f>_xlfn.XLOOKUP(Table1[[#This Row],[Department]], Doctor_Info!A:A, Doctor_Info!C:C, "")&amp;""</f>
        <v>102</v>
      </c>
    </row>
    <row r="345" spans="1:10" x14ac:dyDescent="0.2">
      <c r="A345" t="s">
        <v>357</v>
      </c>
      <c r="B345" s="3">
        <v>45332</v>
      </c>
      <c r="D345" t="s">
        <v>10</v>
      </c>
      <c r="E345">
        <v>48</v>
      </c>
      <c r="F345" t="s">
        <v>534</v>
      </c>
      <c r="G345" s="2">
        <v>343210</v>
      </c>
      <c r="H345" t="s">
        <v>403</v>
      </c>
      <c r="I345" t="str">
        <f>IFERROR(VLOOKUP(Table1[[#This Row],[Department]],Doctor_Info!A:D,2,FALSE), "")</f>
        <v>Dr. George</v>
      </c>
      <c r="J345" t="str">
        <f>_xlfn.XLOOKUP(Table1[[#This Row],[Department]], Doctor_Info!A:A, Doctor_Info!C:C, "")&amp;""</f>
        <v>405</v>
      </c>
    </row>
    <row r="346" spans="1:10" x14ac:dyDescent="0.2">
      <c r="A346" t="s">
        <v>358</v>
      </c>
      <c r="B346" s="3">
        <v>45319</v>
      </c>
      <c r="C346" s="3">
        <v>45327</v>
      </c>
      <c r="D346" t="s">
        <v>7</v>
      </c>
      <c r="E346">
        <v>50</v>
      </c>
      <c r="F346" t="s">
        <v>533</v>
      </c>
      <c r="G346" s="2">
        <v>344180</v>
      </c>
      <c r="H346" t="s">
        <v>8</v>
      </c>
      <c r="I346" t="str">
        <f>IFERROR(VLOOKUP(Table1[[#This Row],[Department]],Doctor_Info!A:D,2,FALSE), "")</f>
        <v>Dr. Ada</v>
      </c>
      <c r="J346" t="str">
        <f>_xlfn.XLOOKUP(Table1[[#This Row],[Department]], Doctor_Info!A:A, Doctor_Info!C:C, "")&amp;""</f>
        <v>301</v>
      </c>
    </row>
    <row r="347" spans="1:10" x14ac:dyDescent="0.2">
      <c r="A347" t="s">
        <v>359</v>
      </c>
      <c r="B347" s="3">
        <v>45323</v>
      </c>
      <c r="C347" s="3">
        <v>45324</v>
      </c>
      <c r="D347" t="s">
        <v>528</v>
      </c>
      <c r="E347">
        <v>52</v>
      </c>
      <c r="F347" t="s">
        <v>534</v>
      </c>
      <c r="G347" s="2">
        <v>345150</v>
      </c>
      <c r="H347" t="s">
        <v>6</v>
      </c>
      <c r="I347" t="str">
        <f>IFERROR(VLOOKUP(Table1[[#This Row],[Department]],Doctor_Info!A:D,2,FALSE), "")</f>
        <v>Dr. Kofi</v>
      </c>
      <c r="J347" t="str">
        <f>_xlfn.XLOOKUP(Table1[[#This Row],[Department]], Doctor_Info!A:A, Doctor_Info!C:C, "")&amp;""</f>
        <v>102</v>
      </c>
    </row>
    <row r="348" spans="1:10" x14ac:dyDescent="0.2">
      <c r="A348" t="s">
        <v>360</v>
      </c>
      <c r="B348" s="3">
        <v>45325</v>
      </c>
      <c r="C348" s="3">
        <v>45337</v>
      </c>
      <c r="D348" t="s">
        <v>12</v>
      </c>
      <c r="E348">
        <v>54</v>
      </c>
      <c r="F348" t="s">
        <v>533</v>
      </c>
      <c r="G348" s="2">
        <v>346120</v>
      </c>
      <c r="H348" t="s">
        <v>8</v>
      </c>
      <c r="I348" t="str">
        <f>IFERROR(VLOOKUP(Table1[[#This Row],[Department]],Doctor_Info!A:D,2,FALSE), "")</f>
        <v>Dr. Temi</v>
      </c>
      <c r="J348" t="str">
        <f>_xlfn.XLOOKUP(Table1[[#This Row],[Department]], Doctor_Info!A:A, Doctor_Info!C:C, "")&amp;""</f>
        <v>502</v>
      </c>
    </row>
    <row r="349" spans="1:10" x14ac:dyDescent="0.2">
      <c r="A349" t="s">
        <v>361</v>
      </c>
      <c r="B349" s="3">
        <v>45327</v>
      </c>
      <c r="C349" s="3">
        <v>45328</v>
      </c>
      <c r="D349" t="s">
        <v>528</v>
      </c>
      <c r="E349">
        <v>56</v>
      </c>
      <c r="F349" t="s">
        <v>534</v>
      </c>
      <c r="G349" s="2">
        <v>347090</v>
      </c>
      <c r="H349" t="s">
        <v>6</v>
      </c>
      <c r="I349" t="str">
        <f>IFERROR(VLOOKUP(Table1[[#This Row],[Department]],Doctor_Info!A:D,2,FALSE), "")</f>
        <v>Dr. Kofi</v>
      </c>
      <c r="J349" t="str">
        <f>_xlfn.XLOOKUP(Table1[[#This Row],[Department]], Doctor_Info!A:A, Doctor_Info!C:C, "")&amp;""</f>
        <v>102</v>
      </c>
    </row>
    <row r="350" spans="1:10" x14ac:dyDescent="0.2">
      <c r="A350" t="s">
        <v>362</v>
      </c>
      <c r="B350" s="3">
        <v>45332</v>
      </c>
      <c r="D350" t="s">
        <v>10</v>
      </c>
      <c r="E350">
        <v>58</v>
      </c>
      <c r="F350" t="s">
        <v>534</v>
      </c>
      <c r="G350" s="2">
        <v>348060</v>
      </c>
      <c r="H350" t="s">
        <v>403</v>
      </c>
      <c r="I350" t="str">
        <f>IFERROR(VLOOKUP(Table1[[#This Row],[Department]],Doctor_Info!A:D,2,FALSE), "")</f>
        <v>Dr. George</v>
      </c>
      <c r="J350" t="str">
        <f>_xlfn.XLOOKUP(Table1[[#This Row],[Department]], Doctor_Info!A:A, Doctor_Info!C:C, "")&amp;""</f>
        <v>405</v>
      </c>
    </row>
    <row r="351" spans="1:10" x14ac:dyDescent="0.2">
      <c r="A351" t="s">
        <v>363</v>
      </c>
      <c r="B351" s="3">
        <v>45319</v>
      </c>
      <c r="C351" s="3">
        <v>45327</v>
      </c>
      <c r="D351" t="s">
        <v>7</v>
      </c>
      <c r="E351">
        <v>60</v>
      </c>
      <c r="F351" t="s">
        <v>533</v>
      </c>
      <c r="G351" s="2">
        <v>349030</v>
      </c>
      <c r="H351" t="s">
        <v>8</v>
      </c>
      <c r="I351" t="str">
        <f>IFERROR(VLOOKUP(Table1[[#This Row],[Department]],Doctor_Info!A:D,2,FALSE), "")</f>
        <v>Dr. Ada</v>
      </c>
      <c r="J351" t="str">
        <f>_xlfn.XLOOKUP(Table1[[#This Row],[Department]], Doctor_Info!A:A, Doctor_Info!C:C, "")&amp;""</f>
        <v>301</v>
      </c>
    </row>
    <row r="352" spans="1:10" x14ac:dyDescent="0.2">
      <c r="A352" t="s">
        <v>364</v>
      </c>
      <c r="B352" s="3">
        <v>45323</v>
      </c>
      <c r="C352" s="3">
        <v>45324</v>
      </c>
      <c r="D352" t="s">
        <v>528</v>
      </c>
      <c r="E352">
        <v>62</v>
      </c>
      <c r="F352" t="s">
        <v>534</v>
      </c>
      <c r="G352" s="2">
        <v>350000</v>
      </c>
      <c r="H352" t="s">
        <v>6</v>
      </c>
      <c r="I352" t="str">
        <f>IFERROR(VLOOKUP(Table1[[#This Row],[Department]],Doctor_Info!A:D,2,FALSE), "")</f>
        <v>Dr. Kofi</v>
      </c>
      <c r="J352" t="str">
        <f>_xlfn.XLOOKUP(Table1[[#This Row],[Department]], Doctor_Info!A:A, Doctor_Info!C:C, "")&amp;""</f>
        <v>102</v>
      </c>
    </row>
    <row r="353" spans="1:10" x14ac:dyDescent="0.2">
      <c r="A353" t="s">
        <v>365</v>
      </c>
      <c r="B353" s="3">
        <v>45325</v>
      </c>
      <c r="C353" s="3">
        <v>45337</v>
      </c>
      <c r="D353" t="s">
        <v>12</v>
      </c>
      <c r="E353">
        <v>64</v>
      </c>
      <c r="F353" t="s">
        <v>533</v>
      </c>
      <c r="G353" s="2">
        <v>350970</v>
      </c>
      <c r="H353" t="s">
        <v>8</v>
      </c>
      <c r="I353" t="str">
        <f>IFERROR(VLOOKUP(Table1[[#This Row],[Department]],Doctor_Info!A:D,2,FALSE), "")</f>
        <v>Dr. Temi</v>
      </c>
      <c r="J353" t="str">
        <f>_xlfn.XLOOKUP(Table1[[#This Row],[Department]], Doctor_Info!A:A, Doctor_Info!C:C, "")&amp;""</f>
        <v>502</v>
      </c>
    </row>
    <row r="354" spans="1:10" x14ac:dyDescent="0.2">
      <c r="A354" t="s">
        <v>366</v>
      </c>
      <c r="B354" s="3">
        <v>45327</v>
      </c>
      <c r="C354" s="3">
        <v>45328</v>
      </c>
      <c r="D354" t="s">
        <v>528</v>
      </c>
      <c r="E354">
        <v>66</v>
      </c>
      <c r="F354" t="s">
        <v>534</v>
      </c>
      <c r="G354" s="2">
        <v>351940</v>
      </c>
      <c r="H354" t="s">
        <v>6</v>
      </c>
      <c r="I354" t="str">
        <f>IFERROR(VLOOKUP(Table1[[#This Row],[Department]],Doctor_Info!A:D,2,FALSE), "")</f>
        <v>Dr. Kofi</v>
      </c>
      <c r="J354" t="str">
        <f>_xlfn.XLOOKUP(Table1[[#This Row],[Department]], Doctor_Info!A:A, Doctor_Info!C:C, "")&amp;""</f>
        <v>102</v>
      </c>
    </row>
    <row r="355" spans="1:10" x14ac:dyDescent="0.2">
      <c r="A355" t="s">
        <v>367</v>
      </c>
      <c r="B355" s="3">
        <v>45332</v>
      </c>
      <c r="D355" t="s">
        <v>10</v>
      </c>
      <c r="E355">
        <v>68</v>
      </c>
      <c r="F355" t="s">
        <v>534</v>
      </c>
      <c r="G355" s="2">
        <v>352910</v>
      </c>
      <c r="H355" t="s">
        <v>403</v>
      </c>
      <c r="I355" t="str">
        <f>IFERROR(VLOOKUP(Table1[[#This Row],[Department]],Doctor_Info!A:D,2,FALSE), "")</f>
        <v>Dr. George</v>
      </c>
      <c r="J355" t="str">
        <f>_xlfn.XLOOKUP(Table1[[#This Row],[Department]], Doctor_Info!A:A, Doctor_Info!C:C, "")&amp;""</f>
        <v>405</v>
      </c>
    </row>
    <row r="356" spans="1:10" x14ac:dyDescent="0.2">
      <c r="A356" t="s">
        <v>368</v>
      </c>
      <c r="B356" s="3">
        <v>45319</v>
      </c>
      <c r="C356" s="3">
        <v>45327</v>
      </c>
      <c r="D356" t="s">
        <v>7</v>
      </c>
      <c r="E356">
        <v>70</v>
      </c>
      <c r="F356" t="s">
        <v>533</v>
      </c>
      <c r="G356" s="2">
        <v>353880</v>
      </c>
      <c r="H356" t="s">
        <v>8</v>
      </c>
      <c r="I356" t="str">
        <f>IFERROR(VLOOKUP(Table1[[#This Row],[Department]],Doctor_Info!A:D,2,FALSE), "")</f>
        <v>Dr. Ada</v>
      </c>
      <c r="J356" t="str">
        <f>_xlfn.XLOOKUP(Table1[[#This Row],[Department]], Doctor_Info!A:A, Doctor_Info!C:C, "")&amp;""</f>
        <v>301</v>
      </c>
    </row>
    <row r="357" spans="1:10" x14ac:dyDescent="0.2">
      <c r="A357" t="s">
        <v>369</v>
      </c>
      <c r="B357" s="3">
        <v>45323</v>
      </c>
      <c r="C357" s="3">
        <v>45324</v>
      </c>
      <c r="D357" t="s">
        <v>528</v>
      </c>
      <c r="E357">
        <v>72</v>
      </c>
      <c r="F357" t="s">
        <v>534</v>
      </c>
      <c r="G357" s="2">
        <v>354850</v>
      </c>
      <c r="H357" t="s">
        <v>6</v>
      </c>
      <c r="I357" t="str">
        <f>IFERROR(VLOOKUP(Table1[[#This Row],[Department]],Doctor_Info!A:D,2,FALSE), "")</f>
        <v>Dr. Kofi</v>
      </c>
      <c r="J357" t="str">
        <f>_xlfn.XLOOKUP(Table1[[#This Row],[Department]], Doctor_Info!A:A, Doctor_Info!C:C, "")&amp;""</f>
        <v>102</v>
      </c>
    </row>
    <row r="358" spans="1:10" x14ac:dyDescent="0.2">
      <c r="A358" t="s">
        <v>370</v>
      </c>
      <c r="B358" s="3">
        <v>45325</v>
      </c>
      <c r="C358" s="3">
        <v>45337</v>
      </c>
      <c r="D358" t="s">
        <v>12</v>
      </c>
      <c r="E358">
        <v>74</v>
      </c>
      <c r="F358" t="s">
        <v>533</v>
      </c>
      <c r="G358" s="2">
        <v>355820</v>
      </c>
      <c r="H358" t="s">
        <v>8</v>
      </c>
      <c r="I358" t="str">
        <f>IFERROR(VLOOKUP(Table1[[#This Row],[Department]],Doctor_Info!A:D,2,FALSE), "")</f>
        <v>Dr. Temi</v>
      </c>
      <c r="J358" t="str">
        <f>_xlfn.XLOOKUP(Table1[[#This Row],[Department]], Doctor_Info!A:A, Doctor_Info!C:C, "")&amp;""</f>
        <v>502</v>
      </c>
    </row>
    <row r="359" spans="1:10" x14ac:dyDescent="0.2">
      <c r="A359" t="s">
        <v>371</v>
      </c>
      <c r="B359" s="3">
        <v>45327</v>
      </c>
      <c r="C359" s="3">
        <v>45328</v>
      </c>
      <c r="D359" t="s">
        <v>528</v>
      </c>
      <c r="E359">
        <v>76</v>
      </c>
      <c r="F359" t="s">
        <v>534</v>
      </c>
      <c r="G359" s="2">
        <v>356790</v>
      </c>
      <c r="H359" t="s">
        <v>6</v>
      </c>
      <c r="I359" t="str">
        <f>IFERROR(VLOOKUP(Table1[[#This Row],[Department]],Doctor_Info!A:D,2,FALSE), "")</f>
        <v>Dr. Kofi</v>
      </c>
      <c r="J359" t="str">
        <f>_xlfn.XLOOKUP(Table1[[#This Row],[Department]], Doctor_Info!A:A, Doctor_Info!C:C, "")&amp;""</f>
        <v>102</v>
      </c>
    </row>
    <row r="360" spans="1:10" x14ac:dyDescent="0.2">
      <c r="A360" t="s">
        <v>372</v>
      </c>
      <c r="B360" s="3">
        <v>45332</v>
      </c>
      <c r="D360" t="s">
        <v>10</v>
      </c>
      <c r="E360">
        <v>78</v>
      </c>
      <c r="F360" t="s">
        <v>534</v>
      </c>
      <c r="G360" s="2">
        <v>357760</v>
      </c>
      <c r="H360" t="s">
        <v>403</v>
      </c>
      <c r="I360" t="str">
        <f>IFERROR(VLOOKUP(Table1[[#This Row],[Department]],Doctor_Info!A:D,2,FALSE), "")</f>
        <v>Dr. George</v>
      </c>
      <c r="J360" t="str">
        <f>_xlfn.XLOOKUP(Table1[[#This Row],[Department]], Doctor_Info!A:A, Doctor_Info!C:C, "")&amp;""</f>
        <v>405</v>
      </c>
    </row>
    <row r="361" spans="1:10" x14ac:dyDescent="0.2">
      <c r="A361" t="s">
        <v>373</v>
      </c>
      <c r="B361" s="3">
        <v>45319</v>
      </c>
      <c r="C361" s="3">
        <v>45327</v>
      </c>
      <c r="D361" t="s">
        <v>7</v>
      </c>
      <c r="E361">
        <v>80</v>
      </c>
      <c r="F361" t="s">
        <v>533</v>
      </c>
      <c r="G361" s="2">
        <v>358730</v>
      </c>
      <c r="H361" t="s">
        <v>8</v>
      </c>
      <c r="I361" t="str">
        <f>IFERROR(VLOOKUP(Table1[[#This Row],[Department]],Doctor_Info!A:D,2,FALSE), "")</f>
        <v>Dr. Ada</v>
      </c>
      <c r="J361" t="str">
        <f>_xlfn.XLOOKUP(Table1[[#This Row],[Department]], Doctor_Info!A:A, Doctor_Info!C:C, "")&amp;""</f>
        <v>301</v>
      </c>
    </row>
    <row r="362" spans="1:10" x14ac:dyDescent="0.2">
      <c r="A362" t="s">
        <v>374</v>
      </c>
      <c r="B362" s="3">
        <v>45323</v>
      </c>
      <c r="C362" s="3">
        <v>45324</v>
      </c>
      <c r="D362" t="s">
        <v>528</v>
      </c>
      <c r="E362">
        <v>82</v>
      </c>
      <c r="F362" t="s">
        <v>534</v>
      </c>
      <c r="G362" s="2">
        <v>359700</v>
      </c>
      <c r="H362" t="s">
        <v>6</v>
      </c>
      <c r="I362" t="str">
        <f>IFERROR(VLOOKUP(Table1[[#This Row],[Department]],Doctor_Info!A:D,2,FALSE), "")</f>
        <v>Dr. Kofi</v>
      </c>
      <c r="J362" t="str">
        <f>_xlfn.XLOOKUP(Table1[[#This Row],[Department]], Doctor_Info!A:A, Doctor_Info!C:C, "")&amp;""</f>
        <v>102</v>
      </c>
    </row>
    <row r="363" spans="1:10" x14ac:dyDescent="0.2">
      <c r="A363" t="s">
        <v>375</v>
      </c>
      <c r="B363" s="3">
        <v>45325</v>
      </c>
      <c r="C363" s="3">
        <v>45337</v>
      </c>
      <c r="D363" t="s">
        <v>12</v>
      </c>
      <c r="E363">
        <v>84</v>
      </c>
      <c r="F363" t="s">
        <v>533</v>
      </c>
      <c r="G363" s="2">
        <v>360670</v>
      </c>
      <c r="H363" t="s">
        <v>8</v>
      </c>
      <c r="I363" t="str">
        <f>IFERROR(VLOOKUP(Table1[[#This Row],[Department]],Doctor_Info!A:D,2,FALSE), "")</f>
        <v>Dr. Temi</v>
      </c>
      <c r="J363" t="str">
        <f>_xlfn.XLOOKUP(Table1[[#This Row],[Department]], Doctor_Info!A:A, Doctor_Info!C:C, "")&amp;""</f>
        <v>502</v>
      </c>
    </row>
    <row r="364" spans="1:10" x14ac:dyDescent="0.2">
      <c r="A364" t="s">
        <v>376</v>
      </c>
      <c r="B364" s="3">
        <v>45327</v>
      </c>
      <c r="C364" s="3">
        <v>45328</v>
      </c>
      <c r="D364" t="s">
        <v>528</v>
      </c>
      <c r="E364">
        <v>86</v>
      </c>
      <c r="F364" t="s">
        <v>534</v>
      </c>
      <c r="G364" s="2">
        <v>361640</v>
      </c>
      <c r="H364" t="s">
        <v>6</v>
      </c>
      <c r="I364" t="str">
        <f>IFERROR(VLOOKUP(Table1[[#This Row],[Department]],Doctor_Info!A:D,2,FALSE), "")</f>
        <v>Dr. Kofi</v>
      </c>
      <c r="J364" t="str">
        <f>_xlfn.XLOOKUP(Table1[[#This Row],[Department]], Doctor_Info!A:A, Doctor_Info!C:C, "")&amp;""</f>
        <v>102</v>
      </c>
    </row>
    <row r="365" spans="1:10" x14ac:dyDescent="0.2">
      <c r="A365" t="s">
        <v>377</v>
      </c>
      <c r="B365" s="3">
        <v>45332</v>
      </c>
      <c r="D365" t="s">
        <v>10</v>
      </c>
      <c r="E365">
        <v>88</v>
      </c>
      <c r="F365" t="s">
        <v>534</v>
      </c>
      <c r="G365" s="2">
        <v>362610</v>
      </c>
      <c r="H365" t="s">
        <v>403</v>
      </c>
      <c r="I365" t="str">
        <f>IFERROR(VLOOKUP(Table1[[#This Row],[Department]],Doctor_Info!A:D,2,FALSE), "")</f>
        <v>Dr. George</v>
      </c>
      <c r="J365" t="str">
        <f>_xlfn.XLOOKUP(Table1[[#This Row],[Department]], Doctor_Info!A:A, Doctor_Info!C:C, "")&amp;""</f>
        <v>405</v>
      </c>
    </row>
    <row r="366" spans="1:10" x14ac:dyDescent="0.2">
      <c r="A366" t="s">
        <v>378</v>
      </c>
      <c r="B366" s="3">
        <v>45319</v>
      </c>
      <c r="C366" s="3">
        <v>45327</v>
      </c>
      <c r="D366" t="s">
        <v>7</v>
      </c>
      <c r="E366">
        <v>90</v>
      </c>
      <c r="F366" t="s">
        <v>533</v>
      </c>
      <c r="G366" s="2">
        <v>363580</v>
      </c>
      <c r="H366" t="s">
        <v>8</v>
      </c>
      <c r="I366" t="str">
        <f>IFERROR(VLOOKUP(Table1[[#This Row],[Department]],Doctor_Info!A:D,2,FALSE), "")</f>
        <v>Dr. Ada</v>
      </c>
      <c r="J366" t="str">
        <f>_xlfn.XLOOKUP(Table1[[#This Row],[Department]], Doctor_Info!A:A, Doctor_Info!C:C, "")&amp;""</f>
        <v>301</v>
      </c>
    </row>
    <row r="367" spans="1:10" x14ac:dyDescent="0.2">
      <c r="A367" t="s">
        <v>379</v>
      </c>
      <c r="B367" s="3">
        <v>45323</v>
      </c>
      <c r="C367" s="3">
        <v>45324</v>
      </c>
      <c r="D367" t="s">
        <v>528</v>
      </c>
      <c r="E367">
        <v>92</v>
      </c>
      <c r="F367" t="s">
        <v>534</v>
      </c>
      <c r="G367" s="2">
        <v>364550</v>
      </c>
      <c r="H367" t="s">
        <v>6</v>
      </c>
      <c r="I367" t="str">
        <f>IFERROR(VLOOKUP(Table1[[#This Row],[Department]],Doctor_Info!A:D,2,FALSE), "")</f>
        <v>Dr. Kofi</v>
      </c>
      <c r="J367" t="str">
        <f>_xlfn.XLOOKUP(Table1[[#This Row],[Department]], Doctor_Info!A:A, Doctor_Info!C:C, "")&amp;""</f>
        <v>102</v>
      </c>
    </row>
    <row r="368" spans="1:10" x14ac:dyDescent="0.2">
      <c r="A368" t="s">
        <v>380</v>
      </c>
      <c r="B368" s="3">
        <v>45325</v>
      </c>
      <c r="C368" s="3">
        <v>45337</v>
      </c>
      <c r="D368" t="s">
        <v>12</v>
      </c>
      <c r="E368">
        <v>94</v>
      </c>
      <c r="F368" t="s">
        <v>533</v>
      </c>
      <c r="G368" s="2">
        <v>365520</v>
      </c>
      <c r="H368" t="s">
        <v>8</v>
      </c>
      <c r="I368" t="str">
        <f>IFERROR(VLOOKUP(Table1[[#This Row],[Department]],Doctor_Info!A:D,2,FALSE), "")</f>
        <v>Dr. Temi</v>
      </c>
      <c r="J368" t="str">
        <f>_xlfn.XLOOKUP(Table1[[#This Row],[Department]], Doctor_Info!A:A, Doctor_Info!C:C, "")&amp;""</f>
        <v>502</v>
      </c>
    </row>
    <row r="369" spans="1:10" x14ac:dyDescent="0.2">
      <c r="A369" t="s">
        <v>381</v>
      </c>
      <c r="B369" s="3">
        <v>45327</v>
      </c>
      <c r="C369" s="3">
        <v>45328</v>
      </c>
      <c r="D369" t="s">
        <v>528</v>
      </c>
      <c r="E369">
        <v>96</v>
      </c>
      <c r="F369" t="s">
        <v>534</v>
      </c>
      <c r="G369" s="2">
        <v>366490</v>
      </c>
      <c r="H369" t="s">
        <v>6</v>
      </c>
      <c r="I369" t="str">
        <f>IFERROR(VLOOKUP(Table1[[#This Row],[Department]],Doctor_Info!A:D,2,FALSE), "")</f>
        <v>Dr. Kofi</v>
      </c>
      <c r="J369" t="str">
        <f>_xlfn.XLOOKUP(Table1[[#This Row],[Department]], Doctor_Info!A:A, Doctor_Info!C:C, "")&amp;""</f>
        <v>102</v>
      </c>
    </row>
    <row r="370" spans="1:10" x14ac:dyDescent="0.2">
      <c r="A370" t="s">
        <v>382</v>
      </c>
      <c r="B370" s="3">
        <v>45332</v>
      </c>
      <c r="D370" t="s">
        <v>10</v>
      </c>
      <c r="E370">
        <v>98</v>
      </c>
      <c r="F370" t="s">
        <v>534</v>
      </c>
      <c r="G370" s="2">
        <v>367460</v>
      </c>
      <c r="H370" t="s">
        <v>403</v>
      </c>
      <c r="I370" t="str">
        <f>IFERROR(VLOOKUP(Table1[[#This Row],[Department]],Doctor_Info!A:D,2,FALSE), "")</f>
        <v>Dr. George</v>
      </c>
      <c r="J370" t="str">
        <f>_xlfn.XLOOKUP(Table1[[#This Row],[Department]], Doctor_Info!A:A, Doctor_Info!C:C, "")&amp;""</f>
        <v>405</v>
      </c>
    </row>
    <row r="371" spans="1:10" x14ac:dyDescent="0.2">
      <c r="A371" t="s">
        <v>383</v>
      </c>
      <c r="B371" s="3">
        <v>45319</v>
      </c>
      <c r="C371" s="3">
        <v>45327</v>
      </c>
      <c r="D371" t="s">
        <v>7</v>
      </c>
      <c r="E371">
        <v>100</v>
      </c>
      <c r="F371" t="s">
        <v>533</v>
      </c>
      <c r="G371" s="2">
        <v>368430</v>
      </c>
      <c r="H371" t="s">
        <v>8</v>
      </c>
      <c r="I371" t="str">
        <f>IFERROR(VLOOKUP(Table1[[#This Row],[Department]],Doctor_Info!A:D,2,FALSE), "")</f>
        <v>Dr. Ada</v>
      </c>
      <c r="J371" t="str">
        <f>_xlfn.XLOOKUP(Table1[[#This Row],[Department]], Doctor_Info!A:A, Doctor_Info!C:C, "")&amp;""</f>
        <v>301</v>
      </c>
    </row>
    <row r="372" spans="1:10" x14ac:dyDescent="0.2">
      <c r="A372" t="s">
        <v>384</v>
      </c>
      <c r="B372" s="3">
        <v>45323</v>
      </c>
      <c r="C372" s="3">
        <v>45324</v>
      </c>
      <c r="D372" t="s">
        <v>528</v>
      </c>
      <c r="E372">
        <v>2</v>
      </c>
      <c r="F372" t="s">
        <v>534</v>
      </c>
      <c r="G372" s="2">
        <v>369400</v>
      </c>
      <c r="H372" t="s">
        <v>6</v>
      </c>
      <c r="I372" t="str">
        <f>IFERROR(VLOOKUP(Table1[[#This Row],[Department]],Doctor_Info!A:D,2,FALSE), "")</f>
        <v>Dr. Kofi</v>
      </c>
      <c r="J372" t="str">
        <f>_xlfn.XLOOKUP(Table1[[#This Row],[Department]], Doctor_Info!A:A, Doctor_Info!C:C, "")&amp;""</f>
        <v>102</v>
      </c>
    </row>
    <row r="373" spans="1:10" x14ac:dyDescent="0.2">
      <c r="A373" t="s">
        <v>385</v>
      </c>
      <c r="B373" s="3">
        <v>45325</v>
      </c>
      <c r="C373" s="3">
        <v>45337</v>
      </c>
      <c r="D373" t="s">
        <v>12</v>
      </c>
      <c r="E373">
        <v>4</v>
      </c>
      <c r="F373" t="s">
        <v>533</v>
      </c>
      <c r="G373" s="2">
        <v>370370</v>
      </c>
      <c r="H373" t="s">
        <v>8</v>
      </c>
      <c r="I373" t="str">
        <f>IFERROR(VLOOKUP(Table1[[#This Row],[Department]],Doctor_Info!A:D,2,FALSE), "")</f>
        <v>Dr. Temi</v>
      </c>
      <c r="J373" t="str">
        <f>_xlfn.XLOOKUP(Table1[[#This Row],[Department]], Doctor_Info!A:A, Doctor_Info!C:C, "")&amp;""</f>
        <v>502</v>
      </c>
    </row>
    <row r="374" spans="1:10" x14ac:dyDescent="0.2">
      <c r="A374" t="s">
        <v>386</v>
      </c>
      <c r="B374" s="3">
        <v>45327</v>
      </c>
      <c r="C374" s="3">
        <v>45328</v>
      </c>
      <c r="D374" t="s">
        <v>528</v>
      </c>
      <c r="E374">
        <v>6</v>
      </c>
      <c r="F374" t="s">
        <v>534</v>
      </c>
      <c r="G374" s="2">
        <v>371340</v>
      </c>
      <c r="H374" t="s">
        <v>6</v>
      </c>
      <c r="I374" t="str">
        <f>IFERROR(VLOOKUP(Table1[[#This Row],[Department]],Doctor_Info!A:D,2,FALSE), "")</f>
        <v>Dr. Kofi</v>
      </c>
      <c r="J374" t="str">
        <f>_xlfn.XLOOKUP(Table1[[#This Row],[Department]], Doctor_Info!A:A, Doctor_Info!C:C, "")&amp;""</f>
        <v>102</v>
      </c>
    </row>
    <row r="375" spans="1:10" x14ac:dyDescent="0.2">
      <c r="A375" t="s">
        <v>387</v>
      </c>
      <c r="B375" s="3">
        <v>45332</v>
      </c>
      <c r="D375" t="s">
        <v>10</v>
      </c>
      <c r="E375">
        <v>8</v>
      </c>
      <c r="F375" t="s">
        <v>534</v>
      </c>
      <c r="G375" s="2">
        <v>372310</v>
      </c>
      <c r="H375" t="s">
        <v>403</v>
      </c>
      <c r="I375" t="str">
        <f>IFERROR(VLOOKUP(Table1[[#This Row],[Department]],Doctor_Info!A:D,2,FALSE), "")</f>
        <v>Dr. George</v>
      </c>
      <c r="J375" t="str">
        <f>_xlfn.XLOOKUP(Table1[[#This Row],[Department]], Doctor_Info!A:A, Doctor_Info!C:C, "")&amp;""</f>
        <v>405</v>
      </c>
    </row>
    <row r="376" spans="1:10" x14ac:dyDescent="0.2">
      <c r="A376" t="s">
        <v>388</v>
      </c>
      <c r="B376" s="3">
        <v>45319</v>
      </c>
      <c r="C376" s="3">
        <v>45327</v>
      </c>
      <c r="D376" t="s">
        <v>7</v>
      </c>
      <c r="E376">
        <v>10</v>
      </c>
      <c r="F376" t="s">
        <v>533</v>
      </c>
      <c r="G376" s="2">
        <v>373280</v>
      </c>
      <c r="H376" t="s">
        <v>8</v>
      </c>
      <c r="I376" t="str">
        <f>IFERROR(VLOOKUP(Table1[[#This Row],[Department]],Doctor_Info!A:D,2,FALSE), "")</f>
        <v>Dr. Ada</v>
      </c>
      <c r="J376" t="str">
        <f>_xlfn.XLOOKUP(Table1[[#This Row],[Department]], Doctor_Info!A:A, Doctor_Info!C:C, "")&amp;""</f>
        <v>301</v>
      </c>
    </row>
    <row r="377" spans="1:10" x14ac:dyDescent="0.2">
      <c r="A377" t="s">
        <v>389</v>
      </c>
      <c r="B377" s="3">
        <v>45323</v>
      </c>
      <c r="C377" s="3">
        <v>45324</v>
      </c>
      <c r="D377" t="s">
        <v>528</v>
      </c>
      <c r="E377">
        <v>12</v>
      </c>
      <c r="F377" t="s">
        <v>534</v>
      </c>
      <c r="G377" s="2">
        <v>374250</v>
      </c>
      <c r="H377" t="s">
        <v>6</v>
      </c>
      <c r="I377" t="str">
        <f>IFERROR(VLOOKUP(Table1[[#This Row],[Department]],Doctor_Info!A:D,2,FALSE), "")</f>
        <v>Dr. Kofi</v>
      </c>
      <c r="J377" t="str">
        <f>_xlfn.XLOOKUP(Table1[[#This Row],[Department]], Doctor_Info!A:A, Doctor_Info!C:C, "")&amp;""</f>
        <v>102</v>
      </c>
    </row>
    <row r="378" spans="1:10" x14ac:dyDescent="0.2">
      <c r="A378" t="s">
        <v>390</v>
      </c>
      <c r="B378" s="3">
        <v>45325</v>
      </c>
      <c r="C378" s="3">
        <v>45337</v>
      </c>
      <c r="D378" t="s">
        <v>12</v>
      </c>
      <c r="E378">
        <v>14</v>
      </c>
      <c r="F378" t="s">
        <v>533</v>
      </c>
      <c r="G378" s="2">
        <v>375220</v>
      </c>
      <c r="H378" t="s">
        <v>8</v>
      </c>
      <c r="I378" t="str">
        <f>IFERROR(VLOOKUP(Table1[[#This Row],[Department]],Doctor_Info!A:D,2,FALSE), "")</f>
        <v>Dr. Temi</v>
      </c>
      <c r="J378" t="str">
        <f>_xlfn.XLOOKUP(Table1[[#This Row],[Department]], Doctor_Info!A:A, Doctor_Info!C:C, "")&amp;""</f>
        <v>502</v>
      </c>
    </row>
    <row r="379" spans="1:10" x14ac:dyDescent="0.2">
      <c r="A379" t="s">
        <v>391</v>
      </c>
      <c r="B379" s="3">
        <v>45327</v>
      </c>
      <c r="C379" s="3">
        <v>45328</v>
      </c>
      <c r="D379" t="s">
        <v>528</v>
      </c>
      <c r="E379">
        <v>16</v>
      </c>
      <c r="F379" t="s">
        <v>534</v>
      </c>
      <c r="G379" s="2">
        <v>376190</v>
      </c>
      <c r="H379" t="s">
        <v>6</v>
      </c>
      <c r="I379" t="str">
        <f>IFERROR(VLOOKUP(Table1[[#This Row],[Department]],Doctor_Info!A:D,2,FALSE), "")</f>
        <v>Dr. Kofi</v>
      </c>
      <c r="J379" t="str">
        <f>_xlfn.XLOOKUP(Table1[[#This Row],[Department]], Doctor_Info!A:A, Doctor_Info!C:C, "")&amp;""</f>
        <v>102</v>
      </c>
    </row>
    <row r="380" spans="1:10" x14ac:dyDescent="0.2">
      <c r="A380" t="s">
        <v>392</v>
      </c>
      <c r="B380" s="3">
        <v>45332</v>
      </c>
      <c r="D380" t="s">
        <v>10</v>
      </c>
      <c r="E380">
        <v>18</v>
      </c>
      <c r="F380" t="s">
        <v>534</v>
      </c>
      <c r="G380" s="2">
        <v>377160</v>
      </c>
      <c r="H380" t="s">
        <v>403</v>
      </c>
      <c r="I380" t="str">
        <f>IFERROR(VLOOKUP(Table1[[#This Row],[Department]],Doctor_Info!A:D,2,FALSE), "")</f>
        <v>Dr. George</v>
      </c>
      <c r="J380" t="str">
        <f>_xlfn.XLOOKUP(Table1[[#This Row],[Department]], Doctor_Info!A:A, Doctor_Info!C:C, "")&amp;""</f>
        <v>405</v>
      </c>
    </row>
    <row r="381" spans="1:10" x14ac:dyDescent="0.2">
      <c r="A381" t="s">
        <v>393</v>
      </c>
      <c r="B381" s="3">
        <v>45319</v>
      </c>
      <c r="C381" s="3">
        <v>45327</v>
      </c>
      <c r="D381" t="s">
        <v>7</v>
      </c>
      <c r="E381">
        <v>20</v>
      </c>
      <c r="F381" t="s">
        <v>533</v>
      </c>
      <c r="G381" s="2">
        <v>378130</v>
      </c>
      <c r="H381" t="s">
        <v>8</v>
      </c>
      <c r="I381" t="str">
        <f>IFERROR(VLOOKUP(Table1[[#This Row],[Department]],Doctor_Info!A:D,2,FALSE), "")</f>
        <v>Dr. Ada</v>
      </c>
      <c r="J381" t="str">
        <f>_xlfn.XLOOKUP(Table1[[#This Row],[Department]], Doctor_Info!A:A, Doctor_Info!C:C, "")&amp;""</f>
        <v>301</v>
      </c>
    </row>
    <row r="382" spans="1:10" x14ac:dyDescent="0.2">
      <c r="A382" t="s">
        <v>394</v>
      </c>
      <c r="B382" s="3">
        <v>45323</v>
      </c>
      <c r="C382" s="3">
        <v>45324</v>
      </c>
      <c r="D382" t="s">
        <v>528</v>
      </c>
      <c r="E382">
        <v>22</v>
      </c>
      <c r="F382" t="s">
        <v>534</v>
      </c>
      <c r="G382" s="2">
        <v>379100</v>
      </c>
      <c r="H382" t="s">
        <v>6</v>
      </c>
      <c r="I382" t="str">
        <f>IFERROR(VLOOKUP(Table1[[#This Row],[Department]],Doctor_Info!A:D,2,FALSE), "")</f>
        <v>Dr. Kofi</v>
      </c>
      <c r="J382" t="str">
        <f>_xlfn.XLOOKUP(Table1[[#This Row],[Department]], Doctor_Info!A:A, Doctor_Info!C:C, "")&amp;""</f>
        <v>102</v>
      </c>
    </row>
    <row r="383" spans="1:10" x14ac:dyDescent="0.2">
      <c r="A383" t="s">
        <v>395</v>
      </c>
      <c r="B383" s="3">
        <v>45325</v>
      </c>
      <c r="C383" s="3">
        <v>45337</v>
      </c>
      <c r="D383" t="s">
        <v>12</v>
      </c>
      <c r="E383">
        <v>24</v>
      </c>
      <c r="F383" t="s">
        <v>533</v>
      </c>
      <c r="G383" s="2">
        <v>380070</v>
      </c>
      <c r="H383" t="s">
        <v>8</v>
      </c>
      <c r="I383" t="str">
        <f>IFERROR(VLOOKUP(Table1[[#This Row],[Department]],Doctor_Info!A:D,2,FALSE), "")</f>
        <v>Dr. Temi</v>
      </c>
      <c r="J383" t="str">
        <f>_xlfn.XLOOKUP(Table1[[#This Row],[Department]], Doctor_Info!A:A, Doctor_Info!C:C, "")&amp;""</f>
        <v>502</v>
      </c>
    </row>
    <row r="384" spans="1:10" x14ac:dyDescent="0.2">
      <c r="A384" t="s">
        <v>396</v>
      </c>
      <c r="B384" s="3">
        <v>45327</v>
      </c>
      <c r="C384" s="3">
        <v>45328</v>
      </c>
      <c r="D384" t="s">
        <v>528</v>
      </c>
      <c r="E384">
        <v>26</v>
      </c>
      <c r="F384" t="s">
        <v>534</v>
      </c>
      <c r="G384" s="2">
        <v>381040</v>
      </c>
      <c r="H384" t="s">
        <v>6</v>
      </c>
      <c r="I384" t="str">
        <f>IFERROR(VLOOKUP(Table1[[#This Row],[Department]],Doctor_Info!A:D,2,FALSE), "")</f>
        <v>Dr. Kofi</v>
      </c>
      <c r="J384" t="str">
        <f>_xlfn.XLOOKUP(Table1[[#This Row],[Department]], Doctor_Info!A:A, Doctor_Info!C:C, "")&amp;""</f>
        <v>102</v>
      </c>
    </row>
    <row r="385" spans="1:10" x14ac:dyDescent="0.2">
      <c r="A385" t="s">
        <v>397</v>
      </c>
      <c r="B385" s="3">
        <v>45332</v>
      </c>
      <c r="D385" t="s">
        <v>10</v>
      </c>
      <c r="E385">
        <v>28</v>
      </c>
      <c r="F385" t="s">
        <v>534</v>
      </c>
      <c r="G385" s="2">
        <v>382010</v>
      </c>
      <c r="H385" t="s">
        <v>403</v>
      </c>
      <c r="I385" t="str">
        <f>IFERROR(VLOOKUP(Table1[[#This Row],[Department]],Doctor_Info!A:D,2,FALSE), "")</f>
        <v>Dr. George</v>
      </c>
      <c r="J385" t="str">
        <f>_xlfn.XLOOKUP(Table1[[#This Row],[Department]], Doctor_Info!A:A, Doctor_Info!C:C, "")&amp;""</f>
        <v>405</v>
      </c>
    </row>
    <row r="386" spans="1:10" x14ac:dyDescent="0.2">
      <c r="A386" t="s">
        <v>405</v>
      </c>
      <c r="B386" s="3">
        <v>45319</v>
      </c>
      <c r="C386" s="3">
        <v>45327</v>
      </c>
      <c r="D386" t="s">
        <v>7</v>
      </c>
      <c r="E386">
        <v>30</v>
      </c>
      <c r="F386" t="s">
        <v>533</v>
      </c>
      <c r="G386" s="2">
        <v>382980</v>
      </c>
      <c r="H386" t="s">
        <v>8</v>
      </c>
      <c r="I386" t="str">
        <f>IFERROR(VLOOKUP(Table1[[#This Row],[Department]],Doctor_Info!A:D,2,FALSE), "")</f>
        <v>Dr. Ada</v>
      </c>
      <c r="J386" t="str">
        <f>_xlfn.XLOOKUP(Table1[[#This Row],[Department]], Doctor_Info!A:A, Doctor_Info!C:C, "")&amp;""</f>
        <v>301</v>
      </c>
    </row>
    <row r="387" spans="1:10" x14ac:dyDescent="0.2">
      <c r="A387" t="s">
        <v>406</v>
      </c>
      <c r="B387" s="3">
        <v>45323</v>
      </c>
      <c r="C387" s="3">
        <v>45324</v>
      </c>
      <c r="D387" t="s">
        <v>528</v>
      </c>
      <c r="E387">
        <v>32</v>
      </c>
      <c r="F387" t="s">
        <v>534</v>
      </c>
      <c r="G387" s="2">
        <v>383950</v>
      </c>
      <c r="H387" t="s">
        <v>6</v>
      </c>
      <c r="I387" t="str">
        <f>IFERROR(VLOOKUP(Table1[[#This Row],[Department]],Doctor_Info!A:D,2,FALSE), "")</f>
        <v>Dr. Kofi</v>
      </c>
      <c r="J387" t="str">
        <f>_xlfn.XLOOKUP(Table1[[#This Row],[Department]], Doctor_Info!A:A, Doctor_Info!C:C, "")&amp;""</f>
        <v>102</v>
      </c>
    </row>
    <row r="388" spans="1:10" x14ac:dyDescent="0.2">
      <c r="A388" t="s">
        <v>407</v>
      </c>
      <c r="B388" s="3">
        <v>45325</v>
      </c>
      <c r="C388" s="3">
        <v>45337</v>
      </c>
      <c r="D388" t="s">
        <v>12</v>
      </c>
      <c r="E388">
        <v>34</v>
      </c>
      <c r="F388" t="s">
        <v>533</v>
      </c>
      <c r="G388" s="2">
        <v>384920</v>
      </c>
      <c r="H388" t="s">
        <v>8</v>
      </c>
      <c r="I388" t="str">
        <f>IFERROR(VLOOKUP(Table1[[#This Row],[Department]],Doctor_Info!A:D,2,FALSE), "")</f>
        <v>Dr. Temi</v>
      </c>
      <c r="J388" t="str">
        <f>_xlfn.XLOOKUP(Table1[[#This Row],[Department]], Doctor_Info!A:A, Doctor_Info!C:C, "")&amp;""</f>
        <v>502</v>
      </c>
    </row>
    <row r="389" spans="1:10" x14ac:dyDescent="0.2">
      <c r="A389" t="s">
        <v>408</v>
      </c>
      <c r="B389" s="3">
        <v>45327</v>
      </c>
      <c r="C389" s="3">
        <v>45328</v>
      </c>
      <c r="D389" t="s">
        <v>528</v>
      </c>
      <c r="E389">
        <v>36</v>
      </c>
      <c r="F389" t="s">
        <v>534</v>
      </c>
      <c r="G389" s="2">
        <v>385890</v>
      </c>
      <c r="H389" t="s">
        <v>6</v>
      </c>
      <c r="I389" t="str">
        <f>IFERROR(VLOOKUP(Table1[[#This Row],[Department]],Doctor_Info!A:D,2,FALSE), "")</f>
        <v>Dr. Kofi</v>
      </c>
      <c r="J389" t="str">
        <f>_xlfn.XLOOKUP(Table1[[#This Row],[Department]], Doctor_Info!A:A, Doctor_Info!C:C, "")&amp;""</f>
        <v>102</v>
      </c>
    </row>
    <row r="390" spans="1:10" x14ac:dyDescent="0.2">
      <c r="A390" t="s">
        <v>409</v>
      </c>
      <c r="B390" s="3">
        <v>45332</v>
      </c>
      <c r="D390" t="s">
        <v>10</v>
      </c>
      <c r="E390">
        <v>38</v>
      </c>
      <c r="F390" t="s">
        <v>534</v>
      </c>
      <c r="G390" s="2">
        <v>386860</v>
      </c>
      <c r="H390" t="s">
        <v>403</v>
      </c>
      <c r="I390" t="str">
        <f>IFERROR(VLOOKUP(Table1[[#This Row],[Department]],Doctor_Info!A:D,2,FALSE), "")</f>
        <v>Dr. George</v>
      </c>
      <c r="J390" t="str">
        <f>_xlfn.XLOOKUP(Table1[[#This Row],[Department]], Doctor_Info!A:A, Doctor_Info!C:C, "")&amp;""</f>
        <v>405</v>
      </c>
    </row>
    <row r="391" spans="1:10" x14ac:dyDescent="0.2">
      <c r="A391" t="s">
        <v>410</v>
      </c>
      <c r="B391" s="3">
        <v>45319</v>
      </c>
      <c r="C391" s="3">
        <v>45327</v>
      </c>
      <c r="D391" t="s">
        <v>7</v>
      </c>
      <c r="E391">
        <v>40</v>
      </c>
      <c r="F391" t="s">
        <v>533</v>
      </c>
      <c r="G391" s="2">
        <v>387830</v>
      </c>
      <c r="H391" t="s">
        <v>8</v>
      </c>
      <c r="I391" t="str">
        <f>IFERROR(VLOOKUP(Table1[[#This Row],[Department]],Doctor_Info!A:D,2,FALSE), "")</f>
        <v>Dr. Ada</v>
      </c>
      <c r="J391" t="str">
        <f>_xlfn.XLOOKUP(Table1[[#This Row],[Department]], Doctor_Info!A:A, Doctor_Info!C:C, "")&amp;""</f>
        <v>301</v>
      </c>
    </row>
    <row r="392" spans="1:10" x14ac:dyDescent="0.2">
      <c r="A392" t="s">
        <v>411</v>
      </c>
      <c r="B392" s="3">
        <v>45323</v>
      </c>
      <c r="C392" s="3">
        <v>45324</v>
      </c>
      <c r="D392" t="s">
        <v>528</v>
      </c>
      <c r="E392">
        <v>42</v>
      </c>
      <c r="F392" t="s">
        <v>534</v>
      </c>
      <c r="G392" s="2">
        <v>388800</v>
      </c>
      <c r="H392" t="s">
        <v>6</v>
      </c>
      <c r="I392" t="str">
        <f>IFERROR(VLOOKUP(Table1[[#This Row],[Department]],Doctor_Info!A:D,2,FALSE), "")</f>
        <v>Dr. Kofi</v>
      </c>
      <c r="J392" t="str">
        <f>_xlfn.XLOOKUP(Table1[[#This Row],[Department]], Doctor_Info!A:A, Doctor_Info!C:C, "")&amp;""</f>
        <v>102</v>
      </c>
    </row>
    <row r="393" spans="1:10" x14ac:dyDescent="0.2">
      <c r="A393" t="s">
        <v>412</v>
      </c>
      <c r="B393" s="3">
        <v>45325</v>
      </c>
      <c r="C393" s="3">
        <v>45337</v>
      </c>
      <c r="D393" t="s">
        <v>12</v>
      </c>
      <c r="E393">
        <v>44</v>
      </c>
      <c r="F393" t="s">
        <v>533</v>
      </c>
      <c r="G393" s="2">
        <v>389770</v>
      </c>
      <c r="H393" t="s">
        <v>8</v>
      </c>
      <c r="I393" t="str">
        <f>IFERROR(VLOOKUP(Table1[[#This Row],[Department]],Doctor_Info!A:D,2,FALSE), "")</f>
        <v>Dr. Temi</v>
      </c>
      <c r="J393" t="str">
        <f>_xlfn.XLOOKUP(Table1[[#This Row],[Department]], Doctor_Info!A:A, Doctor_Info!C:C, "")&amp;""</f>
        <v>502</v>
      </c>
    </row>
    <row r="394" spans="1:10" x14ac:dyDescent="0.2">
      <c r="A394" t="s">
        <v>413</v>
      </c>
      <c r="B394" s="3">
        <v>45327</v>
      </c>
      <c r="C394" s="3">
        <v>45328</v>
      </c>
      <c r="D394" t="s">
        <v>528</v>
      </c>
      <c r="E394">
        <v>46</v>
      </c>
      <c r="F394" t="s">
        <v>534</v>
      </c>
      <c r="G394" s="2">
        <v>390740</v>
      </c>
      <c r="H394" t="s">
        <v>6</v>
      </c>
      <c r="I394" t="str">
        <f>IFERROR(VLOOKUP(Table1[[#This Row],[Department]],Doctor_Info!A:D,2,FALSE), "")</f>
        <v>Dr. Kofi</v>
      </c>
      <c r="J394" t="str">
        <f>_xlfn.XLOOKUP(Table1[[#This Row],[Department]], Doctor_Info!A:A, Doctor_Info!C:C, "")&amp;""</f>
        <v>102</v>
      </c>
    </row>
    <row r="395" spans="1:10" x14ac:dyDescent="0.2">
      <c r="A395" t="s">
        <v>414</v>
      </c>
      <c r="B395" s="3">
        <v>45332</v>
      </c>
      <c r="D395" t="s">
        <v>10</v>
      </c>
      <c r="E395">
        <v>48</v>
      </c>
      <c r="F395" t="s">
        <v>534</v>
      </c>
      <c r="G395" s="2">
        <v>391710</v>
      </c>
      <c r="H395" t="s">
        <v>403</v>
      </c>
      <c r="I395" t="str">
        <f>IFERROR(VLOOKUP(Table1[[#This Row],[Department]],Doctor_Info!A:D,2,FALSE), "")</f>
        <v>Dr. George</v>
      </c>
      <c r="J395" t="str">
        <f>_xlfn.XLOOKUP(Table1[[#This Row],[Department]], Doctor_Info!A:A, Doctor_Info!C:C, "")&amp;""</f>
        <v>405</v>
      </c>
    </row>
    <row r="396" spans="1:10" x14ac:dyDescent="0.2">
      <c r="A396" t="s">
        <v>415</v>
      </c>
      <c r="B396" s="3">
        <v>45319</v>
      </c>
      <c r="C396" s="3">
        <v>45327</v>
      </c>
      <c r="D396" t="s">
        <v>7</v>
      </c>
      <c r="E396">
        <v>50</v>
      </c>
      <c r="F396" t="s">
        <v>533</v>
      </c>
      <c r="G396" s="2">
        <v>392680</v>
      </c>
      <c r="H396" t="s">
        <v>8</v>
      </c>
      <c r="I396" t="str">
        <f>IFERROR(VLOOKUP(Table1[[#This Row],[Department]],Doctor_Info!A:D,2,FALSE), "")</f>
        <v>Dr. Ada</v>
      </c>
      <c r="J396" t="str">
        <f>_xlfn.XLOOKUP(Table1[[#This Row],[Department]], Doctor_Info!A:A, Doctor_Info!C:C, "")&amp;""</f>
        <v>301</v>
      </c>
    </row>
    <row r="397" spans="1:10" x14ac:dyDescent="0.2">
      <c r="A397" t="s">
        <v>416</v>
      </c>
      <c r="B397" s="3">
        <v>45323</v>
      </c>
      <c r="C397" s="3">
        <v>45324</v>
      </c>
      <c r="D397" t="s">
        <v>528</v>
      </c>
      <c r="E397">
        <v>52</v>
      </c>
      <c r="F397" t="s">
        <v>534</v>
      </c>
      <c r="G397" s="2">
        <v>393650</v>
      </c>
      <c r="H397" t="s">
        <v>6</v>
      </c>
      <c r="I397" t="str">
        <f>IFERROR(VLOOKUP(Table1[[#This Row],[Department]],Doctor_Info!A:D,2,FALSE), "")</f>
        <v>Dr. Kofi</v>
      </c>
      <c r="J397" t="str">
        <f>_xlfn.XLOOKUP(Table1[[#This Row],[Department]], Doctor_Info!A:A, Doctor_Info!C:C, "")&amp;""</f>
        <v>102</v>
      </c>
    </row>
    <row r="398" spans="1:10" x14ac:dyDescent="0.2">
      <c r="A398" t="s">
        <v>417</v>
      </c>
      <c r="B398" s="3">
        <v>45325</v>
      </c>
      <c r="C398" s="3">
        <v>45337</v>
      </c>
      <c r="D398" t="s">
        <v>12</v>
      </c>
      <c r="E398">
        <v>54</v>
      </c>
      <c r="F398" t="s">
        <v>533</v>
      </c>
      <c r="G398" s="2">
        <v>394620</v>
      </c>
      <c r="H398" t="s">
        <v>8</v>
      </c>
      <c r="I398" t="str">
        <f>IFERROR(VLOOKUP(Table1[[#This Row],[Department]],Doctor_Info!A:D,2,FALSE), "")</f>
        <v>Dr. Temi</v>
      </c>
      <c r="J398" t="str">
        <f>_xlfn.XLOOKUP(Table1[[#This Row],[Department]], Doctor_Info!A:A, Doctor_Info!C:C, "")&amp;""</f>
        <v>502</v>
      </c>
    </row>
    <row r="399" spans="1:10" x14ac:dyDescent="0.2">
      <c r="A399" t="s">
        <v>418</v>
      </c>
      <c r="B399" s="3">
        <v>45327</v>
      </c>
      <c r="C399" s="3">
        <v>45328</v>
      </c>
      <c r="D399" t="s">
        <v>528</v>
      </c>
      <c r="E399">
        <v>56</v>
      </c>
      <c r="F399" t="s">
        <v>534</v>
      </c>
      <c r="G399" s="2">
        <v>395590</v>
      </c>
      <c r="H399" t="s">
        <v>6</v>
      </c>
      <c r="I399" t="str">
        <f>IFERROR(VLOOKUP(Table1[[#This Row],[Department]],Doctor_Info!A:D,2,FALSE), "")</f>
        <v>Dr. Kofi</v>
      </c>
      <c r="J399" t="str">
        <f>_xlfn.XLOOKUP(Table1[[#This Row],[Department]], Doctor_Info!A:A, Doctor_Info!C:C, "")&amp;""</f>
        <v>102</v>
      </c>
    </row>
    <row r="400" spans="1:10" x14ac:dyDescent="0.2">
      <c r="A400" t="s">
        <v>419</v>
      </c>
      <c r="B400" s="3">
        <v>45332</v>
      </c>
      <c r="D400" t="s">
        <v>10</v>
      </c>
      <c r="E400">
        <v>58</v>
      </c>
      <c r="F400" t="s">
        <v>534</v>
      </c>
      <c r="G400" s="2">
        <v>396560</v>
      </c>
      <c r="H400" t="s">
        <v>403</v>
      </c>
      <c r="I400" t="str">
        <f>IFERROR(VLOOKUP(Table1[[#This Row],[Department]],Doctor_Info!A:D,2,FALSE), "")</f>
        <v>Dr. George</v>
      </c>
      <c r="J400" t="str">
        <f>_xlfn.XLOOKUP(Table1[[#This Row],[Department]], Doctor_Info!A:A, Doctor_Info!C:C, "")&amp;""</f>
        <v>405</v>
      </c>
    </row>
    <row r="401" spans="1:10" x14ac:dyDescent="0.2">
      <c r="A401" t="s">
        <v>420</v>
      </c>
      <c r="B401" s="3">
        <v>45319</v>
      </c>
      <c r="C401" s="3">
        <v>45327</v>
      </c>
      <c r="D401" t="s">
        <v>7</v>
      </c>
      <c r="E401">
        <v>60</v>
      </c>
      <c r="F401" t="s">
        <v>533</v>
      </c>
      <c r="G401" s="2">
        <v>397530</v>
      </c>
      <c r="H401" t="s">
        <v>8</v>
      </c>
      <c r="I401" t="str">
        <f>IFERROR(VLOOKUP(Table1[[#This Row],[Department]],Doctor_Info!A:D,2,FALSE), "")</f>
        <v>Dr. Ada</v>
      </c>
      <c r="J401" t="str">
        <f>_xlfn.XLOOKUP(Table1[[#This Row],[Department]], Doctor_Info!A:A, Doctor_Info!C:C, "")&amp;""</f>
        <v>301</v>
      </c>
    </row>
    <row r="402" spans="1:10" x14ac:dyDescent="0.2">
      <c r="A402" t="s">
        <v>421</v>
      </c>
      <c r="B402" s="3">
        <v>45323</v>
      </c>
      <c r="C402" s="3">
        <v>45324</v>
      </c>
      <c r="D402" t="s">
        <v>528</v>
      </c>
      <c r="E402">
        <v>62</v>
      </c>
      <c r="F402" t="s">
        <v>534</v>
      </c>
      <c r="G402" s="2">
        <v>398500</v>
      </c>
      <c r="H402" t="s">
        <v>6</v>
      </c>
      <c r="I402" t="str">
        <f>IFERROR(VLOOKUP(Table1[[#This Row],[Department]],Doctor_Info!A:D,2,FALSE), "")</f>
        <v>Dr. Kofi</v>
      </c>
      <c r="J402" t="str">
        <f>_xlfn.XLOOKUP(Table1[[#This Row],[Department]], Doctor_Info!A:A, Doctor_Info!C:C, "")&amp;""</f>
        <v>102</v>
      </c>
    </row>
    <row r="403" spans="1:10" x14ac:dyDescent="0.2">
      <c r="A403" t="s">
        <v>422</v>
      </c>
      <c r="B403" s="3">
        <v>45325</v>
      </c>
      <c r="C403" s="3">
        <v>45337</v>
      </c>
      <c r="D403" t="s">
        <v>12</v>
      </c>
      <c r="E403">
        <v>64</v>
      </c>
      <c r="F403" t="s">
        <v>533</v>
      </c>
      <c r="G403" s="2">
        <v>399470</v>
      </c>
      <c r="H403" t="s">
        <v>8</v>
      </c>
      <c r="I403" t="str">
        <f>IFERROR(VLOOKUP(Table1[[#This Row],[Department]],Doctor_Info!A:D,2,FALSE), "")</f>
        <v>Dr. Temi</v>
      </c>
      <c r="J403" t="str">
        <f>_xlfn.XLOOKUP(Table1[[#This Row],[Department]], Doctor_Info!A:A, Doctor_Info!C:C, "")&amp;""</f>
        <v>502</v>
      </c>
    </row>
    <row r="404" spans="1:10" x14ac:dyDescent="0.2">
      <c r="A404" t="s">
        <v>423</v>
      </c>
      <c r="B404" s="3">
        <v>45327</v>
      </c>
      <c r="C404" s="3">
        <v>45328</v>
      </c>
      <c r="D404" t="s">
        <v>528</v>
      </c>
      <c r="E404">
        <v>66</v>
      </c>
      <c r="F404" t="s">
        <v>534</v>
      </c>
      <c r="G404" s="2">
        <v>400440</v>
      </c>
      <c r="H404" t="s">
        <v>6</v>
      </c>
      <c r="I404" t="str">
        <f>IFERROR(VLOOKUP(Table1[[#This Row],[Department]],Doctor_Info!A:D,2,FALSE), "")</f>
        <v>Dr. Kofi</v>
      </c>
      <c r="J404" t="str">
        <f>_xlfn.XLOOKUP(Table1[[#This Row],[Department]], Doctor_Info!A:A, Doctor_Info!C:C, "")&amp;""</f>
        <v>102</v>
      </c>
    </row>
    <row r="405" spans="1:10" x14ac:dyDescent="0.2">
      <c r="A405" t="s">
        <v>424</v>
      </c>
      <c r="B405" s="3">
        <v>45332</v>
      </c>
      <c r="D405" t="s">
        <v>10</v>
      </c>
      <c r="E405">
        <v>68</v>
      </c>
      <c r="F405" t="s">
        <v>534</v>
      </c>
      <c r="G405" s="2">
        <v>401410</v>
      </c>
      <c r="H405" t="s">
        <v>403</v>
      </c>
      <c r="I405" t="str">
        <f>IFERROR(VLOOKUP(Table1[[#This Row],[Department]],Doctor_Info!A:D,2,FALSE), "")</f>
        <v>Dr. George</v>
      </c>
      <c r="J405" t="str">
        <f>_xlfn.XLOOKUP(Table1[[#This Row],[Department]], Doctor_Info!A:A, Doctor_Info!C:C, "")&amp;""</f>
        <v>405</v>
      </c>
    </row>
    <row r="406" spans="1:10" x14ac:dyDescent="0.2">
      <c r="A406" t="s">
        <v>425</v>
      </c>
      <c r="B406" s="3">
        <v>45319</v>
      </c>
      <c r="C406" s="3">
        <v>45327</v>
      </c>
      <c r="D406" t="s">
        <v>7</v>
      </c>
      <c r="E406">
        <v>70</v>
      </c>
      <c r="F406" t="s">
        <v>533</v>
      </c>
      <c r="G406" s="2">
        <v>402380</v>
      </c>
      <c r="H406" t="s">
        <v>8</v>
      </c>
      <c r="I406" t="str">
        <f>IFERROR(VLOOKUP(Table1[[#This Row],[Department]],Doctor_Info!A:D,2,FALSE), "")</f>
        <v>Dr. Ada</v>
      </c>
      <c r="J406" t="str">
        <f>_xlfn.XLOOKUP(Table1[[#This Row],[Department]], Doctor_Info!A:A, Doctor_Info!C:C, "")&amp;""</f>
        <v>301</v>
      </c>
    </row>
    <row r="407" spans="1:10" x14ac:dyDescent="0.2">
      <c r="A407" t="s">
        <v>426</v>
      </c>
      <c r="B407" s="3">
        <v>45323</v>
      </c>
      <c r="C407" s="3">
        <v>45324</v>
      </c>
      <c r="D407" t="s">
        <v>528</v>
      </c>
      <c r="E407">
        <v>72</v>
      </c>
      <c r="F407" t="s">
        <v>534</v>
      </c>
      <c r="G407" s="2">
        <v>403350</v>
      </c>
      <c r="H407" t="s">
        <v>6</v>
      </c>
      <c r="I407" t="str">
        <f>IFERROR(VLOOKUP(Table1[[#This Row],[Department]],Doctor_Info!A:D,2,FALSE), "")</f>
        <v>Dr. Kofi</v>
      </c>
      <c r="J407" t="str">
        <f>_xlfn.XLOOKUP(Table1[[#This Row],[Department]], Doctor_Info!A:A, Doctor_Info!C:C, "")&amp;""</f>
        <v>102</v>
      </c>
    </row>
    <row r="408" spans="1:10" x14ac:dyDescent="0.2">
      <c r="A408" t="s">
        <v>427</v>
      </c>
      <c r="B408" s="3">
        <v>45325</v>
      </c>
      <c r="C408" s="3">
        <v>45337</v>
      </c>
      <c r="D408" t="s">
        <v>12</v>
      </c>
      <c r="E408">
        <v>74</v>
      </c>
      <c r="F408" t="s">
        <v>533</v>
      </c>
      <c r="G408" s="2">
        <v>404320</v>
      </c>
      <c r="H408" t="s">
        <v>8</v>
      </c>
      <c r="I408" t="str">
        <f>IFERROR(VLOOKUP(Table1[[#This Row],[Department]],Doctor_Info!A:D,2,FALSE), "")</f>
        <v>Dr. Temi</v>
      </c>
      <c r="J408" t="str">
        <f>_xlfn.XLOOKUP(Table1[[#This Row],[Department]], Doctor_Info!A:A, Doctor_Info!C:C, "")&amp;""</f>
        <v>502</v>
      </c>
    </row>
    <row r="409" spans="1:10" x14ac:dyDescent="0.2">
      <c r="A409" t="s">
        <v>428</v>
      </c>
      <c r="B409" s="3">
        <v>45327</v>
      </c>
      <c r="C409" s="3">
        <v>45328</v>
      </c>
      <c r="D409" t="s">
        <v>528</v>
      </c>
      <c r="E409">
        <v>76</v>
      </c>
      <c r="F409" t="s">
        <v>534</v>
      </c>
      <c r="G409" s="2">
        <v>405290</v>
      </c>
      <c r="H409" t="s">
        <v>6</v>
      </c>
      <c r="I409" t="str">
        <f>IFERROR(VLOOKUP(Table1[[#This Row],[Department]],Doctor_Info!A:D,2,FALSE), "")</f>
        <v>Dr. Kofi</v>
      </c>
      <c r="J409" t="str">
        <f>_xlfn.XLOOKUP(Table1[[#This Row],[Department]], Doctor_Info!A:A, Doctor_Info!C:C, "")&amp;""</f>
        <v>102</v>
      </c>
    </row>
    <row r="410" spans="1:10" x14ac:dyDescent="0.2">
      <c r="A410" t="s">
        <v>429</v>
      </c>
      <c r="B410" s="3">
        <v>45332</v>
      </c>
      <c r="D410" t="s">
        <v>10</v>
      </c>
      <c r="E410">
        <v>78</v>
      </c>
      <c r="F410" t="s">
        <v>534</v>
      </c>
      <c r="G410" s="2">
        <v>406260</v>
      </c>
      <c r="H410" t="s">
        <v>403</v>
      </c>
      <c r="I410" t="str">
        <f>IFERROR(VLOOKUP(Table1[[#This Row],[Department]],Doctor_Info!A:D,2,FALSE), "")</f>
        <v>Dr. George</v>
      </c>
      <c r="J410" t="str">
        <f>_xlfn.XLOOKUP(Table1[[#This Row],[Department]], Doctor_Info!A:A, Doctor_Info!C:C, "")&amp;""</f>
        <v>405</v>
      </c>
    </row>
    <row r="411" spans="1:10" x14ac:dyDescent="0.2">
      <c r="A411" t="s">
        <v>430</v>
      </c>
      <c r="B411" s="3">
        <v>45319</v>
      </c>
      <c r="C411" s="3">
        <v>45327</v>
      </c>
      <c r="D411" t="s">
        <v>7</v>
      </c>
      <c r="E411">
        <v>80</v>
      </c>
      <c r="F411" t="s">
        <v>533</v>
      </c>
      <c r="G411" s="2">
        <v>407230</v>
      </c>
      <c r="H411" t="s">
        <v>8</v>
      </c>
      <c r="I411" t="str">
        <f>IFERROR(VLOOKUP(Table1[[#This Row],[Department]],Doctor_Info!A:D,2,FALSE), "")</f>
        <v>Dr. Ada</v>
      </c>
      <c r="J411" t="str">
        <f>_xlfn.XLOOKUP(Table1[[#This Row],[Department]], Doctor_Info!A:A, Doctor_Info!C:C, "")&amp;""</f>
        <v>301</v>
      </c>
    </row>
    <row r="412" spans="1:10" x14ac:dyDescent="0.2">
      <c r="A412" t="s">
        <v>431</v>
      </c>
      <c r="B412" s="3">
        <v>45323</v>
      </c>
      <c r="C412" s="3">
        <v>45324</v>
      </c>
      <c r="D412" t="s">
        <v>528</v>
      </c>
      <c r="E412">
        <v>82</v>
      </c>
      <c r="F412" t="s">
        <v>534</v>
      </c>
      <c r="G412" s="2">
        <v>408200</v>
      </c>
      <c r="H412" t="s">
        <v>6</v>
      </c>
      <c r="I412" t="str">
        <f>IFERROR(VLOOKUP(Table1[[#This Row],[Department]],Doctor_Info!A:D,2,FALSE), "")</f>
        <v>Dr. Kofi</v>
      </c>
      <c r="J412" t="str">
        <f>_xlfn.XLOOKUP(Table1[[#This Row],[Department]], Doctor_Info!A:A, Doctor_Info!C:C, "")&amp;""</f>
        <v>102</v>
      </c>
    </row>
    <row r="413" spans="1:10" x14ac:dyDescent="0.2">
      <c r="A413" t="s">
        <v>432</v>
      </c>
      <c r="B413" s="3">
        <v>45325</v>
      </c>
      <c r="C413" s="3">
        <v>45337</v>
      </c>
      <c r="D413" t="s">
        <v>12</v>
      </c>
      <c r="E413">
        <v>84</v>
      </c>
      <c r="F413" t="s">
        <v>533</v>
      </c>
      <c r="G413" s="2">
        <v>409170</v>
      </c>
      <c r="H413" t="s">
        <v>8</v>
      </c>
      <c r="I413" t="str">
        <f>IFERROR(VLOOKUP(Table1[[#This Row],[Department]],Doctor_Info!A:D,2,FALSE), "")</f>
        <v>Dr. Temi</v>
      </c>
      <c r="J413" t="str">
        <f>_xlfn.XLOOKUP(Table1[[#This Row],[Department]], Doctor_Info!A:A, Doctor_Info!C:C, "")&amp;""</f>
        <v>502</v>
      </c>
    </row>
    <row r="414" spans="1:10" x14ac:dyDescent="0.2">
      <c r="A414" t="s">
        <v>433</v>
      </c>
      <c r="B414" s="3">
        <v>45327</v>
      </c>
      <c r="C414" s="3">
        <v>45328</v>
      </c>
      <c r="D414" t="s">
        <v>528</v>
      </c>
      <c r="E414">
        <v>86</v>
      </c>
      <c r="F414" t="s">
        <v>534</v>
      </c>
      <c r="G414" s="2">
        <v>410140</v>
      </c>
      <c r="H414" t="s">
        <v>6</v>
      </c>
      <c r="I414" t="str">
        <f>IFERROR(VLOOKUP(Table1[[#This Row],[Department]],Doctor_Info!A:D,2,FALSE), "")</f>
        <v>Dr. Kofi</v>
      </c>
      <c r="J414" t="str">
        <f>_xlfn.XLOOKUP(Table1[[#This Row],[Department]], Doctor_Info!A:A, Doctor_Info!C:C, "")&amp;""</f>
        <v>102</v>
      </c>
    </row>
    <row r="415" spans="1:10" x14ac:dyDescent="0.2">
      <c r="A415" t="s">
        <v>434</v>
      </c>
      <c r="B415" s="3">
        <v>45332</v>
      </c>
      <c r="D415" t="s">
        <v>10</v>
      </c>
      <c r="E415">
        <v>88</v>
      </c>
      <c r="F415" t="s">
        <v>534</v>
      </c>
      <c r="G415" s="2">
        <v>411110</v>
      </c>
      <c r="H415" t="s">
        <v>403</v>
      </c>
      <c r="I415" t="str">
        <f>IFERROR(VLOOKUP(Table1[[#This Row],[Department]],Doctor_Info!A:D,2,FALSE), "")</f>
        <v>Dr. George</v>
      </c>
      <c r="J415" t="str">
        <f>_xlfn.XLOOKUP(Table1[[#This Row],[Department]], Doctor_Info!A:A, Doctor_Info!C:C, "")&amp;""</f>
        <v>405</v>
      </c>
    </row>
    <row r="416" spans="1:10" x14ac:dyDescent="0.2">
      <c r="A416" t="s">
        <v>435</v>
      </c>
      <c r="B416" s="3">
        <v>45319</v>
      </c>
      <c r="C416" s="3">
        <v>45327</v>
      </c>
      <c r="D416" t="s">
        <v>7</v>
      </c>
      <c r="E416">
        <v>90</v>
      </c>
      <c r="F416" t="s">
        <v>533</v>
      </c>
      <c r="G416" s="2">
        <v>412080</v>
      </c>
      <c r="H416" t="s">
        <v>8</v>
      </c>
      <c r="I416" t="str">
        <f>IFERROR(VLOOKUP(Table1[[#This Row],[Department]],Doctor_Info!A:D,2,FALSE), "")</f>
        <v>Dr. Ada</v>
      </c>
      <c r="J416" t="str">
        <f>_xlfn.XLOOKUP(Table1[[#This Row],[Department]], Doctor_Info!A:A, Doctor_Info!C:C, "")&amp;""</f>
        <v>301</v>
      </c>
    </row>
    <row r="417" spans="1:10" x14ac:dyDescent="0.2">
      <c r="A417" t="s">
        <v>436</v>
      </c>
      <c r="B417" s="3">
        <v>45323</v>
      </c>
      <c r="C417" s="3">
        <v>45324</v>
      </c>
      <c r="D417" t="s">
        <v>528</v>
      </c>
      <c r="E417">
        <v>92</v>
      </c>
      <c r="F417" t="s">
        <v>534</v>
      </c>
      <c r="G417" s="2">
        <v>413050</v>
      </c>
      <c r="H417" t="s">
        <v>6</v>
      </c>
      <c r="I417" t="str">
        <f>IFERROR(VLOOKUP(Table1[[#This Row],[Department]],Doctor_Info!A:D,2,FALSE), "")</f>
        <v>Dr. Kofi</v>
      </c>
      <c r="J417" t="str">
        <f>_xlfn.XLOOKUP(Table1[[#This Row],[Department]], Doctor_Info!A:A, Doctor_Info!C:C, "")&amp;""</f>
        <v>102</v>
      </c>
    </row>
    <row r="418" spans="1:10" x14ac:dyDescent="0.2">
      <c r="A418" t="s">
        <v>437</v>
      </c>
      <c r="B418" s="3">
        <v>45325</v>
      </c>
      <c r="C418" s="3">
        <v>45337</v>
      </c>
      <c r="D418" t="s">
        <v>12</v>
      </c>
      <c r="E418">
        <v>94</v>
      </c>
      <c r="F418" t="s">
        <v>533</v>
      </c>
      <c r="G418" s="2">
        <v>414020</v>
      </c>
      <c r="H418" t="s">
        <v>8</v>
      </c>
      <c r="I418" t="str">
        <f>IFERROR(VLOOKUP(Table1[[#This Row],[Department]],Doctor_Info!A:D,2,FALSE), "")</f>
        <v>Dr. Temi</v>
      </c>
      <c r="J418" t="str">
        <f>_xlfn.XLOOKUP(Table1[[#This Row],[Department]], Doctor_Info!A:A, Doctor_Info!C:C, "")&amp;""</f>
        <v>502</v>
      </c>
    </row>
    <row r="419" spans="1:10" x14ac:dyDescent="0.2">
      <c r="A419" t="s">
        <v>438</v>
      </c>
      <c r="B419" s="3">
        <v>45327</v>
      </c>
      <c r="C419" s="3">
        <v>45328</v>
      </c>
      <c r="D419" t="s">
        <v>528</v>
      </c>
      <c r="E419">
        <v>96</v>
      </c>
      <c r="F419" t="s">
        <v>534</v>
      </c>
      <c r="G419" s="2">
        <v>414990</v>
      </c>
      <c r="H419" t="s">
        <v>6</v>
      </c>
      <c r="I419" t="str">
        <f>IFERROR(VLOOKUP(Table1[[#This Row],[Department]],Doctor_Info!A:D,2,FALSE), "")</f>
        <v>Dr. Kofi</v>
      </c>
      <c r="J419" t="str">
        <f>_xlfn.XLOOKUP(Table1[[#This Row],[Department]], Doctor_Info!A:A, Doctor_Info!C:C, "")&amp;""</f>
        <v>102</v>
      </c>
    </row>
    <row r="420" spans="1:10" x14ac:dyDescent="0.2">
      <c r="A420" t="s">
        <v>439</v>
      </c>
      <c r="B420" s="3">
        <v>45332</v>
      </c>
      <c r="D420" t="s">
        <v>10</v>
      </c>
      <c r="E420">
        <v>98</v>
      </c>
      <c r="F420" t="s">
        <v>534</v>
      </c>
      <c r="G420" s="2">
        <v>415960</v>
      </c>
      <c r="H420" t="s">
        <v>403</v>
      </c>
      <c r="I420" t="str">
        <f>IFERROR(VLOOKUP(Table1[[#This Row],[Department]],Doctor_Info!A:D,2,FALSE), "")</f>
        <v>Dr. George</v>
      </c>
      <c r="J420" t="str">
        <f>_xlfn.XLOOKUP(Table1[[#This Row],[Department]], Doctor_Info!A:A, Doctor_Info!C:C, "")&amp;""</f>
        <v>405</v>
      </c>
    </row>
    <row r="421" spans="1:10" x14ac:dyDescent="0.2">
      <c r="A421" t="s">
        <v>440</v>
      </c>
      <c r="B421" s="3">
        <v>45319</v>
      </c>
      <c r="C421" s="3">
        <v>45327</v>
      </c>
      <c r="D421" t="s">
        <v>7</v>
      </c>
      <c r="E421">
        <v>100</v>
      </c>
      <c r="F421" t="s">
        <v>533</v>
      </c>
      <c r="G421" s="2">
        <v>416930</v>
      </c>
      <c r="H421" t="s">
        <v>8</v>
      </c>
      <c r="I421" t="str">
        <f>IFERROR(VLOOKUP(Table1[[#This Row],[Department]],Doctor_Info!A:D,2,FALSE), "")</f>
        <v>Dr. Ada</v>
      </c>
      <c r="J421" t="str">
        <f>_xlfn.XLOOKUP(Table1[[#This Row],[Department]], Doctor_Info!A:A, Doctor_Info!C:C, "")&amp;""</f>
        <v>301</v>
      </c>
    </row>
    <row r="422" spans="1:10" x14ac:dyDescent="0.2">
      <c r="A422" t="s">
        <v>441</v>
      </c>
      <c r="B422" s="3">
        <v>45323</v>
      </c>
      <c r="C422" s="3">
        <v>45324</v>
      </c>
      <c r="D422" t="s">
        <v>528</v>
      </c>
      <c r="E422">
        <v>2</v>
      </c>
      <c r="F422" t="s">
        <v>534</v>
      </c>
      <c r="G422" s="2">
        <v>417900</v>
      </c>
      <c r="H422" t="s">
        <v>6</v>
      </c>
      <c r="I422" t="str">
        <f>IFERROR(VLOOKUP(Table1[[#This Row],[Department]],Doctor_Info!A:D,2,FALSE), "")</f>
        <v>Dr. Kofi</v>
      </c>
      <c r="J422" t="str">
        <f>_xlfn.XLOOKUP(Table1[[#This Row],[Department]], Doctor_Info!A:A, Doctor_Info!C:C, "")&amp;""</f>
        <v>102</v>
      </c>
    </row>
    <row r="423" spans="1:10" x14ac:dyDescent="0.2">
      <c r="A423" t="s">
        <v>442</v>
      </c>
      <c r="B423" s="3">
        <v>45325</v>
      </c>
      <c r="C423" s="3">
        <v>45337</v>
      </c>
      <c r="D423" t="s">
        <v>12</v>
      </c>
      <c r="E423">
        <v>4</v>
      </c>
      <c r="F423" t="s">
        <v>533</v>
      </c>
      <c r="G423" s="2">
        <v>418870</v>
      </c>
      <c r="H423" t="s">
        <v>8</v>
      </c>
      <c r="I423" t="str">
        <f>IFERROR(VLOOKUP(Table1[[#This Row],[Department]],Doctor_Info!A:D,2,FALSE), "")</f>
        <v>Dr. Temi</v>
      </c>
      <c r="J423" t="str">
        <f>_xlfn.XLOOKUP(Table1[[#This Row],[Department]], Doctor_Info!A:A, Doctor_Info!C:C, "")&amp;""</f>
        <v>502</v>
      </c>
    </row>
    <row r="424" spans="1:10" x14ac:dyDescent="0.2">
      <c r="A424" t="s">
        <v>443</v>
      </c>
      <c r="B424" s="3">
        <v>45327</v>
      </c>
      <c r="C424" s="3">
        <v>45328</v>
      </c>
      <c r="D424" t="s">
        <v>528</v>
      </c>
      <c r="E424">
        <v>6</v>
      </c>
      <c r="F424" t="s">
        <v>534</v>
      </c>
      <c r="G424" s="2">
        <v>419840</v>
      </c>
      <c r="H424" t="s">
        <v>6</v>
      </c>
      <c r="I424" t="str">
        <f>IFERROR(VLOOKUP(Table1[[#This Row],[Department]],Doctor_Info!A:D,2,FALSE), "")</f>
        <v>Dr. Kofi</v>
      </c>
      <c r="J424" t="str">
        <f>_xlfn.XLOOKUP(Table1[[#This Row],[Department]], Doctor_Info!A:A, Doctor_Info!C:C, "")&amp;""</f>
        <v>102</v>
      </c>
    </row>
    <row r="425" spans="1:10" x14ac:dyDescent="0.2">
      <c r="A425" t="s">
        <v>444</v>
      </c>
      <c r="B425" s="3">
        <v>45332</v>
      </c>
      <c r="D425" t="s">
        <v>10</v>
      </c>
      <c r="E425">
        <v>8</v>
      </c>
      <c r="F425" t="s">
        <v>534</v>
      </c>
      <c r="G425" s="2">
        <v>420810</v>
      </c>
      <c r="H425" t="s">
        <v>403</v>
      </c>
      <c r="I425" t="str">
        <f>IFERROR(VLOOKUP(Table1[[#This Row],[Department]],Doctor_Info!A:D,2,FALSE), "")</f>
        <v>Dr. George</v>
      </c>
      <c r="J425" t="str">
        <f>_xlfn.XLOOKUP(Table1[[#This Row],[Department]], Doctor_Info!A:A, Doctor_Info!C:C, "")&amp;""</f>
        <v>405</v>
      </c>
    </row>
    <row r="426" spans="1:10" x14ac:dyDescent="0.2">
      <c r="A426" t="s">
        <v>445</v>
      </c>
      <c r="B426" s="3">
        <v>45319</v>
      </c>
      <c r="C426" s="3">
        <v>45327</v>
      </c>
      <c r="D426" t="s">
        <v>7</v>
      </c>
      <c r="E426">
        <v>10</v>
      </c>
      <c r="F426" t="s">
        <v>533</v>
      </c>
      <c r="G426" s="2">
        <v>421780</v>
      </c>
      <c r="H426" t="s">
        <v>8</v>
      </c>
      <c r="I426" t="str">
        <f>IFERROR(VLOOKUP(Table1[[#This Row],[Department]],Doctor_Info!A:D,2,FALSE), "")</f>
        <v>Dr. Ada</v>
      </c>
      <c r="J426" t="str">
        <f>_xlfn.XLOOKUP(Table1[[#This Row],[Department]], Doctor_Info!A:A, Doctor_Info!C:C, "")&amp;""</f>
        <v>301</v>
      </c>
    </row>
    <row r="427" spans="1:10" x14ac:dyDescent="0.2">
      <c r="A427" t="s">
        <v>446</v>
      </c>
      <c r="B427" s="3">
        <v>45323</v>
      </c>
      <c r="C427" s="3">
        <v>45324</v>
      </c>
      <c r="D427" t="s">
        <v>528</v>
      </c>
      <c r="E427">
        <v>12</v>
      </c>
      <c r="F427" t="s">
        <v>534</v>
      </c>
      <c r="G427" s="2">
        <v>422750</v>
      </c>
      <c r="H427" t="s">
        <v>6</v>
      </c>
      <c r="I427" t="str">
        <f>IFERROR(VLOOKUP(Table1[[#This Row],[Department]],Doctor_Info!A:D,2,FALSE), "")</f>
        <v>Dr. Kofi</v>
      </c>
      <c r="J427" t="str">
        <f>_xlfn.XLOOKUP(Table1[[#This Row],[Department]], Doctor_Info!A:A, Doctor_Info!C:C, "")&amp;""</f>
        <v>102</v>
      </c>
    </row>
    <row r="428" spans="1:10" x14ac:dyDescent="0.2">
      <c r="A428" t="s">
        <v>447</v>
      </c>
      <c r="B428" s="3">
        <v>45325</v>
      </c>
      <c r="C428" s="3">
        <v>45337</v>
      </c>
      <c r="D428" t="s">
        <v>12</v>
      </c>
      <c r="E428">
        <v>14</v>
      </c>
      <c r="F428" t="s">
        <v>533</v>
      </c>
      <c r="G428" s="2">
        <v>423720</v>
      </c>
      <c r="H428" t="s">
        <v>8</v>
      </c>
      <c r="I428" t="str">
        <f>IFERROR(VLOOKUP(Table1[[#This Row],[Department]],Doctor_Info!A:D,2,FALSE), "")</f>
        <v>Dr. Temi</v>
      </c>
      <c r="J428" t="str">
        <f>_xlfn.XLOOKUP(Table1[[#This Row],[Department]], Doctor_Info!A:A, Doctor_Info!C:C, "")&amp;""</f>
        <v>502</v>
      </c>
    </row>
    <row r="429" spans="1:10" x14ac:dyDescent="0.2">
      <c r="A429" t="s">
        <v>448</v>
      </c>
      <c r="B429" s="3">
        <v>45327</v>
      </c>
      <c r="C429" s="3">
        <v>45328</v>
      </c>
      <c r="D429" t="s">
        <v>528</v>
      </c>
      <c r="E429">
        <v>16</v>
      </c>
      <c r="F429" t="s">
        <v>534</v>
      </c>
      <c r="G429" s="2">
        <v>424690</v>
      </c>
      <c r="H429" t="s">
        <v>6</v>
      </c>
      <c r="I429" t="str">
        <f>IFERROR(VLOOKUP(Table1[[#This Row],[Department]],Doctor_Info!A:D,2,FALSE), "")</f>
        <v>Dr. Kofi</v>
      </c>
      <c r="J429" t="str">
        <f>_xlfn.XLOOKUP(Table1[[#This Row],[Department]], Doctor_Info!A:A, Doctor_Info!C:C, "")&amp;""</f>
        <v>102</v>
      </c>
    </row>
    <row r="430" spans="1:10" x14ac:dyDescent="0.2">
      <c r="A430" t="s">
        <v>449</v>
      </c>
      <c r="B430" s="3">
        <v>45332</v>
      </c>
      <c r="D430" t="s">
        <v>10</v>
      </c>
      <c r="E430">
        <v>18</v>
      </c>
      <c r="F430" t="s">
        <v>534</v>
      </c>
      <c r="G430" s="2">
        <v>425660</v>
      </c>
      <c r="H430" t="s">
        <v>403</v>
      </c>
      <c r="I430" t="str">
        <f>IFERROR(VLOOKUP(Table1[[#This Row],[Department]],Doctor_Info!A:D,2,FALSE), "")</f>
        <v>Dr. George</v>
      </c>
      <c r="J430" t="str">
        <f>_xlfn.XLOOKUP(Table1[[#This Row],[Department]], Doctor_Info!A:A, Doctor_Info!C:C, "")&amp;""</f>
        <v>405</v>
      </c>
    </row>
    <row r="431" spans="1:10" x14ac:dyDescent="0.2">
      <c r="A431" t="s">
        <v>450</v>
      </c>
      <c r="B431" s="3">
        <v>45319</v>
      </c>
      <c r="C431" s="3">
        <v>45327</v>
      </c>
      <c r="D431" t="s">
        <v>7</v>
      </c>
      <c r="E431">
        <v>20</v>
      </c>
      <c r="F431" t="s">
        <v>533</v>
      </c>
      <c r="G431" s="2">
        <v>426630</v>
      </c>
      <c r="H431" t="s">
        <v>8</v>
      </c>
      <c r="I431" t="str">
        <f>IFERROR(VLOOKUP(Table1[[#This Row],[Department]],Doctor_Info!A:D,2,FALSE), "")</f>
        <v>Dr. Ada</v>
      </c>
      <c r="J431" t="str">
        <f>_xlfn.XLOOKUP(Table1[[#This Row],[Department]], Doctor_Info!A:A, Doctor_Info!C:C, "")&amp;""</f>
        <v>301</v>
      </c>
    </row>
    <row r="432" spans="1:10" x14ac:dyDescent="0.2">
      <c r="A432" t="s">
        <v>451</v>
      </c>
      <c r="B432" s="3">
        <v>45323</v>
      </c>
      <c r="C432" s="3">
        <v>45324</v>
      </c>
      <c r="D432" t="s">
        <v>528</v>
      </c>
      <c r="E432">
        <v>22</v>
      </c>
      <c r="F432" t="s">
        <v>534</v>
      </c>
      <c r="G432" s="2">
        <v>427600</v>
      </c>
      <c r="H432" t="s">
        <v>6</v>
      </c>
      <c r="I432" t="str">
        <f>IFERROR(VLOOKUP(Table1[[#This Row],[Department]],Doctor_Info!A:D,2,FALSE), "")</f>
        <v>Dr. Kofi</v>
      </c>
      <c r="J432" t="str">
        <f>_xlfn.XLOOKUP(Table1[[#This Row],[Department]], Doctor_Info!A:A, Doctor_Info!C:C, "")&amp;""</f>
        <v>102</v>
      </c>
    </row>
    <row r="433" spans="1:10" x14ac:dyDescent="0.2">
      <c r="A433" t="s">
        <v>452</v>
      </c>
      <c r="B433" s="3">
        <v>45325</v>
      </c>
      <c r="C433" s="3">
        <v>45337</v>
      </c>
      <c r="D433" t="s">
        <v>12</v>
      </c>
      <c r="E433">
        <v>24</v>
      </c>
      <c r="F433" t="s">
        <v>533</v>
      </c>
      <c r="G433" s="2">
        <v>428570</v>
      </c>
      <c r="H433" t="s">
        <v>8</v>
      </c>
      <c r="I433" t="str">
        <f>IFERROR(VLOOKUP(Table1[[#This Row],[Department]],Doctor_Info!A:D,2,FALSE), "")</f>
        <v>Dr. Temi</v>
      </c>
      <c r="J433" t="str">
        <f>_xlfn.XLOOKUP(Table1[[#This Row],[Department]], Doctor_Info!A:A, Doctor_Info!C:C, "")&amp;""</f>
        <v>502</v>
      </c>
    </row>
    <row r="434" spans="1:10" x14ac:dyDescent="0.2">
      <c r="A434" t="s">
        <v>453</v>
      </c>
      <c r="B434" s="3">
        <v>45327</v>
      </c>
      <c r="C434" s="3">
        <v>45328</v>
      </c>
      <c r="D434" t="s">
        <v>528</v>
      </c>
      <c r="E434">
        <v>26</v>
      </c>
      <c r="F434" t="s">
        <v>534</v>
      </c>
      <c r="G434" s="2">
        <v>429540</v>
      </c>
      <c r="H434" t="s">
        <v>6</v>
      </c>
      <c r="I434" t="str">
        <f>IFERROR(VLOOKUP(Table1[[#This Row],[Department]],Doctor_Info!A:D,2,FALSE), "")</f>
        <v>Dr. Kofi</v>
      </c>
      <c r="J434" t="str">
        <f>_xlfn.XLOOKUP(Table1[[#This Row],[Department]], Doctor_Info!A:A, Doctor_Info!C:C, "")&amp;""</f>
        <v>102</v>
      </c>
    </row>
    <row r="435" spans="1:10" x14ac:dyDescent="0.2">
      <c r="A435" t="s">
        <v>454</v>
      </c>
      <c r="B435" s="3">
        <v>45332</v>
      </c>
      <c r="D435" t="s">
        <v>10</v>
      </c>
      <c r="E435">
        <v>28</v>
      </c>
      <c r="F435" t="s">
        <v>534</v>
      </c>
      <c r="G435" s="2">
        <v>430510</v>
      </c>
      <c r="H435" t="s">
        <v>403</v>
      </c>
      <c r="I435" t="str">
        <f>IFERROR(VLOOKUP(Table1[[#This Row],[Department]],Doctor_Info!A:D,2,FALSE), "")</f>
        <v>Dr. George</v>
      </c>
      <c r="J435" t="str">
        <f>_xlfn.XLOOKUP(Table1[[#This Row],[Department]], Doctor_Info!A:A, Doctor_Info!C:C, "")&amp;""</f>
        <v>405</v>
      </c>
    </row>
    <row r="436" spans="1:10" x14ac:dyDescent="0.2">
      <c r="A436" t="s">
        <v>455</v>
      </c>
      <c r="B436" s="3">
        <v>45319</v>
      </c>
      <c r="C436" s="3">
        <v>45327</v>
      </c>
      <c r="D436" t="s">
        <v>7</v>
      </c>
      <c r="E436">
        <v>30</v>
      </c>
      <c r="F436" t="s">
        <v>533</v>
      </c>
      <c r="G436" s="2">
        <v>431480</v>
      </c>
      <c r="H436" t="s">
        <v>8</v>
      </c>
      <c r="I436" t="str">
        <f>IFERROR(VLOOKUP(Table1[[#This Row],[Department]],Doctor_Info!A:D,2,FALSE), "")</f>
        <v>Dr. Ada</v>
      </c>
      <c r="J436" t="str">
        <f>_xlfn.XLOOKUP(Table1[[#This Row],[Department]], Doctor_Info!A:A, Doctor_Info!C:C, "")&amp;""</f>
        <v>301</v>
      </c>
    </row>
    <row r="437" spans="1:10" x14ac:dyDescent="0.2">
      <c r="A437" t="s">
        <v>456</v>
      </c>
      <c r="B437" s="3">
        <v>45323</v>
      </c>
      <c r="C437" s="3">
        <v>45324</v>
      </c>
      <c r="D437" t="s">
        <v>528</v>
      </c>
      <c r="E437">
        <v>32</v>
      </c>
      <c r="F437" t="s">
        <v>534</v>
      </c>
      <c r="G437" s="2">
        <v>432450</v>
      </c>
      <c r="H437" t="s">
        <v>6</v>
      </c>
      <c r="I437" t="str">
        <f>IFERROR(VLOOKUP(Table1[[#This Row],[Department]],Doctor_Info!A:D,2,FALSE), "")</f>
        <v>Dr. Kofi</v>
      </c>
      <c r="J437" t="str">
        <f>_xlfn.XLOOKUP(Table1[[#This Row],[Department]], Doctor_Info!A:A, Doctor_Info!C:C, "")&amp;""</f>
        <v>102</v>
      </c>
    </row>
    <row r="438" spans="1:10" x14ac:dyDescent="0.2">
      <c r="A438" t="s">
        <v>457</v>
      </c>
      <c r="B438" s="3">
        <v>45325</v>
      </c>
      <c r="C438" s="3">
        <v>45337</v>
      </c>
      <c r="D438" t="s">
        <v>12</v>
      </c>
      <c r="E438">
        <v>34</v>
      </c>
      <c r="F438" t="s">
        <v>533</v>
      </c>
      <c r="G438" s="2">
        <v>433420</v>
      </c>
      <c r="H438" t="s">
        <v>8</v>
      </c>
      <c r="I438" t="str">
        <f>IFERROR(VLOOKUP(Table1[[#This Row],[Department]],Doctor_Info!A:D,2,FALSE), "")</f>
        <v>Dr. Temi</v>
      </c>
      <c r="J438" t="str">
        <f>_xlfn.XLOOKUP(Table1[[#This Row],[Department]], Doctor_Info!A:A, Doctor_Info!C:C, "")&amp;""</f>
        <v>502</v>
      </c>
    </row>
    <row r="439" spans="1:10" x14ac:dyDescent="0.2">
      <c r="A439" t="s">
        <v>458</v>
      </c>
      <c r="B439" s="3">
        <v>45327</v>
      </c>
      <c r="C439" s="3">
        <v>45328</v>
      </c>
      <c r="D439" t="s">
        <v>528</v>
      </c>
      <c r="E439">
        <v>36</v>
      </c>
      <c r="F439" t="s">
        <v>534</v>
      </c>
      <c r="G439" s="2">
        <v>434390</v>
      </c>
      <c r="H439" t="s">
        <v>6</v>
      </c>
      <c r="I439" t="str">
        <f>IFERROR(VLOOKUP(Table1[[#This Row],[Department]],Doctor_Info!A:D,2,FALSE), "")</f>
        <v>Dr. Kofi</v>
      </c>
      <c r="J439" t="str">
        <f>_xlfn.XLOOKUP(Table1[[#This Row],[Department]], Doctor_Info!A:A, Doctor_Info!C:C, "")&amp;""</f>
        <v>102</v>
      </c>
    </row>
    <row r="440" spans="1:10" x14ac:dyDescent="0.2">
      <c r="A440" t="s">
        <v>459</v>
      </c>
      <c r="B440" s="3">
        <v>45332</v>
      </c>
      <c r="D440" t="s">
        <v>10</v>
      </c>
      <c r="E440">
        <v>38</v>
      </c>
      <c r="F440" t="s">
        <v>534</v>
      </c>
      <c r="G440" s="2">
        <v>435360</v>
      </c>
      <c r="H440" t="s">
        <v>403</v>
      </c>
      <c r="I440" t="str">
        <f>IFERROR(VLOOKUP(Table1[[#This Row],[Department]],Doctor_Info!A:D,2,FALSE), "")</f>
        <v>Dr. George</v>
      </c>
      <c r="J440" t="str">
        <f>_xlfn.XLOOKUP(Table1[[#This Row],[Department]], Doctor_Info!A:A, Doctor_Info!C:C, "")&amp;""</f>
        <v>405</v>
      </c>
    </row>
    <row r="441" spans="1:10" x14ac:dyDescent="0.2">
      <c r="A441" t="s">
        <v>460</v>
      </c>
      <c r="B441" s="3">
        <v>45319</v>
      </c>
      <c r="C441" s="3">
        <v>45327</v>
      </c>
      <c r="D441" t="s">
        <v>7</v>
      </c>
      <c r="E441">
        <v>40</v>
      </c>
      <c r="F441" t="s">
        <v>533</v>
      </c>
      <c r="G441" s="2">
        <v>436330</v>
      </c>
      <c r="H441" t="s">
        <v>8</v>
      </c>
      <c r="I441" t="str">
        <f>IFERROR(VLOOKUP(Table1[[#This Row],[Department]],Doctor_Info!A:D,2,FALSE), "")</f>
        <v>Dr. Ada</v>
      </c>
      <c r="J441" t="str">
        <f>_xlfn.XLOOKUP(Table1[[#This Row],[Department]], Doctor_Info!A:A, Doctor_Info!C:C, "")&amp;""</f>
        <v>301</v>
      </c>
    </row>
    <row r="442" spans="1:10" x14ac:dyDescent="0.2">
      <c r="A442" t="s">
        <v>461</v>
      </c>
      <c r="B442" s="3">
        <v>45323</v>
      </c>
      <c r="C442" s="3">
        <v>45324</v>
      </c>
      <c r="D442" t="s">
        <v>528</v>
      </c>
      <c r="E442">
        <v>42</v>
      </c>
      <c r="F442" t="s">
        <v>534</v>
      </c>
      <c r="G442" s="2">
        <v>437300</v>
      </c>
      <c r="H442" t="s">
        <v>6</v>
      </c>
      <c r="I442" t="str">
        <f>IFERROR(VLOOKUP(Table1[[#This Row],[Department]],Doctor_Info!A:D,2,FALSE), "")</f>
        <v>Dr. Kofi</v>
      </c>
      <c r="J442" t="str">
        <f>_xlfn.XLOOKUP(Table1[[#This Row],[Department]], Doctor_Info!A:A, Doctor_Info!C:C, "")&amp;""</f>
        <v>102</v>
      </c>
    </row>
    <row r="443" spans="1:10" x14ac:dyDescent="0.2">
      <c r="A443" t="s">
        <v>462</v>
      </c>
      <c r="B443" s="3">
        <v>45325</v>
      </c>
      <c r="C443" s="3">
        <v>45337</v>
      </c>
      <c r="D443" t="s">
        <v>12</v>
      </c>
      <c r="E443">
        <v>44</v>
      </c>
      <c r="F443" t="s">
        <v>533</v>
      </c>
      <c r="G443" s="2">
        <v>438270</v>
      </c>
      <c r="H443" t="s">
        <v>8</v>
      </c>
      <c r="I443" t="str">
        <f>IFERROR(VLOOKUP(Table1[[#This Row],[Department]],Doctor_Info!A:D,2,FALSE), "")</f>
        <v>Dr. Temi</v>
      </c>
      <c r="J443" t="str">
        <f>_xlfn.XLOOKUP(Table1[[#This Row],[Department]], Doctor_Info!A:A, Doctor_Info!C:C, "")&amp;""</f>
        <v>502</v>
      </c>
    </row>
    <row r="444" spans="1:10" x14ac:dyDescent="0.2">
      <c r="A444" t="s">
        <v>463</v>
      </c>
      <c r="B444" s="3">
        <v>45327</v>
      </c>
      <c r="C444" s="3">
        <v>45328</v>
      </c>
      <c r="D444" t="s">
        <v>528</v>
      </c>
      <c r="E444">
        <v>46</v>
      </c>
      <c r="F444" t="s">
        <v>534</v>
      </c>
      <c r="G444" s="2">
        <v>439240</v>
      </c>
      <c r="H444" t="s">
        <v>6</v>
      </c>
      <c r="I444" t="str">
        <f>IFERROR(VLOOKUP(Table1[[#This Row],[Department]],Doctor_Info!A:D,2,FALSE), "")</f>
        <v>Dr. Kofi</v>
      </c>
      <c r="J444" t="str">
        <f>_xlfn.XLOOKUP(Table1[[#This Row],[Department]], Doctor_Info!A:A, Doctor_Info!C:C, "")&amp;""</f>
        <v>102</v>
      </c>
    </row>
    <row r="445" spans="1:10" x14ac:dyDescent="0.2">
      <c r="A445" t="s">
        <v>464</v>
      </c>
      <c r="B445" s="3">
        <v>45332</v>
      </c>
      <c r="D445" t="s">
        <v>10</v>
      </c>
      <c r="E445">
        <v>48</v>
      </c>
      <c r="F445" t="s">
        <v>534</v>
      </c>
      <c r="G445" s="2">
        <v>440210</v>
      </c>
      <c r="H445" t="s">
        <v>403</v>
      </c>
      <c r="I445" t="str">
        <f>IFERROR(VLOOKUP(Table1[[#This Row],[Department]],Doctor_Info!A:D,2,FALSE), "")</f>
        <v>Dr. George</v>
      </c>
      <c r="J445" t="str">
        <f>_xlfn.XLOOKUP(Table1[[#This Row],[Department]], Doctor_Info!A:A, Doctor_Info!C:C, "")&amp;""</f>
        <v>405</v>
      </c>
    </row>
    <row r="446" spans="1:10" x14ac:dyDescent="0.2">
      <c r="A446" t="s">
        <v>465</v>
      </c>
      <c r="B446" s="3">
        <v>45319</v>
      </c>
      <c r="C446" s="3">
        <v>45327</v>
      </c>
      <c r="D446" t="s">
        <v>7</v>
      </c>
      <c r="E446">
        <v>50</v>
      </c>
      <c r="F446" t="s">
        <v>533</v>
      </c>
      <c r="G446" s="2">
        <v>441180</v>
      </c>
      <c r="H446" t="s">
        <v>8</v>
      </c>
      <c r="I446" t="str">
        <f>IFERROR(VLOOKUP(Table1[[#This Row],[Department]],Doctor_Info!A:D,2,FALSE), "")</f>
        <v>Dr. Ada</v>
      </c>
      <c r="J446" t="str">
        <f>_xlfn.XLOOKUP(Table1[[#This Row],[Department]], Doctor_Info!A:A, Doctor_Info!C:C, "")&amp;""</f>
        <v>301</v>
      </c>
    </row>
    <row r="447" spans="1:10" x14ac:dyDescent="0.2">
      <c r="A447" t="s">
        <v>466</v>
      </c>
      <c r="B447" s="3">
        <v>45323</v>
      </c>
      <c r="C447" s="3">
        <v>45324</v>
      </c>
      <c r="D447" t="s">
        <v>528</v>
      </c>
      <c r="E447">
        <v>52</v>
      </c>
      <c r="F447" t="s">
        <v>534</v>
      </c>
      <c r="G447" s="2">
        <v>442150</v>
      </c>
      <c r="H447" t="s">
        <v>6</v>
      </c>
      <c r="I447" t="str">
        <f>IFERROR(VLOOKUP(Table1[[#This Row],[Department]],Doctor_Info!A:D,2,FALSE), "")</f>
        <v>Dr. Kofi</v>
      </c>
      <c r="J447" t="str">
        <f>_xlfn.XLOOKUP(Table1[[#This Row],[Department]], Doctor_Info!A:A, Doctor_Info!C:C, "")&amp;""</f>
        <v>102</v>
      </c>
    </row>
    <row r="448" spans="1:10" x14ac:dyDescent="0.2">
      <c r="A448" t="s">
        <v>467</v>
      </c>
      <c r="B448" s="3">
        <v>45325</v>
      </c>
      <c r="C448" s="3">
        <v>45337</v>
      </c>
      <c r="D448" t="s">
        <v>12</v>
      </c>
      <c r="E448">
        <v>54</v>
      </c>
      <c r="F448" t="s">
        <v>533</v>
      </c>
      <c r="G448" s="2">
        <v>443120</v>
      </c>
      <c r="H448" t="s">
        <v>8</v>
      </c>
      <c r="I448" t="str">
        <f>IFERROR(VLOOKUP(Table1[[#This Row],[Department]],Doctor_Info!A:D,2,FALSE), "")</f>
        <v>Dr. Temi</v>
      </c>
      <c r="J448" t="str">
        <f>_xlfn.XLOOKUP(Table1[[#This Row],[Department]], Doctor_Info!A:A, Doctor_Info!C:C, "")&amp;""</f>
        <v>502</v>
      </c>
    </row>
    <row r="449" spans="1:10" x14ac:dyDescent="0.2">
      <c r="A449" t="s">
        <v>468</v>
      </c>
      <c r="B449" s="3">
        <v>45327</v>
      </c>
      <c r="C449" s="3">
        <v>45328</v>
      </c>
      <c r="D449" t="s">
        <v>528</v>
      </c>
      <c r="E449">
        <v>56</v>
      </c>
      <c r="F449" t="s">
        <v>534</v>
      </c>
      <c r="G449" s="2">
        <v>444090</v>
      </c>
      <c r="H449" t="s">
        <v>6</v>
      </c>
      <c r="I449" t="str">
        <f>IFERROR(VLOOKUP(Table1[[#This Row],[Department]],Doctor_Info!A:D,2,FALSE), "")</f>
        <v>Dr. Kofi</v>
      </c>
      <c r="J449" t="str">
        <f>_xlfn.XLOOKUP(Table1[[#This Row],[Department]], Doctor_Info!A:A, Doctor_Info!C:C, "")&amp;""</f>
        <v>102</v>
      </c>
    </row>
    <row r="450" spans="1:10" x14ac:dyDescent="0.2">
      <c r="A450" t="s">
        <v>469</v>
      </c>
      <c r="B450" s="3">
        <v>45332</v>
      </c>
      <c r="D450" t="s">
        <v>10</v>
      </c>
      <c r="E450">
        <v>58</v>
      </c>
      <c r="F450" t="s">
        <v>534</v>
      </c>
      <c r="G450" s="2">
        <v>445060</v>
      </c>
      <c r="H450" t="s">
        <v>403</v>
      </c>
      <c r="I450" t="str">
        <f>IFERROR(VLOOKUP(Table1[[#This Row],[Department]],Doctor_Info!A:D,2,FALSE), "")</f>
        <v>Dr. George</v>
      </c>
      <c r="J450" t="str">
        <f>_xlfn.XLOOKUP(Table1[[#This Row],[Department]], Doctor_Info!A:A, Doctor_Info!C:C, "")&amp;""</f>
        <v>405</v>
      </c>
    </row>
    <row r="451" spans="1:10" x14ac:dyDescent="0.2">
      <c r="A451" t="s">
        <v>470</v>
      </c>
      <c r="B451" s="3">
        <v>45319</v>
      </c>
      <c r="C451" s="3">
        <v>45327</v>
      </c>
      <c r="D451" t="s">
        <v>7</v>
      </c>
      <c r="E451">
        <v>60</v>
      </c>
      <c r="F451" t="s">
        <v>533</v>
      </c>
      <c r="G451" s="2">
        <v>446030</v>
      </c>
      <c r="H451" t="s">
        <v>8</v>
      </c>
      <c r="I451" t="str">
        <f>IFERROR(VLOOKUP(Table1[[#This Row],[Department]],Doctor_Info!A:D,2,FALSE), "")</f>
        <v>Dr. Ada</v>
      </c>
      <c r="J451" t="str">
        <f>_xlfn.XLOOKUP(Table1[[#This Row],[Department]], Doctor_Info!A:A, Doctor_Info!C:C, "")&amp;""</f>
        <v>301</v>
      </c>
    </row>
    <row r="452" spans="1:10" x14ac:dyDescent="0.2">
      <c r="A452" t="s">
        <v>471</v>
      </c>
      <c r="B452" s="3">
        <v>45323</v>
      </c>
      <c r="C452" s="3">
        <v>45324</v>
      </c>
      <c r="D452" t="s">
        <v>528</v>
      </c>
      <c r="E452">
        <v>62</v>
      </c>
      <c r="F452" t="s">
        <v>534</v>
      </c>
      <c r="G452" s="2">
        <v>447000</v>
      </c>
      <c r="H452" t="s">
        <v>6</v>
      </c>
      <c r="I452" t="str">
        <f>IFERROR(VLOOKUP(Table1[[#This Row],[Department]],Doctor_Info!A:D,2,FALSE), "")</f>
        <v>Dr. Kofi</v>
      </c>
      <c r="J452" t="str">
        <f>_xlfn.XLOOKUP(Table1[[#This Row],[Department]], Doctor_Info!A:A, Doctor_Info!C:C, "")&amp;""</f>
        <v>102</v>
      </c>
    </row>
    <row r="453" spans="1:10" x14ac:dyDescent="0.2">
      <c r="A453" t="s">
        <v>472</v>
      </c>
      <c r="B453" s="3">
        <v>45325</v>
      </c>
      <c r="C453" s="3">
        <v>45337</v>
      </c>
      <c r="D453" t="s">
        <v>12</v>
      </c>
      <c r="E453">
        <v>64</v>
      </c>
      <c r="F453" t="s">
        <v>533</v>
      </c>
      <c r="G453" s="2">
        <v>447970</v>
      </c>
      <c r="H453" t="s">
        <v>8</v>
      </c>
      <c r="I453" t="str">
        <f>IFERROR(VLOOKUP(Table1[[#This Row],[Department]],Doctor_Info!A:D,2,FALSE), "")</f>
        <v>Dr. Temi</v>
      </c>
      <c r="J453" t="str">
        <f>_xlfn.XLOOKUP(Table1[[#This Row],[Department]], Doctor_Info!A:A, Doctor_Info!C:C, "")&amp;""</f>
        <v>502</v>
      </c>
    </row>
    <row r="454" spans="1:10" x14ac:dyDescent="0.2">
      <c r="A454" t="s">
        <v>473</v>
      </c>
      <c r="B454" s="3">
        <v>45327</v>
      </c>
      <c r="C454" s="3">
        <v>45328</v>
      </c>
      <c r="D454" t="s">
        <v>528</v>
      </c>
      <c r="E454">
        <v>66</v>
      </c>
      <c r="F454" t="s">
        <v>534</v>
      </c>
      <c r="G454" s="2">
        <v>448940</v>
      </c>
      <c r="H454" t="s">
        <v>6</v>
      </c>
      <c r="I454" t="str">
        <f>IFERROR(VLOOKUP(Table1[[#This Row],[Department]],Doctor_Info!A:D,2,FALSE), "")</f>
        <v>Dr. Kofi</v>
      </c>
      <c r="J454" t="str">
        <f>_xlfn.XLOOKUP(Table1[[#This Row],[Department]], Doctor_Info!A:A, Doctor_Info!C:C, "")&amp;""</f>
        <v>102</v>
      </c>
    </row>
    <row r="455" spans="1:10" x14ac:dyDescent="0.2">
      <c r="A455" t="s">
        <v>474</v>
      </c>
      <c r="B455" s="3">
        <v>45332</v>
      </c>
      <c r="D455" t="s">
        <v>10</v>
      </c>
      <c r="E455">
        <v>68</v>
      </c>
      <c r="F455" t="s">
        <v>534</v>
      </c>
      <c r="G455" s="2">
        <v>449910</v>
      </c>
      <c r="H455" t="s">
        <v>403</v>
      </c>
      <c r="I455" t="str">
        <f>IFERROR(VLOOKUP(Table1[[#This Row],[Department]],Doctor_Info!A:D,2,FALSE), "")</f>
        <v>Dr. George</v>
      </c>
      <c r="J455" t="str">
        <f>_xlfn.XLOOKUP(Table1[[#This Row],[Department]], Doctor_Info!A:A, Doctor_Info!C:C, "")&amp;""</f>
        <v>405</v>
      </c>
    </row>
    <row r="456" spans="1:10" x14ac:dyDescent="0.2">
      <c r="A456" t="s">
        <v>475</v>
      </c>
      <c r="B456" s="3">
        <v>45319</v>
      </c>
      <c r="C456" s="3">
        <v>45327</v>
      </c>
      <c r="D456" t="s">
        <v>7</v>
      </c>
      <c r="E456">
        <v>70</v>
      </c>
      <c r="F456" t="s">
        <v>533</v>
      </c>
      <c r="G456" s="2">
        <v>450880</v>
      </c>
      <c r="H456" t="s">
        <v>8</v>
      </c>
      <c r="I456" t="str">
        <f>IFERROR(VLOOKUP(Table1[[#This Row],[Department]],Doctor_Info!A:D,2,FALSE), "")</f>
        <v>Dr. Ada</v>
      </c>
      <c r="J456" t="str">
        <f>_xlfn.XLOOKUP(Table1[[#This Row],[Department]], Doctor_Info!A:A, Doctor_Info!C:C, "")&amp;""</f>
        <v>301</v>
      </c>
    </row>
    <row r="457" spans="1:10" x14ac:dyDescent="0.2">
      <c r="A457" t="s">
        <v>476</v>
      </c>
      <c r="B457" s="3">
        <v>45323</v>
      </c>
      <c r="C457" s="3">
        <v>45324</v>
      </c>
      <c r="D457" t="s">
        <v>528</v>
      </c>
      <c r="E457">
        <v>72</v>
      </c>
      <c r="F457" t="s">
        <v>534</v>
      </c>
      <c r="G457" s="2">
        <v>451850</v>
      </c>
      <c r="H457" t="s">
        <v>6</v>
      </c>
      <c r="I457" t="str">
        <f>IFERROR(VLOOKUP(Table1[[#This Row],[Department]],Doctor_Info!A:D,2,FALSE), "")</f>
        <v>Dr. Kofi</v>
      </c>
      <c r="J457" t="str">
        <f>_xlfn.XLOOKUP(Table1[[#This Row],[Department]], Doctor_Info!A:A, Doctor_Info!C:C, "")&amp;""</f>
        <v>102</v>
      </c>
    </row>
    <row r="458" spans="1:10" x14ac:dyDescent="0.2">
      <c r="A458" t="s">
        <v>477</v>
      </c>
      <c r="B458" s="3">
        <v>45325</v>
      </c>
      <c r="C458" s="3">
        <v>45337</v>
      </c>
      <c r="D458" t="s">
        <v>12</v>
      </c>
      <c r="E458">
        <v>74</v>
      </c>
      <c r="F458" t="s">
        <v>533</v>
      </c>
      <c r="G458" s="2">
        <v>452820</v>
      </c>
      <c r="H458" t="s">
        <v>8</v>
      </c>
      <c r="I458" t="str">
        <f>IFERROR(VLOOKUP(Table1[[#This Row],[Department]],Doctor_Info!A:D,2,FALSE), "")</f>
        <v>Dr. Temi</v>
      </c>
      <c r="J458" t="str">
        <f>_xlfn.XLOOKUP(Table1[[#This Row],[Department]], Doctor_Info!A:A, Doctor_Info!C:C, "")&amp;""</f>
        <v>502</v>
      </c>
    </row>
    <row r="459" spans="1:10" x14ac:dyDescent="0.2">
      <c r="A459" t="s">
        <v>478</v>
      </c>
      <c r="B459" s="3">
        <v>45327</v>
      </c>
      <c r="C459" s="3">
        <v>45328</v>
      </c>
      <c r="D459" t="s">
        <v>528</v>
      </c>
      <c r="E459">
        <v>76</v>
      </c>
      <c r="F459" t="s">
        <v>534</v>
      </c>
      <c r="G459" s="2">
        <v>453790</v>
      </c>
      <c r="H459" t="s">
        <v>6</v>
      </c>
      <c r="I459" t="str">
        <f>IFERROR(VLOOKUP(Table1[[#This Row],[Department]],Doctor_Info!A:D,2,FALSE), "")</f>
        <v>Dr. Kofi</v>
      </c>
      <c r="J459" t="str">
        <f>_xlfn.XLOOKUP(Table1[[#This Row],[Department]], Doctor_Info!A:A, Doctor_Info!C:C, "")&amp;""</f>
        <v>102</v>
      </c>
    </row>
    <row r="460" spans="1:10" x14ac:dyDescent="0.2">
      <c r="A460" t="s">
        <v>479</v>
      </c>
      <c r="B460" s="3">
        <v>45332</v>
      </c>
      <c r="D460" t="s">
        <v>10</v>
      </c>
      <c r="E460">
        <v>78</v>
      </c>
      <c r="F460" t="s">
        <v>534</v>
      </c>
      <c r="G460" s="2">
        <v>454760</v>
      </c>
      <c r="H460" t="s">
        <v>403</v>
      </c>
      <c r="I460" t="str">
        <f>IFERROR(VLOOKUP(Table1[[#This Row],[Department]],Doctor_Info!A:D,2,FALSE), "")</f>
        <v>Dr. George</v>
      </c>
      <c r="J460" t="str">
        <f>_xlfn.XLOOKUP(Table1[[#This Row],[Department]], Doctor_Info!A:A, Doctor_Info!C:C, "")&amp;""</f>
        <v>405</v>
      </c>
    </row>
    <row r="461" spans="1:10" x14ac:dyDescent="0.2">
      <c r="A461" t="s">
        <v>480</v>
      </c>
      <c r="B461" s="3">
        <v>45319</v>
      </c>
      <c r="C461" s="3">
        <v>45327</v>
      </c>
      <c r="D461" t="s">
        <v>7</v>
      </c>
      <c r="E461">
        <v>80</v>
      </c>
      <c r="F461" t="s">
        <v>533</v>
      </c>
      <c r="G461" s="2">
        <v>455730</v>
      </c>
      <c r="H461" t="s">
        <v>8</v>
      </c>
      <c r="I461" t="str">
        <f>IFERROR(VLOOKUP(Table1[[#This Row],[Department]],Doctor_Info!A:D,2,FALSE), "")</f>
        <v>Dr. Ada</v>
      </c>
      <c r="J461" t="str">
        <f>_xlfn.XLOOKUP(Table1[[#This Row],[Department]], Doctor_Info!A:A, Doctor_Info!C:C, "")&amp;""</f>
        <v>301</v>
      </c>
    </row>
    <row r="462" spans="1:10" x14ac:dyDescent="0.2">
      <c r="A462" t="s">
        <v>481</v>
      </c>
      <c r="B462" s="3">
        <v>45323</v>
      </c>
      <c r="C462" s="3">
        <v>45324</v>
      </c>
      <c r="D462" t="s">
        <v>528</v>
      </c>
      <c r="E462">
        <v>82</v>
      </c>
      <c r="F462" t="s">
        <v>534</v>
      </c>
      <c r="G462" s="2">
        <v>456700</v>
      </c>
      <c r="H462" t="s">
        <v>6</v>
      </c>
      <c r="I462" t="str">
        <f>IFERROR(VLOOKUP(Table1[[#This Row],[Department]],Doctor_Info!A:D,2,FALSE), "")</f>
        <v>Dr. Kofi</v>
      </c>
      <c r="J462" t="str">
        <f>_xlfn.XLOOKUP(Table1[[#This Row],[Department]], Doctor_Info!A:A, Doctor_Info!C:C, "")&amp;""</f>
        <v>102</v>
      </c>
    </row>
    <row r="463" spans="1:10" x14ac:dyDescent="0.2">
      <c r="A463" t="s">
        <v>482</v>
      </c>
      <c r="B463" s="3">
        <v>45325</v>
      </c>
      <c r="C463" s="3">
        <v>45337</v>
      </c>
      <c r="D463" t="s">
        <v>12</v>
      </c>
      <c r="E463">
        <v>84</v>
      </c>
      <c r="F463" t="s">
        <v>533</v>
      </c>
      <c r="G463" s="2">
        <v>457670</v>
      </c>
      <c r="H463" t="s">
        <v>8</v>
      </c>
      <c r="I463" t="str">
        <f>IFERROR(VLOOKUP(Table1[[#This Row],[Department]],Doctor_Info!A:D,2,FALSE), "")</f>
        <v>Dr. Temi</v>
      </c>
      <c r="J463" t="str">
        <f>_xlfn.XLOOKUP(Table1[[#This Row],[Department]], Doctor_Info!A:A, Doctor_Info!C:C, "")&amp;""</f>
        <v>502</v>
      </c>
    </row>
    <row r="464" spans="1:10" x14ac:dyDescent="0.2">
      <c r="A464" t="s">
        <v>483</v>
      </c>
      <c r="B464" s="3">
        <v>45327</v>
      </c>
      <c r="C464" s="3">
        <v>45328</v>
      </c>
      <c r="D464" t="s">
        <v>528</v>
      </c>
      <c r="E464">
        <v>86</v>
      </c>
      <c r="F464" t="s">
        <v>534</v>
      </c>
      <c r="G464" s="2">
        <v>458640</v>
      </c>
      <c r="H464" t="s">
        <v>6</v>
      </c>
      <c r="I464" t="str">
        <f>IFERROR(VLOOKUP(Table1[[#This Row],[Department]],Doctor_Info!A:D,2,FALSE), "")</f>
        <v>Dr. Kofi</v>
      </c>
      <c r="J464" t="str">
        <f>_xlfn.XLOOKUP(Table1[[#This Row],[Department]], Doctor_Info!A:A, Doctor_Info!C:C, "")&amp;""</f>
        <v>102</v>
      </c>
    </row>
    <row r="465" spans="1:10" x14ac:dyDescent="0.2">
      <c r="A465" t="s">
        <v>484</v>
      </c>
      <c r="B465" s="3">
        <v>45319</v>
      </c>
      <c r="C465" s="3">
        <v>45327</v>
      </c>
      <c r="D465" t="s">
        <v>7</v>
      </c>
      <c r="E465">
        <v>90</v>
      </c>
      <c r="F465" t="s">
        <v>533</v>
      </c>
      <c r="G465" s="2">
        <v>460580</v>
      </c>
      <c r="H465" t="s">
        <v>8</v>
      </c>
      <c r="I465" t="str">
        <f>IFERROR(VLOOKUP(Table1[[#This Row],[Department]],Doctor_Info!A:D,2,FALSE), "")</f>
        <v>Dr. Ada</v>
      </c>
      <c r="J465" t="str">
        <f>_xlfn.XLOOKUP(Table1[[#This Row],[Department]], Doctor_Info!A:A, Doctor_Info!C:C, "")&amp;""</f>
        <v>301</v>
      </c>
    </row>
    <row r="466" spans="1:10" x14ac:dyDescent="0.2">
      <c r="A466" t="s">
        <v>485</v>
      </c>
      <c r="B466" s="3">
        <v>45323</v>
      </c>
      <c r="C466" s="3">
        <v>45324</v>
      </c>
      <c r="D466" t="s">
        <v>528</v>
      </c>
      <c r="E466">
        <v>92</v>
      </c>
      <c r="F466" t="s">
        <v>534</v>
      </c>
      <c r="G466" s="2">
        <v>461550</v>
      </c>
      <c r="H466" t="s">
        <v>6</v>
      </c>
      <c r="I466" t="str">
        <f>IFERROR(VLOOKUP(Table1[[#This Row],[Department]],Doctor_Info!A:D,2,FALSE), "")</f>
        <v>Dr. Kofi</v>
      </c>
      <c r="J466" t="str">
        <f>_xlfn.XLOOKUP(Table1[[#This Row],[Department]], Doctor_Info!A:A, Doctor_Info!C:C, "")&amp;""</f>
        <v>102</v>
      </c>
    </row>
    <row r="467" spans="1:10" x14ac:dyDescent="0.2">
      <c r="A467" t="s">
        <v>486</v>
      </c>
      <c r="B467" s="3">
        <v>45325</v>
      </c>
      <c r="C467" s="3">
        <v>45337</v>
      </c>
      <c r="D467" t="s">
        <v>12</v>
      </c>
      <c r="E467">
        <v>94</v>
      </c>
      <c r="F467" t="s">
        <v>533</v>
      </c>
      <c r="G467" s="2">
        <v>462520</v>
      </c>
      <c r="H467" t="s">
        <v>8</v>
      </c>
      <c r="I467" t="str">
        <f>IFERROR(VLOOKUP(Table1[[#This Row],[Department]],Doctor_Info!A:D,2,FALSE), "")</f>
        <v>Dr. Temi</v>
      </c>
      <c r="J467" t="str">
        <f>_xlfn.XLOOKUP(Table1[[#This Row],[Department]], Doctor_Info!A:A, Doctor_Info!C:C, "")&amp;""</f>
        <v>502</v>
      </c>
    </row>
    <row r="468" spans="1:10" x14ac:dyDescent="0.2">
      <c r="A468" t="s">
        <v>487</v>
      </c>
      <c r="B468" s="3">
        <v>45327</v>
      </c>
      <c r="C468" s="3">
        <v>45328</v>
      </c>
      <c r="D468" t="s">
        <v>528</v>
      </c>
      <c r="E468">
        <v>96</v>
      </c>
      <c r="F468" t="s">
        <v>534</v>
      </c>
      <c r="G468" s="2">
        <v>463490</v>
      </c>
      <c r="H468" t="s">
        <v>6</v>
      </c>
      <c r="I468" t="str">
        <f>IFERROR(VLOOKUP(Table1[[#This Row],[Department]],Doctor_Info!A:D,2,FALSE), "")</f>
        <v>Dr. Kofi</v>
      </c>
      <c r="J468" t="str">
        <f>_xlfn.XLOOKUP(Table1[[#This Row],[Department]], Doctor_Info!A:A, Doctor_Info!C:C, "")&amp;""</f>
        <v>102</v>
      </c>
    </row>
    <row r="469" spans="1:10" x14ac:dyDescent="0.2">
      <c r="A469" t="s">
        <v>488</v>
      </c>
      <c r="B469" s="3">
        <v>45332</v>
      </c>
      <c r="D469" t="s">
        <v>10</v>
      </c>
      <c r="E469">
        <v>98</v>
      </c>
      <c r="F469" t="s">
        <v>534</v>
      </c>
      <c r="G469" s="2">
        <v>464460</v>
      </c>
      <c r="H469" t="s">
        <v>403</v>
      </c>
      <c r="I469" t="str">
        <f>IFERROR(VLOOKUP(Table1[[#This Row],[Department]],Doctor_Info!A:D,2,FALSE), "")</f>
        <v>Dr. George</v>
      </c>
      <c r="J469" t="str">
        <f>_xlfn.XLOOKUP(Table1[[#This Row],[Department]], Doctor_Info!A:A, Doctor_Info!C:C, "")&amp;""</f>
        <v>405</v>
      </c>
    </row>
    <row r="470" spans="1:10" x14ac:dyDescent="0.2">
      <c r="A470" t="s">
        <v>489</v>
      </c>
      <c r="B470" s="3">
        <v>45319</v>
      </c>
      <c r="C470" s="3">
        <v>45327</v>
      </c>
      <c r="D470" t="s">
        <v>7</v>
      </c>
      <c r="E470">
        <v>100</v>
      </c>
      <c r="F470" t="s">
        <v>533</v>
      </c>
      <c r="G470" s="2">
        <v>465430</v>
      </c>
      <c r="H470" t="s">
        <v>8</v>
      </c>
      <c r="I470" t="str">
        <f>IFERROR(VLOOKUP(Table1[[#This Row],[Department]],Doctor_Info!A:D,2,FALSE), "")</f>
        <v>Dr. Ada</v>
      </c>
      <c r="J470" t="str">
        <f>_xlfn.XLOOKUP(Table1[[#This Row],[Department]], Doctor_Info!A:A, Doctor_Info!C:C, "")&amp;""</f>
        <v>301</v>
      </c>
    </row>
    <row r="471" spans="1:10" x14ac:dyDescent="0.2">
      <c r="A471" t="s">
        <v>490</v>
      </c>
      <c r="B471" s="3">
        <v>45323</v>
      </c>
      <c r="C471" s="3">
        <v>45324</v>
      </c>
      <c r="D471" t="s">
        <v>528</v>
      </c>
      <c r="E471">
        <v>2</v>
      </c>
      <c r="F471" t="s">
        <v>534</v>
      </c>
      <c r="G471" s="2">
        <v>466400</v>
      </c>
      <c r="H471" t="s">
        <v>6</v>
      </c>
      <c r="I471" t="str">
        <f>IFERROR(VLOOKUP(Table1[[#This Row],[Department]],Doctor_Info!A:D,2,FALSE), "")</f>
        <v>Dr. Kofi</v>
      </c>
      <c r="J471" t="str">
        <f>_xlfn.XLOOKUP(Table1[[#This Row],[Department]], Doctor_Info!A:A, Doctor_Info!C:C, "")&amp;""</f>
        <v>102</v>
      </c>
    </row>
    <row r="472" spans="1:10" x14ac:dyDescent="0.2">
      <c r="A472" t="s">
        <v>491</v>
      </c>
      <c r="B472" s="3">
        <v>45325</v>
      </c>
      <c r="C472" s="3">
        <v>45337</v>
      </c>
      <c r="D472" t="s">
        <v>12</v>
      </c>
      <c r="E472">
        <v>4</v>
      </c>
      <c r="F472" t="s">
        <v>533</v>
      </c>
      <c r="G472" s="2">
        <v>467370</v>
      </c>
      <c r="H472" t="s">
        <v>8</v>
      </c>
      <c r="I472" t="str">
        <f>IFERROR(VLOOKUP(Table1[[#This Row],[Department]],Doctor_Info!A:D,2,FALSE), "")</f>
        <v>Dr. Temi</v>
      </c>
      <c r="J472" t="str">
        <f>_xlfn.XLOOKUP(Table1[[#This Row],[Department]], Doctor_Info!A:A, Doctor_Info!C:C, "")&amp;""</f>
        <v>502</v>
      </c>
    </row>
    <row r="473" spans="1:10" x14ac:dyDescent="0.2">
      <c r="A473" t="s">
        <v>492</v>
      </c>
      <c r="B473" s="3">
        <v>45327</v>
      </c>
      <c r="C473" s="3">
        <v>45328</v>
      </c>
      <c r="D473" t="s">
        <v>528</v>
      </c>
      <c r="E473">
        <v>6</v>
      </c>
      <c r="F473" t="s">
        <v>534</v>
      </c>
      <c r="G473" s="2">
        <v>468340</v>
      </c>
      <c r="H473" t="s">
        <v>6</v>
      </c>
      <c r="I473" t="str">
        <f>IFERROR(VLOOKUP(Table1[[#This Row],[Department]],Doctor_Info!A:D,2,FALSE), "")</f>
        <v>Dr. Kofi</v>
      </c>
      <c r="J473" t="str">
        <f>_xlfn.XLOOKUP(Table1[[#This Row],[Department]], Doctor_Info!A:A, Doctor_Info!C:C, "")&amp;""</f>
        <v>102</v>
      </c>
    </row>
    <row r="474" spans="1:10" x14ac:dyDescent="0.2">
      <c r="A474" t="s">
        <v>493</v>
      </c>
      <c r="B474" s="3">
        <v>45332</v>
      </c>
      <c r="D474" t="s">
        <v>10</v>
      </c>
      <c r="E474">
        <v>8</v>
      </c>
      <c r="F474" t="s">
        <v>534</v>
      </c>
      <c r="G474" s="2">
        <v>469310</v>
      </c>
      <c r="H474" t="s">
        <v>403</v>
      </c>
      <c r="I474" t="str">
        <f>IFERROR(VLOOKUP(Table1[[#This Row],[Department]],Doctor_Info!A:D,2,FALSE), "")</f>
        <v>Dr. George</v>
      </c>
      <c r="J474" t="str">
        <f>_xlfn.XLOOKUP(Table1[[#This Row],[Department]], Doctor_Info!A:A, Doctor_Info!C:C, "")&amp;""</f>
        <v>405</v>
      </c>
    </row>
    <row r="475" spans="1:10" x14ac:dyDescent="0.2">
      <c r="A475" t="s">
        <v>494</v>
      </c>
      <c r="B475" s="3">
        <v>45319</v>
      </c>
      <c r="C475" s="3">
        <v>45327</v>
      </c>
      <c r="D475" t="s">
        <v>7</v>
      </c>
      <c r="E475">
        <v>10</v>
      </c>
      <c r="F475" t="s">
        <v>533</v>
      </c>
      <c r="G475" s="2">
        <v>470280</v>
      </c>
      <c r="H475" t="s">
        <v>8</v>
      </c>
      <c r="I475" t="str">
        <f>IFERROR(VLOOKUP(Table1[[#This Row],[Department]],Doctor_Info!A:D,2,FALSE), "")</f>
        <v>Dr. Ada</v>
      </c>
      <c r="J475" t="str">
        <f>_xlfn.XLOOKUP(Table1[[#This Row],[Department]], Doctor_Info!A:A, Doctor_Info!C:C, "")&amp;""</f>
        <v>301</v>
      </c>
    </row>
    <row r="476" spans="1:10" x14ac:dyDescent="0.2">
      <c r="A476" t="s">
        <v>495</v>
      </c>
      <c r="B476" s="3">
        <v>45323</v>
      </c>
      <c r="C476" s="3">
        <v>45324</v>
      </c>
      <c r="D476" t="s">
        <v>528</v>
      </c>
      <c r="E476">
        <v>12</v>
      </c>
      <c r="F476" t="s">
        <v>534</v>
      </c>
      <c r="G476" s="2">
        <v>471250</v>
      </c>
      <c r="H476" t="s">
        <v>6</v>
      </c>
      <c r="I476" t="str">
        <f>IFERROR(VLOOKUP(Table1[[#This Row],[Department]],Doctor_Info!A:D,2,FALSE), "")</f>
        <v>Dr. Kofi</v>
      </c>
      <c r="J476" t="str">
        <f>_xlfn.XLOOKUP(Table1[[#This Row],[Department]], Doctor_Info!A:A, Doctor_Info!C:C, "")&amp;""</f>
        <v>102</v>
      </c>
    </row>
    <row r="477" spans="1:10" x14ac:dyDescent="0.2">
      <c r="A477" t="s">
        <v>496</v>
      </c>
      <c r="B477" s="3">
        <v>45325</v>
      </c>
      <c r="C477" s="3">
        <v>45337</v>
      </c>
      <c r="D477" t="s">
        <v>12</v>
      </c>
      <c r="E477">
        <v>14</v>
      </c>
      <c r="F477" t="s">
        <v>533</v>
      </c>
      <c r="G477" s="2">
        <v>472220</v>
      </c>
      <c r="H477" t="s">
        <v>8</v>
      </c>
      <c r="I477" t="str">
        <f>IFERROR(VLOOKUP(Table1[[#This Row],[Department]],Doctor_Info!A:D,2,FALSE), "")</f>
        <v>Dr. Temi</v>
      </c>
      <c r="J477" t="str">
        <f>_xlfn.XLOOKUP(Table1[[#This Row],[Department]], Doctor_Info!A:A, Doctor_Info!C:C, "")&amp;""</f>
        <v>502</v>
      </c>
    </row>
    <row r="478" spans="1:10" x14ac:dyDescent="0.2">
      <c r="A478" t="s">
        <v>497</v>
      </c>
      <c r="B478" s="3">
        <v>45327</v>
      </c>
      <c r="C478" s="3">
        <v>45328</v>
      </c>
      <c r="D478" t="s">
        <v>528</v>
      </c>
      <c r="E478">
        <v>16</v>
      </c>
      <c r="F478" t="s">
        <v>534</v>
      </c>
      <c r="G478" s="2">
        <v>473190</v>
      </c>
      <c r="H478" t="s">
        <v>6</v>
      </c>
      <c r="I478" t="str">
        <f>IFERROR(VLOOKUP(Table1[[#This Row],[Department]],Doctor_Info!A:D,2,FALSE), "")</f>
        <v>Dr. Kofi</v>
      </c>
      <c r="J478" t="str">
        <f>_xlfn.XLOOKUP(Table1[[#This Row],[Department]], Doctor_Info!A:A, Doctor_Info!C:C, "")&amp;""</f>
        <v>102</v>
      </c>
    </row>
    <row r="479" spans="1:10" x14ac:dyDescent="0.2">
      <c r="A479" t="s">
        <v>498</v>
      </c>
      <c r="B479" s="3">
        <v>45332</v>
      </c>
      <c r="D479" t="s">
        <v>10</v>
      </c>
      <c r="E479">
        <v>18</v>
      </c>
      <c r="F479" t="s">
        <v>534</v>
      </c>
      <c r="G479" s="2">
        <v>474160</v>
      </c>
      <c r="H479" t="s">
        <v>403</v>
      </c>
      <c r="I479" t="str">
        <f>IFERROR(VLOOKUP(Table1[[#This Row],[Department]],Doctor_Info!A:D,2,FALSE), "")</f>
        <v>Dr. George</v>
      </c>
      <c r="J479" t="str">
        <f>_xlfn.XLOOKUP(Table1[[#This Row],[Department]], Doctor_Info!A:A, Doctor_Info!C:C, "")&amp;""</f>
        <v>405</v>
      </c>
    </row>
    <row r="480" spans="1:10" x14ac:dyDescent="0.2">
      <c r="A480" t="s">
        <v>499</v>
      </c>
      <c r="B480" s="3">
        <v>45319</v>
      </c>
      <c r="C480" s="3">
        <v>45327</v>
      </c>
      <c r="D480" t="s">
        <v>7</v>
      </c>
      <c r="E480">
        <v>20</v>
      </c>
      <c r="F480" t="s">
        <v>533</v>
      </c>
      <c r="G480" s="2">
        <v>475130</v>
      </c>
      <c r="H480" t="s">
        <v>8</v>
      </c>
      <c r="I480" t="str">
        <f>IFERROR(VLOOKUP(Table1[[#This Row],[Department]],Doctor_Info!A:D,2,FALSE), "")</f>
        <v>Dr. Ada</v>
      </c>
      <c r="J480" t="str">
        <f>_xlfn.XLOOKUP(Table1[[#This Row],[Department]], Doctor_Info!A:A, Doctor_Info!C:C, "")&amp;""</f>
        <v>301</v>
      </c>
    </row>
    <row r="481" spans="1:10" x14ac:dyDescent="0.2">
      <c r="A481" t="s">
        <v>500</v>
      </c>
      <c r="B481" s="3">
        <v>45323</v>
      </c>
      <c r="C481" s="3">
        <v>45324</v>
      </c>
      <c r="D481" t="s">
        <v>528</v>
      </c>
      <c r="E481">
        <v>22</v>
      </c>
      <c r="F481" t="s">
        <v>534</v>
      </c>
      <c r="G481" s="2">
        <v>476100</v>
      </c>
      <c r="H481" t="s">
        <v>6</v>
      </c>
      <c r="I481" t="str">
        <f>IFERROR(VLOOKUP(Table1[[#This Row],[Department]],Doctor_Info!A:D,2,FALSE), "")</f>
        <v>Dr. Kofi</v>
      </c>
      <c r="J481" t="str">
        <f>_xlfn.XLOOKUP(Table1[[#This Row],[Department]], Doctor_Info!A:A, Doctor_Info!C:C, "")&amp;""</f>
        <v>102</v>
      </c>
    </row>
    <row r="482" spans="1:10" x14ac:dyDescent="0.2">
      <c r="A482" t="s">
        <v>501</v>
      </c>
      <c r="B482" s="3">
        <v>45325</v>
      </c>
      <c r="C482" s="3">
        <v>45337</v>
      </c>
      <c r="D482" t="s">
        <v>12</v>
      </c>
      <c r="E482">
        <v>24</v>
      </c>
      <c r="F482" t="s">
        <v>533</v>
      </c>
      <c r="G482" s="2">
        <v>477070</v>
      </c>
      <c r="H482" t="s">
        <v>8</v>
      </c>
      <c r="I482" t="str">
        <f>IFERROR(VLOOKUP(Table1[[#This Row],[Department]],Doctor_Info!A:D,2,FALSE), "")</f>
        <v>Dr. Temi</v>
      </c>
      <c r="J482" t="str">
        <f>_xlfn.XLOOKUP(Table1[[#This Row],[Department]], Doctor_Info!A:A, Doctor_Info!C:C, "")&amp;""</f>
        <v>502</v>
      </c>
    </row>
    <row r="483" spans="1:10" x14ac:dyDescent="0.2">
      <c r="A483" t="s">
        <v>502</v>
      </c>
      <c r="B483" s="3">
        <v>45327</v>
      </c>
      <c r="C483" s="3">
        <v>45328</v>
      </c>
      <c r="D483" t="s">
        <v>528</v>
      </c>
      <c r="E483">
        <v>26</v>
      </c>
      <c r="F483" t="s">
        <v>534</v>
      </c>
      <c r="G483" s="2">
        <v>478040</v>
      </c>
      <c r="H483" t="s">
        <v>6</v>
      </c>
      <c r="I483" t="str">
        <f>IFERROR(VLOOKUP(Table1[[#This Row],[Department]],Doctor_Info!A:D,2,FALSE), "")</f>
        <v>Dr. Kofi</v>
      </c>
      <c r="J483" t="str">
        <f>_xlfn.XLOOKUP(Table1[[#This Row],[Department]], Doctor_Info!A:A, Doctor_Info!C:C, "")&amp;""</f>
        <v>102</v>
      </c>
    </row>
    <row r="484" spans="1:10" x14ac:dyDescent="0.2">
      <c r="A484" t="s">
        <v>503</v>
      </c>
      <c r="B484" s="3">
        <v>45332</v>
      </c>
      <c r="D484" t="s">
        <v>10</v>
      </c>
      <c r="E484">
        <v>28</v>
      </c>
      <c r="F484" t="s">
        <v>534</v>
      </c>
      <c r="G484" s="2">
        <v>479010</v>
      </c>
      <c r="H484" t="s">
        <v>403</v>
      </c>
      <c r="I484" t="str">
        <f>IFERROR(VLOOKUP(Table1[[#This Row],[Department]],Doctor_Info!A:D,2,FALSE), "")</f>
        <v>Dr. George</v>
      </c>
      <c r="J484" t="str">
        <f>_xlfn.XLOOKUP(Table1[[#This Row],[Department]], Doctor_Info!A:A, Doctor_Info!C:C, "")&amp;""</f>
        <v>405</v>
      </c>
    </row>
  </sheetData>
  <phoneticPr fontId="1" type="noConversion"/>
  <conditionalFormatting sqref="A1:A484">
    <cfRule type="duplicateValues" dxfId="1" priority="3"/>
    <cfRule type="duplicateValues" dxfId="0" priority="4"/>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A4A6D-360A-41FA-835D-56009EA52370}">
  <dimension ref="A1:K505"/>
  <sheetViews>
    <sheetView workbookViewId="0"/>
  </sheetViews>
  <sheetFormatPr baseColWidth="10" defaultColWidth="8.83203125" defaultRowHeight="15" x14ac:dyDescent="0.2"/>
  <cols>
    <col min="1" max="1" width="12.5" bestFit="1" customWidth="1"/>
    <col min="2" max="2" width="17.83203125" bestFit="1" customWidth="1"/>
    <col min="3" max="3" width="17.1640625" bestFit="1" customWidth="1"/>
    <col min="4" max="4" width="16.1640625" bestFit="1" customWidth="1"/>
    <col min="5" max="5" width="6.6640625" bestFit="1" customWidth="1"/>
    <col min="6" max="6" width="9.83203125" customWidth="1"/>
    <col min="7" max="7" width="9.83203125" bestFit="1" customWidth="1"/>
    <col min="8" max="8" width="17.5" bestFit="1" customWidth="1"/>
    <col min="9" max="9" width="11.5" bestFit="1" customWidth="1"/>
    <col min="11" max="11" width="16.33203125" bestFit="1" customWidth="1"/>
  </cols>
  <sheetData>
    <row r="1" spans="1:11" x14ac:dyDescent="0.2">
      <c r="A1" t="s">
        <v>0</v>
      </c>
      <c r="B1" t="s">
        <v>1</v>
      </c>
      <c r="C1" t="s">
        <v>398</v>
      </c>
      <c r="D1" t="s">
        <v>2</v>
      </c>
      <c r="E1" t="s">
        <v>3</v>
      </c>
      <c r="G1" t="s">
        <v>399</v>
      </c>
      <c r="H1" t="s">
        <v>400</v>
      </c>
      <c r="I1" t="s">
        <v>4</v>
      </c>
      <c r="J1" t="s">
        <v>514</v>
      </c>
      <c r="K1" t="s">
        <v>527</v>
      </c>
    </row>
    <row r="2" spans="1:11" x14ac:dyDescent="0.2">
      <c r="A2" t="s">
        <v>14</v>
      </c>
      <c r="B2" s="1" t="s">
        <v>513</v>
      </c>
      <c r="C2" s="1">
        <v>45322</v>
      </c>
      <c r="D2" t="s">
        <v>506</v>
      </c>
      <c r="E2">
        <v>67</v>
      </c>
      <c r="G2" t="s">
        <v>401</v>
      </c>
      <c r="H2">
        <v>8500</v>
      </c>
      <c r="I2" t="s">
        <v>6</v>
      </c>
    </row>
    <row r="3" spans="1:11" x14ac:dyDescent="0.2">
      <c r="A3" t="s">
        <v>15</v>
      </c>
      <c r="B3" s="1">
        <v>45293</v>
      </c>
      <c r="C3" s="1">
        <v>45294</v>
      </c>
      <c r="D3" t="s">
        <v>5</v>
      </c>
      <c r="E3">
        <v>22</v>
      </c>
      <c r="G3" t="s">
        <v>402</v>
      </c>
      <c r="H3">
        <v>900</v>
      </c>
      <c r="I3" t="s">
        <v>6</v>
      </c>
    </row>
    <row r="4" spans="1:11" x14ac:dyDescent="0.2">
      <c r="A4" t="s">
        <v>16</v>
      </c>
      <c r="B4" s="1">
        <v>45296</v>
      </c>
      <c r="C4" s="1">
        <v>45311</v>
      </c>
      <c r="D4" t="s">
        <v>507</v>
      </c>
      <c r="E4">
        <v>54</v>
      </c>
      <c r="G4" t="s">
        <v>402</v>
      </c>
      <c r="H4">
        <v>15000</v>
      </c>
      <c r="I4" t="s">
        <v>8</v>
      </c>
    </row>
    <row r="5" spans="1:11" x14ac:dyDescent="0.2">
      <c r="A5" t="s">
        <v>17</v>
      </c>
      <c r="B5" s="1">
        <v>45301</v>
      </c>
      <c r="C5" s="1">
        <v>45303</v>
      </c>
      <c r="D5" t="s">
        <v>11</v>
      </c>
      <c r="E5">
        <v>8</v>
      </c>
      <c r="G5" t="s">
        <v>401</v>
      </c>
      <c r="H5">
        <v>250000</v>
      </c>
      <c r="I5" t="s">
        <v>8</v>
      </c>
    </row>
    <row r="6" spans="1:11" x14ac:dyDescent="0.2">
      <c r="A6" t="s">
        <v>18</v>
      </c>
      <c r="B6" s="1" t="s">
        <v>520</v>
      </c>
      <c r="C6" s="1">
        <v>45322</v>
      </c>
      <c r="D6" t="s">
        <v>9</v>
      </c>
      <c r="E6">
        <v>31</v>
      </c>
      <c r="G6" t="s">
        <v>401</v>
      </c>
      <c r="H6">
        <v>1100</v>
      </c>
      <c r="I6" t="s">
        <v>6</v>
      </c>
    </row>
    <row r="7" spans="1:11" x14ac:dyDescent="0.2">
      <c r="A7" t="s">
        <v>19</v>
      </c>
      <c r="B7" s="1">
        <v>45306</v>
      </c>
      <c r="C7" s="1">
        <v>45313</v>
      </c>
      <c r="D7" t="s">
        <v>7</v>
      </c>
      <c r="E7">
        <v>72</v>
      </c>
      <c r="G7" t="s">
        <v>402</v>
      </c>
      <c r="H7">
        <v>9200</v>
      </c>
      <c r="I7" t="s">
        <v>8</v>
      </c>
    </row>
    <row r="8" spans="1:11" x14ac:dyDescent="0.2">
      <c r="A8" t="s">
        <v>20</v>
      </c>
      <c r="B8" s="1">
        <v>45309</v>
      </c>
      <c r="D8" t="s">
        <v>510</v>
      </c>
      <c r="E8">
        <v>41</v>
      </c>
      <c r="G8" t="s">
        <v>401</v>
      </c>
      <c r="H8">
        <v>4500</v>
      </c>
      <c r="I8" t="s">
        <v>403</v>
      </c>
    </row>
    <row r="9" spans="1:11" x14ac:dyDescent="0.2">
      <c r="A9" t="s">
        <v>21</v>
      </c>
      <c r="B9" s="1">
        <v>45311</v>
      </c>
      <c r="C9" s="1">
        <v>45321</v>
      </c>
      <c r="D9" t="s">
        <v>13</v>
      </c>
      <c r="E9">
        <v>61</v>
      </c>
      <c r="G9" t="s">
        <v>402</v>
      </c>
      <c r="H9">
        <v>14000</v>
      </c>
      <c r="I9" t="s">
        <v>6</v>
      </c>
    </row>
    <row r="10" spans="1:11" x14ac:dyDescent="0.2">
      <c r="A10" t="s">
        <v>22</v>
      </c>
      <c r="B10" s="1">
        <v>45313</v>
      </c>
      <c r="C10" s="1">
        <v>45314</v>
      </c>
      <c r="D10" t="s">
        <v>5</v>
      </c>
      <c r="E10">
        <v>19</v>
      </c>
      <c r="G10" t="s">
        <v>401</v>
      </c>
      <c r="H10">
        <v>850</v>
      </c>
      <c r="I10" t="s">
        <v>6</v>
      </c>
    </row>
    <row r="11" spans="1:11" x14ac:dyDescent="0.2">
      <c r="A11" t="s">
        <v>23</v>
      </c>
      <c r="B11" s="1">
        <v>45316</v>
      </c>
      <c r="C11" s="1">
        <v>45319</v>
      </c>
      <c r="D11" t="s">
        <v>508</v>
      </c>
      <c r="E11">
        <v>4</v>
      </c>
      <c r="G11" t="s">
        <v>402</v>
      </c>
      <c r="H11">
        <v>180000</v>
      </c>
      <c r="I11" t="s">
        <v>6</v>
      </c>
    </row>
    <row r="12" spans="1:11" x14ac:dyDescent="0.2">
      <c r="A12" t="s">
        <v>24</v>
      </c>
      <c r="B12" s="1">
        <v>45319</v>
      </c>
      <c r="C12" s="1">
        <v>45327</v>
      </c>
      <c r="D12" t="s">
        <v>7</v>
      </c>
      <c r="E12">
        <v>55</v>
      </c>
      <c r="G12" t="s">
        <v>401</v>
      </c>
      <c r="H12">
        <v>7600</v>
      </c>
      <c r="I12" t="s">
        <v>8</v>
      </c>
    </row>
    <row r="13" spans="1:11" x14ac:dyDescent="0.2">
      <c r="A13" t="s">
        <v>25</v>
      </c>
      <c r="B13" s="1">
        <v>45323</v>
      </c>
      <c r="C13" s="1">
        <v>45324</v>
      </c>
      <c r="D13" t="s">
        <v>5</v>
      </c>
      <c r="E13">
        <v>33</v>
      </c>
      <c r="G13" t="s">
        <v>402</v>
      </c>
      <c r="H13">
        <v>1050</v>
      </c>
      <c r="I13" t="s">
        <v>6</v>
      </c>
    </row>
    <row r="14" spans="1:11" x14ac:dyDescent="0.2">
      <c r="A14" t="s">
        <v>26</v>
      </c>
      <c r="B14" s="1">
        <v>45325</v>
      </c>
      <c r="C14" s="1" t="s">
        <v>512</v>
      </c>
      <c r="D14" t="s">
        <v>509</v>
      </c>
      <c r="E14">
        <v>68</v>
      </c>
      <c r="G14" t="s">
        <v>401</v>
      </c>
      <c r="H14">
        <v>11000</v>
      </c>
      <c r="I14" t="s">
        <v>8</v>
      </c>
    </row>
    <row r="15" spans="1:11" x14ac:dyDescent="0.2">
      <c r="A15" t="s">
        <v>27</v>
      </c>
      <c r="B15" s="1">
        <v>45327</v>
      </c>
      <c r="C15" s="1">
        <v>45328</v>
      </c>
      <c r="D15" t="s">
        <v>404</v>
      </c>
      <c r="E15">
        <v>25</v>
      </c>
      <c r="G15" t="s">
        <v>402</v>
      </c>
      <c r="H15">
        <v>950</v>
      </c>
      <c r="I15" t="s">
        <v>6</v>
      </c>
    </row>
    <row r="16" spans="1:11" x14ac:dyDescent="0.2">
      <c r="A16" t="s">
        <v>28</v>
      </c>
      <c r="B16" s="1">
        <v>45332</v>
      </c>
      <c r="D16" t="s">
        <v>10</v>
      </c>
      <c r="E16">
        <v>49</v>
      </c>
      <c r="G16" t="s">
        <v>402</v>
      </c>
      <c r="H16">
        <v>12500</v>
      </c>
      <c r="I16" t="s">
        <v>403</v>
      </c>
    </row>
    <row r="17" spans="1:9" x14ac:dyDescent="0.2">
      <c r="A17" t="s">
        <v>29</v>
      </c>
      <c r="B17" s="1">
        <v>45319</v>
      </c>
      <c r="C17" s="1">
        <v>45327</v>
      </c>
      <c r="D17" t="s">
        <v>511</v>
      </c>
      <c r="E17">
        <v>40</v>
      </c>
      <c r="G17" t="s">
        <v>401</v>
      </c>
      <c r="H17">
        <v>9530</v>
      </c>
      <c r="I17" t="s">
        <v>8</v>
      </c>
    </row>
    <row r="18" spans="1:9" x14ac:dyDescent="0.2">
      <c r="A18" t="s">
        <v>30</v>
      </c>
      <c r="B18" s="1">
        <v>45323</v>
      </c>
      <c r="C18" s="1">
        <v>45324</v>
      </c>
      <c r="D18" t="s">
        <v>5</v>
      </c>
      <c r="E18">
        <v>38</v>
      </c>
      <c r="G18" t="s">
        <v>402</v>
      </c>
      <c r="H18">
        <v>10500</v>
      </c>
      <c r="I18" t="s">
        <v>6</v>
      </c>
    </row>
    <row r="19" spans="1:9" x14ac:dyDescent="0.2">
      <c r="A19" t="s">
        <v>31</v>
      </c>
      <c r="B19" s="1">
        <v>45325</v>
      </c>
      <c r="C19" s="1">
        <v>45337</v>
      </c>
      <c r="D19" t="s">
        <v>12</v>
      </c>
      <c r="E19">
        <v>36</v>
      </c>
      <c r="G19" t="s">
        <v>401</v>
      </c>
      <c r="H19">
        <v>11470</v>
      </c>
      <c r="I19" t="s">
        <v>8</v>
      </c>
    </row>
    <row r="20" spans="1:9" x14ac:dyDescent="0.2">
      <c r="A20" t="s">
        <v>32</v>
      </c>
      <c r="B20" s="1">
        <v>45327</v>
      </c>
      <c r="C20" s="1">
        <v>45328</v>
      </c>
      <c r="D20" t="s">
        <v>404</v>
      </c>
      <c r="E20">
        <v>34</v>
      </c>
      <c r="G20" t="s">
        <v>402</v>
      </c>
      <c r="H20">
        <v>12440</v>
      </c>
      <c r="I20" t="s">
        <v>6</v>
      </c>
    </row>
    <row r="21" spans="1:9" x14ac:dyDescent="0.2">
      <c r="A21" t="s">
        <v>33</v>
      </c>
      <c r="B21" s="1">
        <v>45332</v>
      </c>
      <c r="D21" t="s">
        <v>10</v>
      </c>
      <c r="E21">
        <v>32</v>
      </c>
      <c r="G21" t="s">
        <v>402</v>
      </c>
      <c r="H21">
        <v>13410</v>
      </c>
      <c r="I21" t="s">
        <v>403</v>
      </c>
    </row>
    <row r="22" spans="1:9" x14ac:dyDescent="0.2">
      <c r="A22" t="s">
        <v>34</v>
      </c>
      <c r="B22" s="1">
        <v>45319</v>
      </c>
      <c r="C22" s="1">
        <v>45327</v>
      </c>
      <c r="D22" t="s">
        <v>7</v>
      </c>
      <c r="E22">
        <v>30</v>
      </c>
      <c r="G22" t="s">
        <v>401</v>
      </c>
      <c r="H22">
        <v>14380</v>
      </c>
      <c r="I22" t="s">
        <v>8</v>
      </c>
    </row>
    <row r="23" spans="1:9" x14ac:dyDescent="0.2">
      <c r="A23" t="s">
        <v>35</v>
      </c>
      <c r="B23" s="1">
        <v>45323</v>
      </c>
      <c r="C23" s="1">
        <v>45324</v>
      </c>
      <c r="D23" t="s">
        <v>5</v>
      </c>
      <c r="E23">
        <v>28</v>
      </c>
      <c r="G23" t="s">
        <v>402</v>
      </c>
      <c r="H23">
        <v>15350</v>
      </c>
      <c r="I23" t="s">
        <v>6</v>
      </c>
    </row>
    <row r="24" spans="1:9" x14ac:dyDescent="0.2">
      <c r="A24" t="s">
        <v>36</v>
      </c>
      <c r="B24" s="1">
        <v>45325</v>
      </c>
      <c r="C24" s="1">
        <v>45337</v>
      </c>
      <c r="D24" t="s">
        <v>12</v>
      </c>
      <c r="E24">
        <v>26</v>
      </c>
      <c r="G24" t="s">
        <v>401</v>
      </c>
      <c r="H24">
        <v>16320</v>
      </c>
      <c r="I24" t="s">
        <v>8</v>
      </c>
    </row>
    <row r="25" spans="1:9" x14ac:dyDescent="0.2">
      <c r="A25" t="s">
        <v>37</v>
      </c>
      <c r="B25" s="1">
        <v>45327</v>
      </c>
      <c r="C25" s="1">
        <v>45328</v>
      </c>
      <c r="D25" t="s">
        <v>404</v>
      </c>
      <c r="E25">
        <v>24</v>
      </c>
      <c r="G25" t="s">
        <v>402</v>
      </c>
      <c r="H25">
        <v>17290</v>
      </c>
      <c r="I25" t="s">
        <v>6</v>
      </c>
    </row>
    <row r="26" spans="1:9" x14ac:dyDescent="0.2">
      <c r="A26" t="s">
        <v>38</v>
      </c>
      <c r="B26" s="1">
        <v>45332</v>
      </c>
      <c r="D26" t="s">
        <v>10</v>
      </c>
      <c r="E26">
        <v>22</v>
      </c>
      <c r="G26" t="s">
        <v>402</v>
      </c>
      <c r="H26">
        <v>18260</v>
      </c>
      <c r="I26" t="s">
        <v>403</v>
      </c>
    </row>
    <row r="27" spans="1:9" x14ac:dyDescent="0.2">
      <c r="A27" t="s">
        <v>39</v>
      </c>
      <c r="B27" s="1">
        <v>45319</v>
      </c>
      <c r="C27" s="1">
        <v>45327</v>
      </c>
      <c r="D27" t="s">
        <v>506</v>
      </c>
      <c r="E27">
        <v>20</v>
      </c>
      <c r="G27" t="s">
        <v>401</v>
      </c>
      <c r="H27">
        <v>19230</v>
      </c>
      <c r="I27" t="s">
        <v>8</v>
      </c>
    </row>
    <row r="28" spans="1:9" x14ac:dyDescent="0.2">
      <c r="A28" t="s">
        <v>40</v>
      </c>
      <c r="B28" s="1">
        <v>45323</v>
      </c>
      <c r="C28" s="1">
        <v>45324</v>
      </c>
      <c r="D28" t="s">
        <v>5</v>
      </c>
      <c r="E28">
        <v>18</v>
      </c>
      <c r="G28" t="s">
        <v>402</v>
      </c>
      <c r="H28">
        <v>20200</v>
      </c>
      <c r="I28" t="s">
        <v>6</v>
      </c>
    </row>
    <row r="29" spans="1:9" x14ac:dyDescent="0.2">
      <c r="A29" t="s">
        <v>41</v>
      </c>
      <c r="B29" s="1">
        <v>45325</v>
      </c>
      <c r="C29" s="1">
        <v>45337</v>
      </c>
      <c r="D29" t="s">
        <v>12</v>
      </c>
      <c r="E29">
        <v>16</v>
      </c>
      <c r="G29" t="s">
        <v>401</v>
      </c>
      <c r="H29">
        <v>21170</v>
      </c>
      <c r="I29" t="s">
        <v>8</v>
      </c>
    </row>
    <row r="30" spans="1:9" x14ac:dyDescent="0.2">
      <c r="A30" t="s">
        <v>42</v>
      </c>
      <c r="B30" s="1">
        <v>45327</v>
      </c>
      <c r="C30" s="1">
        <v>45328</v>
      </c>
      <c r="D30" t="s">
        <v>404</v>
      </c>
      <c r="E30">
        <v>14</v>
      </c>
      <c r="G30" t="s">
        <v>402</v>
      </c>
      <c r="H30">
        <v>22140</v>
      </c>
      <c r="I30" t="s">
        <v>6</v>
      </c>
    </row>
    <row r="31" spans="1:9" x14ac:dyDescent="0.2">
      <c r="A31" t="s">
        <v>43</v>
      </c>
      <c r="B31" s="1">
        <v>45332</v>
      </c>
      <c r="D31" t="s">
        <v>10</v>
      </c>
      <c r="E31">
        <v>12</v>
      </c>
      <c r="G31" t="s">
        <v>402</v>
      </c>
      <c r="H31">
        <v>23110</v>
      </c>
      <c r="I31" t="s">
        <v>403</v>
      </c>
    </row>
    <row r="32" spans="1:9" x14ac:dyDescent="0.2">
      <c r="A32" t="s">
        <v>44</v>
      </c>
      <c r="B32" s="1">
        <v>45319</v>
      </c>
      <c r="C32" s="1">
        <v>45327</v>
      </c>
      <c r="D32" t="s">
        <v>7</v>
      </c>
      <c r="E32">
        <v>10</v>
      </c>
      <c r="G32" t="s">
        <v>401</v>
      </c>
      <c r="H32">
        <v>24080</v>
      </c>
      <c r="I32" t="s">
        <v>8</v>
      </c>
    </row>
    <row r="33" spans="1:9" x14ac:dyDescent="0.2">
      <c r="B33" s="1"/>
      <c r="C33" s="1"/>
    </row>
    <row r="34" spans="1:9" x14ac:dyDescent="0.2">
      <c r="A34" t="s">
        <v>45</v>
      </c>
      <c r="B34" s="1">
        <v>45323</v>
      </c>
      <c r="C34" s="1">
        <v>45324</v>
      </c>
      <c r="D34" t="s">
        <v>5</v>
      </c>
      <c r="E34">
        <v>8</v>
      </c>
      <c r="G34" t="s">
        <v>402</v>
      </c>
      <c r="H34">
        <v>25050</v>
      </c>
      <c r="I34" t="s">
        <v>6</v>
      </c>
    </row>
    <row r="35" spans="1:9" x14ac:dyDescent="0.2">
      <c r="A35" t="s">
        <v>46</v>
      </c>
      <c r="B35" s="1">
        <v>45325</v>
      </c>
      <c r="C35" s="1">
        <v>45337</v>
      </c>
      <c r="D35" t="s">
        <v>12</v>
      </c>
      <c r="E35">
        <v>6</v>
      </c>
      <c r="G35" t="s">
        <v>401</v>
      </c>
      <c r="H35">
        <v>26020</v>
      </c>
      <c r="I35" t="s">
        <v>8</v>
      </c>
    </row>
    <row r="36" spans="1:9" x14ac:dyDescent="0.2">
      <c r="A36" t="s">
        <v>47</v>
      </c>
      <c r="B36" s="1">
        <v>45327</v>
      </c>
      <c r="C36" s="1">
        <v>45328</v>
      </c>
      <c r="D36" t="s">
        <v>404</v>
      </c>
      <c r="E36">
        <v>4</v>
      </c>
      <c r="G36" t="s">
        <v>402</v>
      </c>
      <c r="H36">
        <v>26990</v>
      </c>
      <c r="I36" t="s">
        <v>6</v>
      </c>
    </row>
    <row r="37" spans="1:9" x14ac:dyDescent="0.2">
      <c r="A37" t="s">
        <v>48</v>
      </c>
      <c r="B37" s="1">
        <v>45332</v>
      </c>
      <c r="D37" t="s">
        <v>10</v>
      </c>
      <c r="E37">
        <v>2</v>
      </c>
      <c r="G37" t="s">
        <v>402</v>
      </c>
      <c r="H37">
        <v>27960</v>
      </c>
      <c r="I37" t="s">
        <v>403</v>
      </c>
    </row>
    <row r="38" spans="1:9" x14ac:dyDescent="0.2">
      <c r="A38" t="s">
        <v>49</v>
      </c>
      <c r="B38" s="1">
        <v>45319</v>
      </c>
      <c r="C38" s="1">
        <v>45327</v>
      </c>
      <c r="D38" t="s">
        <v>7</v>
      </c>
      <c r="E38">
        <v>0</v>
      </c>
      <c r="G38" t="s">
        <v>401</v>
      </c>
      <c r="H38">
        <v>28930</v>
      </c>
      <c r="I38" t="s">
        <v>8</v>
      </c>
    </row>
    <row r="39" spans="1:9" x14ac:dyDescent="0.2">
      <c r="A39" t="s">
        <v>50</v>
      </c>
      <c r="B39" s="1">
        <v>45323</v>
      </c>
      <c r="C39" s="1">
        <v>45324</v>
      </c>
      <c r="D39" t="s">
        <v>5</v>
      </c>
      <c r="E39">
        <v>2</v>
      </c>
      <c r="G39" t="s">
        <v>402</v>
      </c>
      <c r="H39">
        <v>29900</v>
      </c>
      <c r="I39" t="s">
        <v>6</v>
      </c>
    </row>
    <row r="40" spans="1:9" x14ac:dyDescent="0.2">
      <c r="A40" t="s">
        <v>51</v>
      </c>
      <c r="B40" s="1">
        <v>45325</v>
      </c>
      <c r="C40" s="1">
        <v>45337</v>
      </c>
      <c r="D40" t="s">
        <v>12</v>
      </c>
      <c r="E40">
        <v>4</v>
      </c>
      <c r="G40" t="s">
        <v>401</v>
      </c>
      <c r="H40">
        <v>30870</v>
      </c>
      <c r="I40" t="s">
        <v>8</v>
      </c>
    </row>
    <row r="41" spans="1:9" x14ac:dyDescent="0.2">
      <c r="A41" t="s">
        <v>52</v>
      </c>
      <c r="B41" s="1">
        <v>45327</v>
      </c>
      <c r="C41" s="1">
        <v>45328</v>
      </c>
      <c r="D41" t="s">
        <v>404</v>
      </c>
      <c r="E41">
        <v>6</v>
      </c>
      <c r="G41" t="s">
        <v>402</v>
      </c>
      <c r="H41">
        <v>31840</v>
      </c>
      <c r="I41" t="s">
        <v>6</v>
      </c>
    </row>
    <row r="42" spans="1:9" x14ac:dyDescent="0.2">
      <c r="A42" t="s">
        <v>53</v>
      </c>
      <c r="B42" s="1">
        <v>45332</v>
      </c>
      <c r="D42" t="s">
        <v>10</v>
      </c>
      <c r="E42">
        <v>8</v>
      </c>
      <c r="G42" t="s">
        <v>402</v>
      </c>
      <c r="H42">
        <v>32810</v>
      </c>
      <c r="I42" t="s">
        <v>403</v>
      </c>
    </row>
    <row r="43" spans="1:9" x14ac:dyDescent="0.2">
      <c r="A43" t="s">
        <v>54</v>
      </c>
      <c r="B43" s="1">
        <v>45319</v>
      </c>
      <c r="C43" s="1">
        <v>45327</v>
      </c>
      <c r="D43" t="s">
        <v>7</v>
      </c>
      <c r="E43">
        <v>10</v>
      </c>
      <c r="G43" t="s">
        <v>401</v>
      </c>
      <c r="H43">
        <v>33780</v>
      </c>
      <c r="I43" t="s">
        <v>8</v>
      </c>
    </row>
    <row r="44" spans="1:9" x14ac:dyDescent="0.2">
      <c r="A44" t="s">
        <v>55</v>
      </c>
      <c r="B44" s="1">
        <v>45323</v>
      </c>
      <c r="C44" s="1">
        <v>45324</v>
      </c>
      <c r="D44" t="s">
        <v>5</v>
      </c>
      <c r="E44">
        <v>12</v>
      </c>
      <c r="G44" t="s">
        <v>402</v>
      </c>
      <c r="H44">
        <v>34750</v>
      </c>
      <c r="I44" t="s">
        <v>6</v>
      </c>
    </row>
    <row r="45" spans="1:9" x14ac:dyDescent="0.2">
      <c r="B45" s="1"/>
      <c r="C45" s="1"/>
    </row>
    <row r="46" spans="1:9" x14ac:dyDescent="0.2">
      <c r="A46" t="s">
        <v>56</v>
      </c>
      <c r="B46" s="1">
        <v>45325</v>
      </c>
      <c r="C46" s="1">
        <v>45337</v>
      </c>
      <c r="D46" t="s">
        <v>12</v>
      </c>
      <c r="E46">
        <v>14</v>
      </c>
      <c r="G46" t="s">
        <v>401</v>
      </c>
      <c r="H46">
        <v>35720</v>
      </c>
      <c r="I46" t="s">
        <v>8</v>
      </c>
    </row>
    <row r="47" spans="1:9" x14ac:dyDescent="0.2">
      <c r="A47" t="s">
        <v>57</v>
      </c>
      <c r="B47" s="1">
        <v>45327</v>
      </c>
      <c r="C47" s="1">
        <v>45328</v>
      </c>
      <c r="D47" t="s">
        <v>404</v>
      </c>
      <c r="E47">
        <v>16</v>
      </c>
      <c r="G47" t="s">
        <v>402</v>
      </c>
      <c r="H47">
        <v>36690</v>
      </c>
      <c r="I47" t="s">
        <v>6</v>
      </c>
    </row>
    <row r="48" spans="1:9" x14ac:dyDescent="0.2">
      <c r="A48" t="s">
        <v>58</v>
      </c>
      <c r="B48" s="1">
        <v>45332</v>
      </c>
      <c r="D48" t="s">
        <v>10</v>
      </c>
      <c r="E48">
        <v>18</v>
      </c>
      <c r="G48" t="s">
        <v>402</v>
      </c>
      <c r="H48">
        <v>37660</v>
      </c>
      <c r="I48" t="s">
        <v>403</v>
      </c>
    </row>
    <row r="49" spans="1:9" x14ac:dyDescent="0.2">
      <c r="A49" t="s">
        <v>59</v>
      </c>
      <c r="B49" s="1">
        <v>45319</v>
      </c>
      <c r="C49" s="1">
        <v>45327</v>
      </c>
      <c r="D49" t="s">
        <v>7</v>
      </c>
      <c r="E49">
        <v>20</v>
      </c>
      <c r="G49" t="s">
        <v>401</v>
      </c>
      <c r="H49">
        <v>38630</v>
      </c>
      <c r="I49" t="s">
        <v>8</v>
      </c>
    </row>
    <row r="50" spans="1:9" x14ac:dyDescent="0.2">
      <c r="A50" t="s">
        <v>60</v>
      </c>
      <c r="B50" s="1">
        <v>45323</v>
      </c>
      <c r="C50" s="1">
        <v>45324</v>
      </c>
      <c r="D50" t="s">
        <v>5</v>
      </c>
      <c r="E50">
        <v>22</v>
      </c>
      <c r="G50" t="s">
        <v>402</v>
      </c>
      <c r="H50">
        <v>39600</v>
      </c>
      <c r="I50" t="s">
        <v>6</v>
      </c>
    </row>
    <row r="51" spans="1:9" x14ac:dyDescent="0.2">
      <c r="A51" t="s">
        <v>61</v>
      </c>
      <c r="B51" s="1">
        <v>45325</v>
      </c>
      <c r="C51" s="1">
        <v>45337</v>
      </c>
      <c r="D51" t="s">
        <v>12</v>
      </c>
      <c r="E51">
        <v>24</v>
      </c>
      <c r="G51" t="s">
        <v>401</v>
      </c>
      <c r="H51">
        <v>40570</v>
      </c>
      <c r="I51" t="s">
        <v>8</v>
      </c>
    </row>
    <row r="52" spans="1:9" x14ac:dyDescent="0.2">
      <c r="A52" t="s">
        <v>62</v>
      </c>
      <c r="B52" s="1">
        <v>45327</v>
      </c>
      <c r="C52" s="1">
        <v>45328</v>
      </c>
      <c r="D52" t="s">
        <v>404</v>
      </c>
      <c r="E52">
        <v>26</v>
      </c>
      <c r="G52" t="s">
        <v>402</v>
      </c>
      <c r="H52">
        <v>41540</v>
      </c>
      <c r="I52" t="s">
        <v>6</v>
      </c>
    </row>
    <row r="53" spans="1:9" x14ac:dyDescent="0.2">
      <c r="A53" t="s">
        <v>63</v>
      </c>
      <c r="B53" s="1">
        <v>45332</v>
      </c>
      <c r="D53" t="s">
        <v>10</v>
      </c>
      <c r="E53">
        <v>28</v>
      </c>
      <c r="G53" t="s">
        <v>402</v>
      </c>
      <c r="H53">
        <v>42510</v>
      </c>
      <c r="I53" t="s">
        <v>403</v>
      </c>
    </row>
    <row r="54" spans="1:9" x14ac:dyDescent="0.2">
      <c r="A54" t="s">
        <v>64</v>
      </c>
      <c r="B54" s="1">
        <v>45319</v>
      </c>
      <c r="C54" s="1">
        <v>45327</v>
      </c>
      <c r="D54" t="s">
        <v>7</v>
      </c>
      <c r="E54">
        <v>30</v>
      </c>
      <c r="G54" t="s">
        <v>401</v>
      </c>
      <c r="H54">
        <v>43480</v>
      </c>
      <c r="I54" t="s">
        <v>8</v>
      </c>
    </row>
    <row r="55" spans="1:9" x14ac:dyDescent="0.2">
      <c r="A55" t="s">
        <v>65</v>
      </c>
      <c r="B55" s="1">
        <v>45323</v>
      </c>
      <c r="C55" s="1">
        <v>45324</v>
      </c>
      <c r="D55" t="s">
        <v>5</v>
      </c>
      <c r="E55">
        <v>32</v>
      </c>
      <c r="G55" t="s">
        <v>402</v>
      </c>
      <c r="H55">
        <v>44450</v>
      </c>
      <c r="I55" t="s">
        <v>6</v>
      </c>
    </row>
    <row r="56" spans="1:9" x14ac:dyDescent="0.2">
      <c r="A56" t="s">
        <v>66</v>
      </c>
      <c r="B56" s="1">
        <v>45325</v>
      </c>
      <c r="C56" s="1">
        <v>45337</v>
      </c>
      <c r="D56" t="s">
        <v>12</v>
      </c>
      <c r="E56">
        <v>34</v>
      </c>
      <c r="G56" t="s">
        <v>401</v>
      </c>
      <c r="H56">
        <v>45420</v>
      </c>
      <c r="I56" t="s">
        <v>8</v>
      </c>
    </row>
    <row r="57" spans="1:9" x14ac:dyDescent="0.2">
      <c r="A57" t="s">
        <v>67</v>
      </c>
      <c r="B57" s="1">
        <v>45327</v>
      </c>
      <c r="C57" s="1">
        <v>45328</v>
      </c>
      <c r="D57" t="s">
        <v>404</v>
      </c>
      <c r="E57">
        <v>36</v>
      </c>
      <c r="G57" t="s">
        <v>402</v>
      </c>
      <c r="H57">
        <v>46390</v>
      </c>
      <c r="I57" t="s">
        <v>6</v>
      </c>
    </row>
    <row r="58" spans="1:9" x14ac:dyDescent="0.2">
      <c r="B58" s="1"/>
      <c r="C58" s="1"/>
    </row>
    <row r="59" spans="1:9" x14ac:dyDescent="0.2">
      <c r="A59" t="s">
        <v>68</v>
      </c>
      <c r="B59" s="1">
        <v>45332</v>
      </c>
      <c r="D59" t="s">
        <v>10</v>
      </c>
      <c r="E59">
        <v>38</v>
      </c>
      <c r="G59" t="s">
        <v>402</v>
      </c>
      <c r="H59">
        <v>47360</v>
      </c>
      <c r="I59" t="s">
        <v>403</v>
      </c>
    </row>
    <row r="60" spans="1:9" x14ac:dyDescent="0.2">
      <c r="A60" t="s">
        <v>69</v>
      </c>
      <c r="B60" s="1">
        <v>45319</v>
      </c>
      <c r="C60" s="1">
        <v>45327</v>
      </c>
      <c r="D60" t="s">
        <v>7</v>
      </c>
      <c r="E60">
        <v>40</v>
      </c>
      <c r="G60" t="s">
        <v>401</v>
      </c>
      <c r="H60">
        <v>48330</v>
      </c>
      <c r="I60" t="s">
        <v>8</v>
      </c>
    </row>
    <row r="61" spans="1:9" x14ac:dyDescent="0.2">
      <c r="A61" t="s">
        <v>70</v>
      </c>
      <c r="B61" s="1">
        <v>45323</v>
      </c>
      <c r="C61" s="1">
        <v>45324</v>
      </c>
      <c r="D61" t="s">
        <v>5</v>
      </c>
      <c r="E61">
        <v>42</v>
      </c>
      <c r="G61" t="s">
        <v>402</v>
      </c>
      <c r="H61">
        <v>49300</v>
      </c>
      <c r="I61" t="s">
        <v>6</v>
      </c>
    </row>
    <row r="62" spans="1:9" x14ac:dyDescent="0.2">
      <c r="A62" t="s">
        <v>71</v>
      </c>
      <c r="B62" s="1">
        <v>45325</v>
      </c>
      <c r="C62" s="1">
        <v>45337</v>
      </c>
      <c r="D62" t="s">
        <v>12</v>
      </c>
      <c r="E62">
        <v>44</v>
      </c>
      <c r="G62" t="s">
        <v>401</v>
      </c>
      <c r="H62">
        <v>50270</v>
      </c>
      <c r="I62" t="s">
        <v>8</v>
      </c>
    </row>
    <row r="63" spans="1:9" x14ac:dyDescent="0.2">
      <c r="A63" t="s">
        <v>72</v>
      </c>
      <c r="B63" s="1">
        <v>45327</v>
      </c>
      <c r="C63" s="1">
        <v>45328</v>
      </c>
      <c r="D63" t="s">
        <v>404</v>
      </c>
      <c r="E63">
        <v>46</v>
      </c>
      <c r="G63" t="s">
        <v>402</v>
      </c>
      <c r="H63">
        <v>51240</v>
      </c>
      <c r="I63" t="s">
        <v>6</v>
      </c>
    </row>
    <row r="64" spans="1:9" x14ac:dyDescent="0.2">
      <c r="A64" t="s">
        <v>73</v>
      </c>
      <c r="B64" s="1">
        <v>45332</v>
      </c>
      <c r="D64" t="s">
        <v>10</v>
      </c>
      <c r="E64">
        <v>48</v>
      </c>
      <c r="G64" t="s">
        <v>402</v>
      </c>
      <c r="H64">
        <v>52210</v>
      </c>
      <c r="I64" t="s">
        <v>403</v>
      </c>
    </row>
    <row r="65" spans="1:9" x14ac:dyDescent="0.2">
      <c r="A65" t="s">
        <v>74</v>
      </c>
      <c r="B65" s="1">
        <v>45319</v>
      </c>
      <c r="C65" s="1">
        <v>45327</v>
      </c>
      <c r="D65" t="s">
        <v>7</v>
      </c>
      <c r="E65">
        <v>50</v>
      </c>
      <c r="G65" t="s">
        <v>401</v>
      </c>
      <c r="H65">
        <v>53180</v>
      </c>
      <c r="I65" t="s">
        <v>8</v>
      </c>
    </row>
    <row r="66" spans="1:9" x14ac:dyDescent="0.2">
      <c r="A66" t="s">
        <v>75</v>
      </c>
      <c r="B66" s="1">
        <v>45323</v>
      </c>
      <c r="C66" s="1">
        <v>45324</v>
      </c>
      <c r="D66" t="s">
        <v>5</v>
      </c>
      <c r="E66">
        <v>52</v>
      </c>
      <c r="G66" t="s">
        <v>402</v>
      </c>
      <c r="H66">
        <v>54150</v>
      </c>
      <c r="I66" t="s">
        <v>6</v>
      </c>
    </row>
    <row r="67" spans="1:9" x14ac:dyDescent="0.2">
      <c r="A67" t="s">
        <v>76</v>
      </c>
      <c r="B67" s="1">
        <v>45325</v>
      </c>
      <c r="C67" s="1">
        <v>45337</v>
      </c>
      <c r="D67" t="s">
        <v>12</v>
      </c>
      <c r="E67">
        <v>54</v>
      </c>
      <c r="G67" t="s">
        <v>401</v>
      </c>
      <c r="H67">
        <v>55120</v>
      </c>
      <c r="I67" t="s">
        <v>8</v>
      </c>
    </row>
    <row r="68" spans="1:9" x14ac:dyDescent="0.2">
      <c r="A68" t="s">
        <v>77</v>
      </c>
      <c r="B68" s="1">
        <v>45327</v>
      </c>
      <c r="C68" s="1">
        <v>45328</v>
      </c>
      <c r="D68" t="s">
        <v>404</v>
      </c>
      <c r="E68">
        <v>56</v>
      </c>
      <c r="G68" t="s">
        <v>402</v>
      </c>
      <c r="H68">
        <v>56090</v>
      </c>
      <c r="I68" t="s">
        <v>6</v>
      </c>
    </row>
    <row r="69" spans="1:9" x14ac:dyDescent="0.2">
      <c r="A69" t="s">
        <v>78</v>
      </c>
      <c r="B69" s="1">
        <v>45332</v>
      </c>
      <c r="D69" t="s">
        <v>10</v>
      </c>
      <c r="E69">
        <v>58</v>
      </c>
      <c r="G69" t="s">
        <v>402</v>
      </c>
      <c r="H69">
        <v>57060</v>
      </c>
      <c r="I69" t="s">
        <v>403</v>
      </c>
    </row>
    <row r="70" spans="1:9" x14ac:dyDescent="0.2">
      <c r="A70" t="s">
        <v>79</v>
      </c>
      <c r="B70" s="1">
        <v>45319</v>
      </c>
      <c r="C70" s="1">
        <v>45327</v>
      </c>
      <c r="D70" t="s">
        <v>7</v>
      </c>
      <c r="E70">
        <v>60</v>
      </c>
      <c r="G70" t="s">
        <v>401</v>
      </c>
      <c r="H70">
        <v>58030</v>
      </c>
      <c r="I70" t="s">
        <v>8</v>
      </c>
    </row>
    <row r="71" spans="1:9" x14ac:dyDescent="0.2">
      <c r="A71" t="s">
        <v>80</v>
      </c>
      <c r="B71" s="1">
        <v>45323</v>
      </c>
      <c r="C71" s="1">
        <v>45324</v>
      </c>
      <c r="D71" t="s">
        <v>5</v>
      </c>
      <c r="E71">
        <v>62</v>
      </c>
      <c r="G71" t="s">
        <v>402</v>
      </c>
      <c r="H71">
        <v>59000</v>
      </c>
      <c r="I71" t="s">
        <v>6</v>
      </c>
    </row>
    <row r="72" spans="1:9" x14ac:dyDescent="0.2">
      <c r="A72" t="s">
        <v>81</v>
      </c>
      <c r="B72" s="1">
        <v>45325</v>
      </c>
      <c r="C72" s="1">
        <v>45337</v>
      </c>
      <c r="D72" t="s">
        <v>12</v>
      </c>
      <c r="E72">
        <v>64</v>
      </c>
      <c r="G72" t="s">
        <v>401</v>
      </c>
      <c r="H72">
        <v>59970</v>
      </c>
      <c r="I72" t="s">
        <v>8</v>
      </c>
    </row>
    <row r="73" spans="1:9" x14ac:dyDescent="0.2">
      <c r="A73" t="s">
        <v>82</v>
      </c>
      <c r="B73" s="1">
        <v>45327</v>
      </c>
      <c r="C73" s="1">
        <v>45328</v>
      </c>
      <c r="D73" t="s">
        <v>404</v>
      </c>
      <c r="E73">
        <v>66</v>
      </c>
      <c r="G73" t="s">
        <v>402</v>
      </c>
      <c r="H73">
        <v>60940</v>
      </c>
      <c r="I73" t="s">
        <v>6</v>
      </c>
    </row>
    <row r="74" spans="1:9" x14ac:dyDescent="0.2">
      <c r="A74" t="s">
        <v>83</v>
      </c>
      <c r="B74" s="1">
        <v>45332</v>
      </c>
      <c r="D74" t="s">
        <v>10</v>
      </c>
      <c r="E74">
        <v>68</v>
      </c>
      <c r="G74" t="s">
        <v>402</v>
      </c>
      <c r="H74">
        <v>61910</v>
      </c>
      <c r="I74" t="s">
        <v>403</v>
      </c>
    </row>
    <row r="75" spans="1:9" x14ac:dyDescent="0.2">
      <c r="A75" t="s">
        <v>84</v>
      </c>
      <c r="B75" s="1">
        <v>45319</v>
      </c>
      <c r="C75" s="1">
        <v>45327</v>
      </c>
      <c r="D75" t="s">
        <v>7</v>
      </c>
      <c r="E75">
        <v>70</v>
      </c>
      <c r="G75" t="s">
        <v>401</v>
      </c>
      <c r="H75">
        <v>62880</v>
      </c>
      <c r="I75" t="s">
        <v>8</v>
      </c>
    </row>
    <row r="76" spans="1:9" x14ac:dyDescent="0.2">
      <c r="A76" t="s">
        <v>85</v>
      </c>
      <c r="B76" s="1">
        <v>45323</v>
      </c>
      <c r="C76" s="1">
        <v>45324</v>
      </c>
      <c r="D76" t="s">
        <v>5</v>
      </c>
      <c r="E76">
        <v>72</v>
      </c>
      <c r="G76" t="s">
        <v>402</v>
      </c>
      <c r="H76">
        <v>63850</v>
      </c>
      <c r="I76" t="s">
        <v>6</v>
      </c>
    </row>
    <row r="77" spans="1:9" x14ac:dyDescent="0.2">
      <c r="A77" t="s">
        <v>86</v>
      </c>
      <c r="B77" s="1">
        <v>45325</v>
      </c>
      <c r="C77" s="1">
        <v>45337</v>
      </c>
      <c r="D77" t="s">
        <v>12</v>
      </c>
      <c r="E77">
        <v>74</v>
      </c>
      <c r="G77" t="s">
        <v>401</v>
      </c>
      <c r="H77">
        <v>64820</v>
      </c>
      <c r="I77" t="s">
        <v>8</v>
      </c>
    </row>
    <row r="78" spans="1:9" x14ac:dyDescent="0.2">
      <c r="A78" t="s">
        <v>87</v>
      </c>
      <c r="B78" s="1">
        <v>45327</v>
      </c>
      <c r="C78" s="1">
        <v>45328</v>
      </c>
      <c r="D78" t="s">
        <v>404</v>
      </c>
      <c r="E78">
        <v>76</v>
      </c>
      <c r="G78" t="s">
        <v>402</v>
      </c>
      <c r="H78">
        <v>65790</v>
      </c>
      <c r="I78" t="s">
        <v>6</v>
      </c>
    </row>
    <row r="79" spans="1:9" x14ac:dyDescent="0.2">
      <c r="A79" t="s">
        <v>88</v>
      </c>
      <c r="B79" s="1">
        <v>45332</v>
      </c>
      <c r="D79" t="s">
        <v>10</v>
      </c>
      <c r="E79">
        <v>78</v>
      </c>
      <c r="G79" t="s">
        <v>402</v>
      </c>
      <c r="H79">
        <v>66760</v>
      </c>
      <c r="I79" t="s">
        <v>403</v>
      </c>
    </row>
    <row r="80" spans="1:9" x14ac:dyDescent="0.2">
      <c r="A80" t="s">
        <v>89</v>
      </c>
      <c r="B80" s="1">
        <v>45319</v>
      </c>
      <c r="C80" s="1">
        <v>45327</v>
      </c>
      <c r="D80" t="s">
        <v>7</v>
      </c>
      <c r="E80">
        <v>80</v>
      </c>
      <c r="G80" t="s">
        <v>401</v>
      </c>
      <c r="H80">
        <v>67730</v>
      </c>
      <c r="I80" t="s">
        <v>8</v>
      </c>
    </row>
    <row r="81" spans="1:9" x14ac:dyDescent="0.2">
      <c r="A81" t="s">
        <v>90</v>
      </c>
      <c r="B81" s="1">
        <v>45323</v>
      </c>
      <c r="C81" s="1">
        <v>45324</v>
      </c>
      <c r="D81" t="s">
        <v>5</v>
      </c>
      <c r="E81">
        <v>82</v>
      </c>
      <c r="G81" t="s">
        <v>402</v>
      </c>
      <c r="H81">
        <v>68700</v>
      </c>
      <c r="I81" t="s">
        <v>6</v>
      </c>
    </row>
    <row r="82" spans="1:9" x14ac:dyDescent="0.2">
      <c r="A82" t="s">
        <v>91</v>
      </c>
      <c r="B82" s="1">
        <v>45325</v>
      </c>
      <c r="C82" s="1">
        <v>45337</v>
      </c>
      <c r="D82" t="s">
        <v>12</v>
      </c>
      <c r="E82">
        <v>84</v>
      </c>
      <c r="G82" t="s">
        <v>401</v>
      </c>
      <c r="H82">
        <v>69670</v>
      </c>
      <c r="I82" t="s">
        <v>8</v>
      </c>
    </row>
    <row r="83" spans="1:9" x14ac:dyDescent="0.2">
      <c r="A83" t="s">
        <v>92</v>
      </c>
      <c r="B83" s="1">
        <v>45327</v>
      </c>
      <c r="C83" s="1">
        <v>45328</v>
      </c>
      <c r="D83" t="s">
        <v>404</v>
      </c>
      <c r="E83">
        <v>86</v>
      </c>
      <c r="G83" t="s">
        <v>402</v>
      </c>
      <c r="H83">
        <v>70640</v>
      </c>
      <c r="I83" t="s">
        <v>6</v>
      </c>
    </row>
    <row r="84" spans="1:9" x14ac:dyDescent="0.2">
      <c r="A84" t="s">
        <v>93</v>
      </c>
      <c r="B84" s="1">
        <v>45332</v>
      </c>
      <c r="D84" t="s">
        <v>10</v>
      </c>
      <c r="E84">
        <v>88</v>
      </c>
      <c r="G84" t="s">
        <v>402</v>
      </c>
      <c r="H84">
        <v>71610</v>
      </c>
      <c r="I84" t="s">
        <v>403</v>
      </c>
    </row>
    <row r="85" spans="1:9" x14ac:dyDescent="0.2">
      <c r="A85" t="s">
        <v>94</v>
      </c>
      <c r="B85" s="1">
        <v>45319</v>
      </c>
      <c r="C85" s="1">
        <v>45327</v>
      </c>
      <c r="D85" t="s">
        <v>7</v>
      </c>
      <c r="E85">
        <v>90</v>
      </c>
      <c r="G85" t="s">
        <v>401</v>
      </c>
      <c r="H85">
        <v>72580</v>
      </c>
      <c r="I85" t="s">
        <v>8</v>
      </c>
    </row>
    <row r="86" spans="1:9" x14ac:dyDescent="0.2">
      <c r="A86" t="s">
        <v>95</v>
      </c>
      <c r="B86" s="1">
        <v>45323</v>
      </c>
      <c r="C86" s="1">
        <v>45324</v>
      </c>
      <c r="D86" t="s">
        <v>5</v>
      </c>
      <c r="E86">
        <v>92</v>
      </c>
      <c r="G86" t="s">
        <v>402</v>
      </c>
      <c r="H86">
        <v>73550</v>
      </c>
      <c r="I86" t="s">
        <v>6</v>
      </c>
    </row>
    <row r="87" spans="1:9" x14ac:dyDescent="0.2">
      <c r="A87" t="s">
        <v>96</v>
      </c>
      <c r="B87" s="1">
        <v>45325</v>
      </c>
      <c r="C87" s="1">
        <v>45337</v>
      </c>
      <c r="D87" t="s">
        <v>12</v>
      </c>
      <c r="E87">
        <v>94</v>
      </c>
      <c r="G87" t="s">
        <v>401</v>
      </c>
      <c r="H87">
        <v>74520</v>
      </c>
      <c r="I87" t="s">
        <v>8</v>
      </c>
    </row>
    <row r="88" spans="1:9" x14ac:dyDescent="0.2">
      <c r="A88" t="s">
        <v>97</v>
      </c>
      <c r="B88" s="1">
        <v>45327</v>
      </c>
      <c r="C88" s="1">
        <v>45328</v>
      </c>
      <c r="D88" t="s">
        <v>404</v>
      </c>
      <c r="E88">
        <v>96</v>
      </c>
      <c r="G88" t="s">
        <v>402</v>
      </c>
      <c r="H88">
        <v>75490</v>
      </c>
      <c r="I88" t="s">
        <v>6</v>
      </c>
    </row>
    <row r="89" spans="1:9" x14ac:dyDescent="0.2">
      <c r="A89" t="s">
        <v>98</v>
      </c>
      <c r="B89" s="1">
        <v>45332</v>
      </c>
      <c r="D89" t="s">
        <v>10</v>
      </c>
      <c r="E89">
        <v>98</v>
      </c>
      <c r="G89" t="s">
        <v>402</v>
      </c>
      <c r="H89">
        <v>76460</v>
      </c>
      <c r="I89" t="s">
        <v>403</v>
      </c>
    </row>
    <row r="90" spans="1:9" x14ac:dyDescent="0.2">
      <c r="A90" t="s">
        <v>99</v>
      </c>
      <c r="B90" s="1">
        <v>45319</v>
      </c>
      <c r="C90" s="1">
        <v>45327</v>
      </c>
      <c r="D90" t="s">
        <v>7</v>
      </c>
      <c r="E90">
        <v>100</v>
      </c>
      <c r="G90" t="s">
        <v>401</v>
      </c>
      <c r="H90">
        <v>77430</v>
      </c>
      <c r="I90" t="s">
        <v>8</v>
      </c>
    </row>
    <row r="91" spans="1:9" x14ac:dyDescent="0.2">
      <c r="A91" t="s">
        <v>100</v>
      </c>
      <c r="B91" s="1">
        <v>45323</v>
      </c>
      <c r="C91" s="1">
        <v>45324</v>
      </c>
      <c r="D91" t="s">
        <v>5</v>
      </c>
      <c r="E91">
        <v>2</v>
      </c>
      <c r="G91" t="s">
        <v>402</v>
      </c>
      <c r="H91">
        <v>78400</v>
      </c>
      <c r="I91" t="s">
        <v>6</v>
      </c>
    </row>
    <row r="92" spans="1:9" x14ac:dyDescent="0.2">
      <c r="A92" t="s">
        <v>101</v>
      </c>
      <c r="B92" s="1">
        <v>45325</v>
      </c>
      <c r="C92" s="1">
        <v>45337</v>
      </c>
      <c r="D92" t="s">
        <v>12</v>
      </c>
      <c r="E92">
        <v>4</v>
      </c>
      <c r="G92" t="s">
        <v>401</v>
      </c>
      <c r="H92">
        <v>79370</v>
      </c>
      <c r="I92" t="s">
        <v>8</v>
      </c>
    </row>
    <row r="93" spans="1:9" x14ac:dyDescent="0.2">
      <c r="A93" t="s">
        <v>102</v>
      </c>
      <c r="B93" s="1">
        <v>45327</v>
      </c>
      <c r="C93" s="1">
        <v>45328</v>
      </c>
      <c r="D93" t="s">
        <v>404</v>
      </c>
      <c r="E93">
        <v>6</v>
      </c>
      <c r="G93" t="s">
        <v>402</v>
      </c>
      <c r="H93">
        <v>80340</v>
      </c>
      <c r="I93" t="s">
        <v>6</v>
      </c>
    </row>
    <row r="94" spans="1:9" x14ac:dyDescent="0.2">
      <c r="A94" t="s">
        <v>103</v>
      </c>
      <c r="B94" s="1">
        <v>45332</v>
      </c>
      <c r="D94" t="s">
        <v>10</v>
      </c>
      <c r="E94">
        <v>8</v>
      </c>
      <c r="G94" t="s">
        <v>402</v>
      </c>
      <c r="H94">
        <v>81310</v>
      </c>
      <c r="I94" t="s">
        <v>403</v>
      </c>
    </row>
    <row r="95" spans="1:9" x14ac:dyDescent="0.2">
      <c r="A95" t="s">
        <v>104</v>
      </c>
      <c r="B95" s="1">
        <v>45319</v>
      </c>
      <c r="C95" s="1">
        <v>45327</v>
      </c>
      <c r="D95" t="s">
        <v>7</v>
      </c>
      <c r="E95">
        <v>10</v>
      </c>
      <c r="G95" t="s">
        <v>401</v>
      </c>
      <c r="H95">
        <v>82280</v>
      </c>
      <c r="I95" t="s">
        <v>8</v>
      </c>
    </row>
    <row r="96" spans="1:9" x14ac:dyDescent="0.2">
      <c r="A96" t="s">
        <v>105</v>
      </c>
      <c r="B96" s="1">
        <v>45323</v>
      </c>
      <c r="C96" s="1">
        <v>45324</v>
      </c>
      <c r="D96" t="s">
        <v>5</v>
      </c>
      <c r="E96">
        <v>12</v>
      </c>
      <c r="G96" t="s">
        <v>402</v>
      </c>
      <c r="H96">
        <v>83250</v>
      </c>
      <c r="I96" t="s">
        <v>6</v>
      </c>
    </row>
    <row r="97" spans="1:9" x14ac:dyDescent="0.2">
      <c r="A97" t="s">
        <v>106</v>
      </c>
      <c r="B97" s="1">
        <v>45325</v>
      </c>
      <c r="C97" s="1">
        <v>45337</v>
      </c>
      <c r="D97" t="s">
        <v>12</v>
      </c>
      <c r="E97">
        <v>14</v>
      </c>
      <c r="G97" t="s">
        <v>401</v>
      </c>
      <c r="H97">
        <v>84220</v>
      </c>
      <c r="I97" t="s">
        <v>8</v>
      </c>
    </row>
    <row r="98" spans="1:9" x14ac:dyDescent="0.2">
      <c r="A98" t="s">
        <v>107</v>
      </c>
      <c r="B98" s="1">
        <v>45327</v>
      </c>
      <c r="C98" s="1">
        <v>45328</v>
      </c>
      <c r="D98" t="s">
        <v>404</v>
      </c>
      <c r="E98">
        <v>16</v>
      </c>
      <c r="G98" t="s">
        <v>402</v>
      </c>
      <c r="H98">
        <v>85190</v>
      </c>
      <c r="I98" t="s">
        <v>6</v>
      </c>
    </row>
    <row r="99" spans="1:9" x14ac:dyDescent="0.2">
      <c r="A99" t="s">
        <v>108</v>
      </c>
      <c r="B99" s="1">
        <v>45332</v>
      </c>
      <c r="D99" t="s">
        <v>10</v>
      </c>
      <c r="E99">
        <v>18</v>
      </c>
      <c r="G99" t="s">
        <v>402</v>
      </c>
      <c r="H99">
        <v>86160</v>
      </c>
      <c r="I99" t="s">
        <v>403</v>
      </c>
    </row>
    <row r="100" spans="1:9" x14ac:dyDescent="0.2">
      <c r="A100" t="s">
        <v>109</v>
      </c>
      <c r="B100" s="1">
        <v>45319</v>
      </c>
      <c r="C100" s="1">
        <v>45327</v>
      </c>
      <c r="D100" t="s">
        <v>7</v>
      </c>
      <c r="E100">
        <v>20</v>
      </c>
      <c r="G100" t="s">
        <v>401</v>
      </c>
      <c r="H100">
        <v>87130</v>
      </c>
      <c r="I100" t="s">
        <v>8</v>
      </c>
    </row>
    <row r="101" spans="1:9" x14ac:dyDescent="0.2">
      <c r="A101" t="s">
        <v>110</v>
      </c>
      <c r="B101" s="1">
        <v>45323</v>
      </c>
      <c r="C101" s="1">
        <v>45324</v>
      </c>
      <c r="D101" t="s">
        <v>5</v>
      </c>
      <c r="E101">
        <v>22</v>
      </c>
      <c r="G101" t="s">
        <v>402</v>
      </c>
      <c r="H101">
        <v>88100</v>
      </c>
      <c r="I101" t="s">
        <v>6</v>
      </c>
    </row>
    <row r="102" spans="1:9" x14ac:dyDescent="0.2">
      <c r="A102" t="s">
        <v>111</v>
      </c>
      <c r="B102" s="1">
        <v>45325</v>
      </c>
      <c r="C102" s="1">
        <v>45337</v>
      </c>
      <c r="D102" t="s">
        <v>12</v>
      </c>
      <c r="E102">
        <v>24</v>
      </c>
      <c r="G102" t="s">
        <v>401</v>
      </c>
      <c r="H102">
        <v>89070</v>
      </c>
      <c r="I102" t="s">
        <v>8</v>
      </c>
    </row>
    <row r="103" spans="1:9" x14ac:dyDescent="0.2">
      <c r="A103" t="s">
        <v>112</v>
      </c>
      <c r="B103" s="1">
        <v>45327</v>
      </c>
      <c r="C103" s="1">
        <v>45328</v>
      </c>
      <c r="D103" t="s">
        <v>404</v>
      </c>
      <c r="E103">
        <v>26</v>
      </c>
      <c r="G103" t="s">
        <v>402</v>
      </c>
      <c r="H103">
        <v>90040</v>
      </c>
      <c r="I103" t="s">
        <v>6</v>
      </c>
    </row>
    <row r="104" spans="1:9" x14ac:dyDescent="0.2">
      <c r="A104" t="s">
        <v>113</v>
      </c>
      <c r="B104" s="1">
        <v>45332</v>
      </c>
      <c r="D104" t="s">
        <v>10</v>
      </c>
      <c r="E104">
        <v>28</v>
      </c>
      <c r="G104" t="s">
        <v>402</v>
      </c>
      <c r="H104">
        <v>91010</v>
      </c>
      <c r="I104" t="s">
        <v>403</v>
      </c>
    </row>
    <row r="105" spans="1:9" x14ac:dyDescent="0.2">
      <c r="A105" t="s">
        <v>114</v>
      </c>
      <c r="B105" s="1">
        <v>45319</v>
      </c>
      <c r="C105" s="1">
        <v>45327</v>
      </c>
      <c r="D105" t="s">
        <v>7</v>
      </c>
      <c r="E105">
        <v>30</v>
      </c>
      <c r="G105" t="s">
        <v>401</v>
      </c>
      <c r="H105">
        <v>91979.999999999898</v>
      </c>
      <c r="I105" t="s">
        <v>8</v>
      </c>
    </row>
    <row r="106" spans="1:9" x14ac:dyDescent="0.2">
      <c r="A106" t="s">
        <v>115</v>
      </c>
      <c r="B106" s="1">
        <v>45323</v>
      </c>
      <c r="C106" s="1">
        <v>45324</v>
      </c>
      <c r="D106" t="s">
        <v>5</v>
      </c>
      <c r="E106">
        <v>32</v>
      </c>
      <c r="G106" t="s">
        <v>402</v>
      </c>
      <c r="H106">
        <v>92949.999999999898</v>
      </c>
      <c r="I106" t="s">
        <v>6</v>
      </c>
    </row>
    <row r="107" spans="1:9" x14ac:dyDescent="0.2">
      <c r="A107" t="s">
        <v>116</v>
      </c>
      <c r="B107" s="1">
        <v>45325</v>
      </c>
      <c r="C107" s="1">
        <v>45337</v>
      </c>
      <c r="D107" t="s">
        <v>12</v>
      </c>
      <c r="E107">
        <v>34</v>
      </c>
      <c r="G107" t="s">
        <v>401</v>
      </c>
      <c r="H107">
        <v>93919.999999999898</v>
      </c>
      <c r="I107" t="s">
        <v>8</v>
      </c>
    </row>
    <row r="108" spans="1:9" x14ac:dyDescent="0.2">
      <c r="A108" t="s">
        <v>117</v>
      </c>
      <c r="B108" s="1">
        <v>45327</v>
      </c>
      <c r="C108" s="1">
        <v>45328</v>
      </c>
      <c r="D108" t="s">
        <v>404</v>
      </c>
      <c r="E108">
        <v>36</v>
      </c>
      <c r="G108" t="s">
        <v>402</v>
      </c>
      <c r="H108">
        <v>94889.999999999898</v>
      </c>
      <c r="I108" t="s">
        <v>6</v>
      </c>
    </row>
    <row r="109" spans="1:9" x14ac:dyDescent="0.2">
      <c r="A109" t="s">
        <v>118</v>
      </c>
      <c r="B109" s="1">
        <v>45332</v>
      </c>
      <c r="D109" t="s">
        <v>10</v>
      </c>
      <c r="E109">
        <v>38</v>
      </c>
      <c r="G109" t="s">
        <v>402</v>
      </c>
      <c r="H109">
        <v>95859.999999999898</v>
      </c>
      <c r="I109" t="s">
        <v>403</v>
      </c>
    </row>
    <row r="110" spans="1:9" x14ac:dyDescent="0.2">
      <c r="A110" t="s">
        <v>119</v>
      </c>
      <c r="B110" s="1">
        <v>45319</v>
      </c>
      <c r="C110" s="1">
        <v>45327</v>
      </c>
      <c r="D110" t="s">
        <v>7</v>
      </c>
      <c r="E110">
        <v>40</v>
      </c>
      <c r="G110" t="s">
        <v>401</v>
      </c>
      <c r="H110">
        <v>96829.999999999898</v>
      </c>
      <c r="I110" t="s">
        <v>8</v>
      </c>
    </row>
    <row r="111" spans="1:9" x14ac:dyDescent="0.2">
      <c r="A111" t="s">
        <v>120</v>
      </c>
      <c r="B111" s="1">
        <v>45323</v>
      </c>
      <c r="C111" s="1">
        <v>45324</v>
      </c>
      <c r="D111" t="s">
        <v>5</v>
      </c>
      <c r="E111">
        <v>42</v>
      </c>
      <c r="G111" t="s">
        <v>402</v>
      </c>
      <c r="H111">
        <v>97799.999999999898</v>
      </c>
      <c r="I111" t="s">
        <v>6</v>
      </c>
    </row>
    <row r="112" spans="1:9" x14ac:dyDescent="0.2">
      <c r="A112" t="s">
        <v>121</v>
      </c>
      <c r="B112" s="1">
        <v>45325</v>
      </c>
      <c r="C112" s="1">
        <v>45337</v>
      </c>
      <c r="D112" t="s">
        <v>12</v>
      </c>
      <c r="E112">
        <v>44</v>
      </c>
      <c r="G112" t="s">
        <v>401</v>
      </c>
      <c r="H112">
        <v>98769.999999999898</v>
      </c>
      <c r="I112" t="s">
        <v>8</v>
      </c>
    </row>
    <row r="113" spans="1:9" x14ac:dyDescent="0.2">
      <c r="A113" t="s">
        <v>122</v>
      </c>
      <c r="B113" s="1">
        <v>45327</v>
      </c>
      <c r="C113" s="1">
        <v>45328</v>
      </c>
      <c r="D113" t="s">
        <v>404</v>
      </c>
      <c r="E113">
        <v>46</v>
      </c>
      <c r="G113" t="s">
        <v>402</v>
      </c>
      <c r="H113">
        <v>99739.999999999898</v>
      </c>
      <c r="I113" t="s">
        <v>6</v>
      </c>
    </row>
    <row r="114" spans="1:9" x14ac:dyDescent="0.2">
      <c r="A114" t="s">
        <v>14</v>
      </c>
      <c r="B114" s="1">
        <v>45332</v>
      </c>
      <c r="D114" t="s">
        <v>10</v>
      </c>
      <c r="E114">
        <v>67</v>
      </c>
      <c r="G114" t="s">
        <v>402</v>
      </c>
      <c r="H114">
        <v>100710</v>
      </c>
      <c r="I114" t="s">
        <v>403</v>
      </c>
    </row>
    <row r="115" spans="1:9" x14ac:dyDescent="0.2">
      <c r="A115" t="s">
        <v>123</v>
      </c>
      <c r="B115" s="1">
        <v>45319</v>
      </c>
      <c r="C115" s="1">
        <v>45327</v>
      </c>
      <c r="D115" t="s">
        <v>7</v>
      </c>
      <c r="E115">
        <v>50</v>
      </c>
      <c r="G115" t="s">
        <v>401</v>
      </c>
      <c r="H115">
        <v>101680</v>
      </c>
      <c r="I115" t="s">
        <v>8</v>
      </c>
    </row>
    <row r="116" spans="1:9" x14ac:dyDescent="0.2">
      <c r="A116" t="s">
        <v>124</v>
      </c>
      <c r="B116" s="1">
        <v>45323</v>
      </c>
      <c r="C116" s="1">
        <v>45324</v>
      </c>
      <c r="D116" t="s">
        <v>5</v>
      </c>
      <c r="E116">
        <v>52</v>
      </c>
      <c r="G116" t="s">
        <v>402</v>
      </c>
      <c r="H116">
        <v>102650</v>
      </c>
      <c r="I116" t="s">
        <v>6</v>
      </c>
    </row>
    <row r="117" spans="1:9" x14ac:dyDescent="0.2">
      <c r="A117" t="s">
        <v>125</v>
      </c>
      <c r="B117" s="1">
        <v>45325</v>
      </c>
      <c r="C117" s="1">
        <v>45337</v>
      </c>
      <c r="D117" t="s">
        <v>12</v>
      </c>
      <c r="E117">
        <v>54</v>
      </c>
      <c r="G117" t="s">
        <v>401</v>
      </c>
      <c r="H117">
        <v>103620</v>
      </c>
      <c r="I117" t="s">
        <v>8</v>
      </c>
    </row>
    <row r="118" spans="1:9" x14ac:dyDescent="0.2">
      <c r="A118" t="s">
        <v>126</v>
      </c>
      <c r="B118" s="1">
        <v>45327</v>
      </c>
      <c r="C118" s="1">
        <v>45328</v>
      </c>
      <c r="D118" t="s">
        <v>404</v>
      </c>
      <c r="E118">
        <v>56</v>
      </c>
      <c r="G118" t="s">
        <v>402</v>
      </c>
      <c r="H118">
        <v>104590</v>
      </c>
      <c r="I118" t="s">
        <v>6</v>
      </c>
    </row>
    <row r="119" spans="1:9" x14ac:dyDescent="0.2">
      <c r="A119" t="s">
        <v>127</v>
      </c>
      <c r="B119" s="1">
        <v>45332</v>
      </c>
      <c r="D119" t="s">
        <v>10</v>
      </c>
      <c r="E119">
        <v>58</v>
      </c>
      <c r="G119" t="s">
        <v>402</v>
      </c>
      <c r="H119">
        <v>105560</v>
      </c>
      <c r="I119" t="s">
        <v>403</v>
      </c>
    </row>
    <row r="120" spans="1:9" x14ac:dyDescent="0.2">
      <c r="A120" t="s">
        <v>128</v>
      </c>
      <c r="B120" s="1">
        <v>45319</v>
      </c>
      <c r="C120" s="1">
        <v>45327</v>
      </c>
      <c r="D120" t="s">
        <v>7</v>
      </c>
      <c r="E120">
        <v>60</v>
      </c>
      <c r="G120" t="s">
        <v>401</v>
      </c>
      <c r="H120">
        <v>106530</v>
      </c>
      <c r="I120" t="s">
        <v>8</v>
      </c>
    </row>
    <row r="121" spans="1:9" x14ac:dyDescent="0.2">
      <c r="A121" t="s">
        <v>129</v>
      </c>
      <c r="B121" s="1">
        <v>45323</v>
      </c>
      <c r="C121" s="1">
        <v>45324</v>
      </c>
      <c r="D121" t="s">
        <v>5</v>
      </c>
      <c r="E121">
        <v>62</v>
      </c>
      <c r="G121" t="s">
        <v>402</v>
      </c>
      <c r="H121">
        <v>107500</v>
      </c>
      <c r="I121" t="s">
        <v>6</v>
      </c>
    </row>
    <row r="122" spans="1:9" x14ac:dyDescent="0.2">
      <c r="A122" t="s">
        <v>130</v>
      </c>
      <c r="B122" s="1">
        <v>45325</v>
      </c>
      <c r="C122" s="1">
        <v>45337</v>
      </c>
      <c r="D122" t="s">
        <v>12</v>
      </c>
      <c r="E122">
        <v>64</v>
      </c>
      <c r="G122" t="s">
        <v>401</v>
      </c>
      <c r="H122">
        <v>108470</v>
      </c>
      <c r="I122" t="s">
        <v>8</v>
      </c>
    </row>
    <row r="123" spans="1:9" x14ac:dyDescent="0.2">
      <c r="A123" t="s">
        <v>131</v>
      </c>
      <c r="B123" s="1">
        <v>45327</v>
      </c>
      <c r="C123" s="1">
        <v>45328</v>
      </c>
      <c r="D123" t="s">
        <v>404</v>
      </c>
      <c r="E123">
        <v>66</v>
      </c>
      <c r="G123" t="s">
        <v>402</v>
      </c>
      <c r="H123">
        <v>109440</v>
      </c>
      <c r="I123" t="s">
        <v>6</v>
      </c>
    </row>
    <row r="124" spans="1:9" x14ac:dyDescent="0.2">
      <c r="A124" t="s">
        <v>132</v>
      </c>
      <c r="B124" s="1">
        <v>45332</v>
      </c>
      <c r="D124" t="s">
        <v>10</v>
      </c>
      <c r="E124">
        <v>68</v>
      </c>
      <c r="G124" t="s">
        <v>402</v>
      </c>
      <c r="H124">
        <v>110410</v>
      </c>
      <c r="I124" t="s">
        <v>403</v>
      </c>
    </row>
    <row r="125" spans="1:9" x14ac:dyDescent="0.2">
      <c r="A125" t="s">
        <v>133</v>
      </c>
      <c r="B125" s="1">
        <v>45319</v>
      </c>
      <c r="C125" s="1">
        <v>45327</v>
      </c>
      <c r="D125" t="s">
        <v>7</v>
      </c>
      <c r="E125">
        <v>70</v>
      </c>
      <c r="G125" t="s">
        <v>401</v>
      </c>
      <c r="H125">
        <v>111380</v>
      </c>
      <c r="I125" t="s">
        <v>8</v>
      </c>
    </row>
    <row r="126" spans="1:9" x14ac:dyDescent="0.2">
      <c r="A126" t="s">
        <v>134</v>
      </c>
      <c r="B126" s="1">
        <v>45323</v>
      </c>
      <c r="C126" s="1">
        <v>45324</v>
      </c>
      <c r="D126" t="s">
        <v>5</v>
      </c>
      <c r="E126">
        <v>72</v>
      </c>
      <c r="G126" t="s">
        <v>402</v>
      </c>
      <c r="H126">
        <v>112350</v>
      </c>
      <c r="I126" t="s">
        <v>6</v>
      </c>
    </row>
    <row r="127" spans="1:9" x14ac:dyDescent="0.2">
      <c r="A127" t="s">
        <v>135</v>
      </c>
      <c r="B127" s="1">
        <v>45325</v>
      </c>
      <c r="C127" s="1">
        <v>45337</v>
      </c>
      <c r="D127" t="s">
        <v>12</v>
      </c>
      <c r="E127">
        <v>74</v>
      </c>
      <c r="G127" t="s">
        <v>401</v>
      </c>
      <c r="H127">
        <v>113320</v>
      </c>
      <c r="I127" t="s">
        <v>8</v>
      </c>
    </row>
    <row r="128" spans="1:9" x14ac:dyDescent="0.2">
      <c r="A128" t="s">
        <v>136</v>
      </c>
      <c r="B128" s="1">
        <v>45327</v>
      </c>
      <c r="C128" s="1">
        <v>45328</v>
      </c>
      <c r="D128" t="s">
        <v>404</v>
      </c>
      <c r="E128">
        <v>76</v>
      </c>
      <c r="G128" t="s">
        <v>402</v>
      </c>
      <c r="H128">
        <v>114290</v>
      </c>
      <c r="I128" t="s">
        <v>6</v>
      </c>
    </row>
    <row r="129" spans="1:9" x14ac:dyDescent="0.2">
      <c r="A129" t="s">
        <v>137</v>
      </c>
      <c r="B129" s="1">
        <v>45332</v>
      </c>
      <c r="D129" t="s">
        <v>10</v>
      </c>
      <c r="E129">
        <v>78</v>
      </c>
      <c r="G129" t="s">
        <v>402</v>
      </c>
      <c r="H129">
        <v>115260</v>
      </c>
      <c r="I129" t="s">
        <v>403</v>
      </c>
    </row>
    <row r="130" spans="1:9" x14ac:dyDescent="0.2">
      <c r="A130" t="s">
        <v>138</v>
      </c>
      <c r="B130" s="1">
        <v>45319</v>
      </c>
      <c r="C130" s="1">
        <v>45327</v>
      </c>
      <c r="D130" t="s">
        <v>7</v>
      </c>
      <c r="E130">
        <v>80</v>
      </c>
      <c r="G130" t="s">
        <v>401</v>
      </c>
      <c r="H130">
        <v>116230</v>
      </c>
      <c r="I130" t="s">
        <v>8</v>
      </c>
    </row>
    <row r="131" spans="1:9" x14ac:dyDescent="0.2">
      <c r="A131" t="s">
        <v>139</v>
      </c>
      <c r="B131" s="1">
        <v>45323</v>
      </c>
      <c r="C131" s="1">
        <v>45324</v>
      </c>
      <c r="D131" t="s">
        <v>5</v>
      </c>
      <c r="E131">
        <v>82</v>
      </c>
      <c r="G131" t="s">
        <v>402</v>
      </c>
      <c r="H131">
        <v>117200</v>
      </c>
      <c r="I131" t="s">
        <v>6</v>
      </c>
    </row>
    <row r="132" spans="1:9" x14ac:dyDescent="0.2">
      <c r="A132" t="s">
        <v>140</v>
      </c>
      <c r="B132" s="1">
        <v>45325</v>
      </c>
      <c r="C132" s="1">
        <v>45337</v>
      </c>
      <c r="D132" t="s">
        <v>12</v>
      </c>
      <c r="E132">
        <v>84</v>
      </c>
      <c r="G132" t="s">
        <v>401</v>
      </c>
      <c r="H132">
        <v>118170</v>
      </c>
      <c r="I132" t="s">
        <v>8</v>
      </c>
    </row>
    <row r="133" spans="1:9" x14ac:dyDescent="0.2">
      <c r="A133" t="s">
        <v>141</v>
      </c>
      <c r="B133" s="1">
        <v>45327</v>
      </c>
      <c r="C133" s="1">
        <v>45328</v>
      </c>
      <c r="D133" t="s">
        <v>404</v>
      </c>
      <c r="E133">
        <v>86</v>
      </c>
      <c r="G133" t="s">
        <v>402</v>
      </c>
      <c r="H133">
        <v>119140</v>
      </c>
      <c r="I133" t="s">
        <v>6</v>
      </c>
    </row>
    <row r="134" spans="1:9" x14ac:dyDescent="0.2">
      <c r="A134" t="s">
        <v>142</v>
      </c>
      <c r="B134" s="1">
        <v>45332</v>
      </c>
      <c r="D134" t="s">
        <v>10</v>
      </c>
      <c r="E134">
        <v>88</v>
      </c>
      <c r="G134" t="s">
        <v>402</v>
      </c>
      <c r="H134">
        <v>120110</v>
      </c>
      <c r="I134" t="s">
        <v>403</v>
      </c>
    </row>
    <row r="135" spans="1:9" x14ac:dyDescent="0.2">
      <c r="A135" t="s">
        <v>143</v>
      </c>
      <c r="B135" s="1">
        <v>45319</v>
      </c>
      <c r="C135" s="1">
        <v>45327</v>
      </c>
      <c r="D135" t="s">
        <v>7</v>
      </c>
      <c r="E135">
        <v>90</v>
      </c>
      <c r="G135" t="s">
        <v>401</v>
      </c>
      <c r="H135">
        <v>121080</v>
      </c>
      <c r="I135" t="s">
        <v>8</v>
      </c>
    </row>
    <row r="136" spans="1:9" x14ac:dyDescent="0.2">
      <c r="A136" t="s">
        <v>144</v>
      </c>
      <c r="B136" s="1">
        <v>45323</v>
      </c>
      <c r="C136" s="1">
        <v>45324</v>
      </c>
      <c r="D136" t="s">
        <v>5</v>
      </c>
      <c r="E136">
        <v>92</v>
      </c>
      <c r="G136" t="s">
        <v>402</v>
      </c>
      <c r="H136">
        <v>122050</v>
      </c>
      <c r="I136" t="s">
        <v>6</v>
      </c>
    </row>
    <row r="137" spans="1:9" x14ac:dyDescent="0.2">
      <c r="A137" t="s">
        <v>145</v>
      </c>
      <c r="B137" s="1">
        <v>45325</v>
      </c>
      <c r="C137" s="1">
        <v>45337</v>
      </c>
      <c r="D137" t="s">
        <v>12</v>
      </c>
      <c r="E137">
        <v>94</v>
      </c>
      <c r="G137" t="s">
        <v>401</v>
      </c>
      <c r="H137">
        <v>123020</v>
      </c>
      <c r="I137" t="s">
        <v>8</v>
      </c>
    </row>
    <row r="138" spans="1:9" x14ac:dyDescent="0.2">
      <c r="A138" t="s">
        <v>146</v>
      </c>
      <c r="B138" s="1">
        <v>45327</v>
      </c>
      <c r="C138" s="1">
        <v>45328</v>
      </c>
      <c r="D138" t="s">
        <v>404</v>
      </c>
      <c r="E138">
        <v>96</v>
      </c>
      <c r="G138" t="s">
        <v>402</v>
      </c>
      <c r="H138">
        <v>123990</v>
      </c>
      <c r="I138" t="s">
        <v>6</v>
      </c>
    </row>
    <row r="139" spans="1:9" x14ac:dyDescent="0.2">
      <c r="B139" s="1"/>
      <c r="C139" s="1"/>
    </row>
    <row r="140" spans="1:9" x14ac:dyDescent="0.2">
      <c r="A140" t="s">
        <v>147</v>
      </c>
      <c r="B140" s="1">
        <v>45332</v>
      </c>
      <c r="D140" t="s">
        <v>10</v>
      </c>
      <c r="E140">
        <v>98</v>
      </c>
      <c r="G140" t="s">
        <v>402</v>
      </c>
      <c r="H140">
        <v>124960</v>
      </c>
      <c r="I140" t="s">
        <v>403</v>
      </c>
    </row>
    <row r="141" spans="1:9" x14ac:dyDescent="0.2">
      <c r="A141" t="s">
        <v>148</v>
      </c>
      <c r="B141" s="1">
        <v>45319</v>
      </c>
      <c r="C141" s="1">
        <v>45327</v>
      </c>
      <c r="D141" t="s">
        <v>7</v>
      </c>
      <c r="E141">
        <v>100</v>
      </c>
      <c r="G141" t="s">
        <v>401</v>
      </c>
      <c r="H141">
        <v>125930</v>
      </c>
      <c r="I141" t="s">
        <v>8</v>
      </c>
    </row>
    <row r="142" spans="1:9" x14ac:dyDescent="0.2">
      <c r="A142" t="s">
        <v>149</v>
      </c>
      <c r="B142" s="1">
        <v>45323</v>
      </c>
      <c r="C142" s="1">
        <v>45324</v>
      </c>
      <c r="D142" t="s">
        <v>5</v>
      </c>
      <c r="E142">
        <v>2</v>
      </c>
      <c r="G142" t="s">
        <v>402</v>
      </c>
      <c r="H142">
        <v>126900</v>
      </c>
      <c r="I142" t="s">
        <v>6</v>
      </c>
    </row>
    <row r="143" spans="1:9" x14ac:dyDescent="0.2">
      <c r="A143" t="s">
        <v>150</v>
      </c>
      <c r="B143" s="1">
        <v>45325</v>
      </c>
      <c r="C143" s="1">
        <v>45337</v>
      </c>
      <c r="D143" t="s">
        <v>12</v>
      </c>
      <c r="E143">
        <v>4</v>
      </c>
      <c r="G143" t="s">
        <v>401</v>
      </c>
      <c r="H143">
        <v>127870</v>
      </c>
      <c r="I143" t="s">
        <v>8</v>
      </c>
    </row>
    <row r="144" spans="1:9" x14ac:dyDescent="0.2">
      <c r="A144" t="s">
        <v>151</v>
      </c>
      <c r="B144" s="1">
        <v>45327</v>
      </c>
      <c r="C144" s="1">
        <v>45328</v>
      </c>
      <c r="D144" t="s">
        <v>404</v>
      </c>
      <c r="E144">
        <v>6</v>
      </c>
      <c r="G144" t="s">
        <v>402</v>
      </c>
      <c r="H144">
        <v>128840</v>
      </c>
      <c r="I144" t="s">
        <v>6</v>
      </c>
    </row>
    <row r="145" spans="1:9" x14ac:dyDescent="0.2">
      <c r="A145" t="s">
        <v>152</v>
      </c>
      <c r="B145" s="1">
        <v>45332</v>
      </c>
      <c r="D145" t="s">
        <v>10</v>
      </c>
      <c r="E145">
        <v>8</v>
      </c>
      <c r="G145" t="s">
        <v>402</v>
      </c>
      <c r="H145">
        <v>129810</v>
      </c>
      <c r="I145" t="s">
        <v>403</v>
      </c>
    </row>
    <row r="146" spans="1:9" x14ac:dyDescent="0.2">
      <c r="A146" t="s">
        <v>153</v>
      </c>
      <c r="B146" s="1">
        <v>45319</v>
      </c>
      <c r="C146" s="1">
        <v>45327</v>
      </c>
      <c r="D146" t="s">
        <v>7</v>
      </c>
      <c r="E146">
        <v>10</v>
      </c>
      <c r="G146" t="s">
        <v>401</v>
      </c>
      <c r="H146">
        <v>130780</v>
      </c>
      <c r="I146" t="s">
        <v>8</v>
      </c>
    </row>
    <row r="147" spans="1:9" x14ac:dyDescent="0.2">
      <c r="A147" t="s">
        <v>154</v>
      </c>
      <c r="B147" s="1">
        <v>45323</v>
      </c>
      <c r="C147" s="1">
        <v>45324</v>
      </c>
      <c r="D147" t="s">
        <v>5</v>
      </c>
      <c r="E147">
        <v>12</v>
      </c>
      <c r="G147" t="s">
        <v>402</v>
      </c>
      <c r="H147">
        <v>131750</v>
      </c>
      <c r="I147" t="s">
        <v>6</v>
      </c>
    </row>
    <row r="148" spans="1:9" x14ac:dyDescent="0.2">
      <c r="A148" t="s">
        <v>155</v>
      </c>
      <c r="B148" s="1">
        <v>45325</v>
      </c>
      <c r="C148" s="1">
        <v>45337</v>
      </c>
      <c r="D148" t="s">
        <v>12</v>
      </c>
      <c r="E148">
        <v>14</v>
      </c>
      <c r="G148" t="s">
        <v>401</v>
      </c>
      <c r="H148">
        <v>132720</v>
      </c>
      <c r="I148" t="s">
        <v>8</v>
      </c>
    </row>
    <row r="149" spans="1:9" x14ac:dyDescent="0.2">
      <c r="A149" t="s">
        <v>156</v>
      </c>
      <c r="B149" s="1">
        <v>45327</v>
      </c>
      <c r="C149" s="1">
        <v>45328</v>
      </c>
      <c r="D149" t="s">
        <v>404</v>
      </c>
      <c r="E149">
        <v>16</v>
      </c>
      <c r="G149" t="s">
        <v>402</v>
      </c>
      <c r="H149">
        <v>133690</v>
      </c>
      <c r="I149" t="s">
        <v>6</v>
      </c>
    </row>
    <row r="150" spans="1:9" x14ac:dyDescent="0.2">
      <c r="A150" t="s">
        <v>157</v>
      </c>
      <c r="B150" s="1">
        <v>45332</v>
      </c>
      <c r="D150" t="s">
        <v>10</v>
      </c>
      <c r="E150">
        <v>18</v>
      </c>
      <c r="G150" t="s">
        <v>402</v>
      </c>
      <c r="H150">
        <v>134660</v>
      </c>
      <c r="I150" t="s">
        <v>403</v>
      </c>
    </row>
    <row r="151" spans="1:9" x14ac:dyDescent="0.2">
      <c r="A151" t="s">
        <v>158</v>
      </c>
      <c r="B151" s="1">
        <v>45319</v>
      </c>
      <c r="C151" s="1">
        <v>45327</v>
      </c>
      <c r="D151" t="s">
        <v>7</v>
      </c>
      <c r="E151">
        <v>20</v>
      </c>
      <c r="G151" t="s">
        <v>401</v>
      </c>
      <c r="H151">
        <v>135630</v>
      </c>
      <c r="I151" t="s">
        <v>8</v>
      </c>
    </row>
    <row r="152" spans="1:9" x14ac:dyDescent="0.2">
      <c r="A152" t="s">
        <v>159</v>
      </c>
      <c r="B152" s="1">
        <v>45323</v>
      </c>
      <c r="C152" s="1">
        <v>45324</v>
      </c>
      <c r="D152" t="s">
        <v>5</v>
      </c>
      <c r="E152">
        <v>22</v>
      </c>
      <c r="G152" t="s">
        <v>402</v>
      </c>
      <c r="H152">
        <v>136600</v>
      </c>
      <c r="I152" t="s">
        <v>6</v>
      </c>
    </row>
    <row r="153" spans="1:9" x14ac:dyDescent="0.2">
      <c r="A153" t="s">
        <v>160</v>
      </c>
      <c r="B153" s="1">
        <v>45325</v>
      </c>
      <c r="C153" s="1">
        <v>45337</v>
      </c>
      <c r="D153" t="s">
        <v>12</v>
      </c>
      <c r="E153">
        <v>24</v>
      </c>
      <c r="G153" t="s">
        <v>401</v>
      </c>
      <c r="H153">
        <v>137570</v>
      </c>
      <c r="I153" t="s">
        <v>8</v>
      </c>
    </row>
    <row r="154" spans="1:9" x14ac:dyDescent="0.2">
      <c r="A154" t="s">
        <v>161</v>
      </c>
      <c r="B154" s="1">
        <v>45327</v>
      </c>
      <c r="C154" s="1">
        <v>45328</v>
      </c>
      <c r="D154" t="s">
        <v>404</v>
      </c>
      <c r="E154">
        <v>26</v>
      </c>
      <c r="G154" t="s">
        <v>402</v>
      </c>
      <c r="H154">
        <v>138540</v>
      </c>
      <c r="I154" t="s">
        <v>6</v>
      </c>
    </row>
    <row r="155" spans="1:9" x14ac:dyDescent="0.2">
      <c r="A155" t="s">
        <v>162</v>
      </c>
      <c r="B155" s="1">
        <v>45332</v>
      </c>
      <c r="D155" t="s">
        <v>10</v>
      </c>
      <c r="E155">
        <v>28</v>
      </c>
      <c r="G155" t="s">
        <v>402</v>
      </c>
      <c r="H155">
        <v>139510</v>
      </c>
      <c r="I155" t="s">
        <v>403</v>
      </c>
    </row>
    <row r="156" spans="1:9" x14ac:dyDescent="0.2">
      <c r="A156" t="s">
        <v>163</v>
      </c>
      <c r="B156" s="1">
        <v>45319</v>
      </c>
      <c r="C156" s="1">
        <v>45327</v>
      </c>
      <c r="D156" t="s">
        <v>7</v>
      </c>
      <c r="E156">
        <v>30</v>
      </c>
      <c r="G156" t="s">
        <v>401</v>
      </c>
      <c r="H156">
        <v>140480</v>
      </c>
      <c r="I156" t="s">
        <v>8</v>
      </c>
    </row>
    <row r="157" spans="1:9" x14ac:dyDescent="0.2">
      <c r="A157" t="s">
        <v>164</v>
      </c>
      <c r="B157" s="1">
        <v>45323</v>
      </c>
      <c r="C157" s="1">
        <v>45324</v>
      </c>
      <c r="D157" t="s">
        <v>5</v>
      </c>
      <c r="E157">
        <v>32</v>
      </c>
      <c r="G157" t="s">
        <v>402</v>
      </c>
      <c r="H157">
        <v>141450</v>
      </c>
      <c r="I157" t="s">
        <v>6</v>
      </c>
    </row>
    <row r="158" spans="1:9" x14ac:dyDescent="0.2">
      <c r="A158" t="s">
        <v>165</v>
      </c>
      <c r="B158" s="1">
        <v>45325</v>
      </c>
      <c r="C158" s="1">
        <v>45337</v>
      </c>
      <c r="D158" t="s">
        <v>12</v>
      </c>
      <c r="E158">
        <v>34</v>
      </c>
      <c r="G158" t="s">
        <v>401</v>
      </c>
      <c r="H158">
        <v>142420</v>
      </c>
      <c r="I158" t="s">
        <v>8</v>
      </c>
    </row>
    <row r="159" spans="1:9" x14ac:dyDescent="0.2">
      <c r="A159" t="s">
        <v>166</v>
      </c>
      <c r="B159" s="1">
        <v>45327</v>
      </c>
      <c r="C159" s="1">
        <v>45328</v>
      </c>
      <c r="D159" t="s">
        <v>404</v>
      </c>
      <c r="E159">
        <v>36</v>
      </c>
      <c r="G159" t="s">
        <v>402</v>
      </c>
      <c r="H159">
        <v>143390</v>
      </c>
      <c r="I159" t="s">
        <v>6</v>
      </c>
    </row>
    <row r="160" spans="1:9" x14ac:dyDescent="0.2">
      <c r="A160" t="s">
        <v>167</v>
      </c>
      <c r="B160" s="1">
        <v>45332</v>
      </c>
      <c r="D160" t="s">
        <v>10</v>
      </c>
      <c r="E160">
        <v>38</v>
      </c>
      <c r="G160" t="s">
        <v>402</v>
      </c>
      <c r="H160">
        <v>144360</v>
      </c>
      <c r="I160" t="s">
        <v>403</v>
      </c>
    </row>
    <row r="161" spans="1:9" x14ac:dyDescent="0.2">
      <c r="A161" t="s">
        <v>168</v>
      </c>
      <c r="B161" s="1">
        <v>45319</v>
      </c>
      <c r="C161" s="1">
        <v>45327</v>
      </c>
      <c r="D161" t="s">
        <v>7</v>
      </c>
      <c r="E161">
        <v>40</v>
      </c>
      <c r="G161" t="s">
        <v>401</v>
      </c>
      <c r="H161">
        <v>145330</v>
      </c>
      <c r="I161" t="s">
        <v>8</v>
      </c>
    </row>
    <row r="162" spans="1:9" x14ac:dyDescent="0.2">
      <c r="A162" t="s">
        <v>169</v>
      </c>
      <c r="B162" s="1">
        <v>45323</v>
      </c>
      <c r="C162" s="1">
        <v>45324</v>
      </c>
      <c r="D162" t="s">
        <v>5</v>
      </c>
      <c r="E162">
        <v>42</v>
      </c>
      <c r="G162" t="s">
        <v>402</v>
      </c>
      <c r="H162">
        <v>146300</v>
      </c>
      <c r="I162" t="s">
        <v>6</v>
      </c>
    </row>
    <row r="163" spans="1:9" x14ac:dyDescent="0.2">
      <c r="A163" t="s">
        <v>170</v>
      </c>
      <c r="B163" s="1">
        <v>45325</v>
      </c>
      <c r="C163" s="1">
        <v>45337</v>
      </c>
      <c r="D163" t="s">
        <v>12</v>
      </c>
      <c r="E163">
        <v>44</v>
      </c>
      <c r="G163" t="s">
        <v>401</v>
      </c>
      <c r="H163">
        <v>147270</v>
      </c>
      <c r="I163" t="s">
        <v>8</v>
      </c>
    </row>
    <row r="164" spans="1:9" x14ac:dyDescent="0.2">
      <c r="A164" t="s">
        <v>123</v>
      </c>
      <c r="B164" s="1">
        <v>45327</v>
      </c>
      <c r="C164" s="1">
        <v>45328</v>
      </c>
      <c r="D164" t="s">
        <v>404</v>
      </c>
      <c r="E164">
        <v>50</v>
      </c>
      <c r="G164" t="s">
        <v>402</v>
      </c>
      <c r="H164">
        <v>148240</v>
      </c>
      <c r="I164" t="s">
        <v>6</v>
      </c>
    </row>
    <row r="165" spans="1:9" x14ac:dyDescent="0.2">
      <c r="A165" t="s">
        <v>171</v>
      </c>
      <c r="B165" s="1">
        <v>45332</v>
      </c>
      <c r="D165" t="s">
        <v>10</v>
      </c>
      <c r="E165">
        <v>48</v>
      </c>
      <c r="G165" t="s">
        <v>402</v>
      </c>
      <c r="H165">
        <v>149210</v>
      </c>
      <c r="I165" t="s">
        <v>403</v>
      </c>
    </row>
    <row r="166" spans="1:9" x14ac:dyDescent="0.2">
      <c r="A166" t="s">
        <v>172</v>
      </c>
      <c r="B166" s="1">
        <v>45319</v>
      </c>
      <c r="C166" s="1">
        <v>45327</v>
      </c>
      <c r="D166" t="s">
        <v>7</v>
      </c>
      <c r="E166">
        <v>50</v>
      </c>
      <c r="G166" t="s">
        <v>401</v>
      </c>
      <c r="H166">
        <v>150180</v>
      </c>
      <c r="I166" t="s">
        <v>8</v>
      </c>
    </row>
    <row r="167" spans="1:9" x14ac:dyDescent="0.2">
      <c r="A167" t="s">
        <v>173</v>
      </c>
      <c r="B167" s="1">
        <v>45323</v>
      </c>
      <c r="C167" s="1">
        <v>45324</v>
      </c>
      <c r="D167" t="s">
        <v>5</v>
      </c>
      <c r="E167">
        <v>52</v>
      </c>
      <c r="G167" t="s">
        <v>402</v>
      </c>
      <c r="H167">
        <v>151150</v>
      </c>
      <c r="I167" t="s">
        <v>6</v>
      </c>
    </row>
    <row r="168" spans="1:9" x14ac:dyDescent="0.2">
      <c r="A168" t="s">
        <v>174</v>
      </c>
      <c r="B168" s="1">
        <v>45325</v>
      </c>
      <c r="C168" s="1">
        <v>45337</v>
      </c>
      <c r="D168" t="s">
        <v>12</v>
      </c>
      <c r="E168">
        <v>54</v>
      </c>
      <c r="G168" t="s">
        <v>401</v>
      </c>
      <c r="H168">
        <v>152120</v>
      </c>
      <c r="I168" t="s">
        <v>8</v>
      </c>
    </row>
    <row r="169" spans="1:9" x14ac:dyDescent="0.2">
      <c r="A169" t="s">
        <v>175</v>
      </c>
      <c r="B169" s="1">
        <v>45327</v>
      </c>
      <c r="C169" s="1">
        <v>45328</v>
      </c>
      <c r="D169" t="s">
        <v>404</v>
      </c>
      <c r="E169">
        <v>56</v>
      </c>
      <c r="G169" t="s">
        <v>402</v>
      </c>
      <c r="H169">
        <v>153090</v>
      </c>
      <c r="I169" t="s">
        <v>6</v>
      </c>
    </row>
    <row r="170" spans="1:9" x14ac:dyDescent="0.2">
      <c r="A170" t="s">
        <v>176</v>
      </c>
      <c r="B170" s="1">
        <v>45332</v>
      </c>
      <c r="D170" t="s">
        <v>10</v>
      </c>
      <c r="E170">
        <v>58</v>
      </c>
      <c r="G170" t="s">
        <v>402</v>
      </c>
      <c r="H170">
        <v>154060</v>
      </c>
      <c r="I170" t="s">
        <v>403</v>
      </c>
    </row>
    <row r="171" spans="1:9" x14ac:dyDescent="0.2">
      <c r="A171" t="s">
        <v>177</v>
      </c>
      <c r="B171" s="1">
        <v>45319</v>
      </c>
      <c r="C171" s="1">
        <v>45327</v>
      </c>
      <c r="D171" t="s">
        <v>7</v>
      </c>
      <c r="E171">
        <v>60</v>
      </c>
      <c r="G171" t="s">
        <v>401</v>
      </c>
      <c r="H171">
        <v>155030</v>
      </c>
      <c r="I171" t="s">
        <v>8</v>
      </c>
    </row>
    <row r="172" spans="1:9" x14ac:dyDescent="0.2">
      <c r="A172" t="s">
        <v>178</v>
      </c>
      <c r="B172" s="1">
        <v>45323</v>
      </c>
      <c r="C172" s="1">
        <v>45324</v>
      </c>
      <c r="D172" t="s">
        <v>5</v>
      </c>
      <c r="E172">
        <v>62</v>
      </c>
      <c r="G172" t="s">
        <v>402</v>
      </c>
      <c r="H172">
        <v>156000</v>
      </c>
      <c r="I172" t="s">
        <v>6</v>
      </c>
    </row>
    <row r="173" spans="1:9" x14ac:dyDescent="0.2">
      <c r="A173" t="s">
        <v>179</v>
      </c>
      <c r="B173" s="1">
        <v>45325</v>
      </c>
      <c r="C173" s="1">
        <v>45337</v>
      </c>
      <c r="D173" t="s">
        <v>12</v>
      </c>
      <c r="E173">
        <v>64</v>
      </c>
      <c r="G173" t="s">
        <v>401</v>
      </c>
      <c r="H173">
        <v>156970</v>
      </c>
      <c r="I173" t="s">
        <v>8</v>
      </c>
    </row>
    <row r="174" spans="1:9" x14ac:dyDescent="0.2">
      <c r="A174" t="s">
        <v>180</v>
      </c>
      <c r="B174" s="1">
        <v>45327</v>
      </c>
      <c r="C174" s="1">
        <v>45328</v>
      </c>
      <c r="D174" t="s">
        <v>404</v>
      </c>
      <c r="E174">
        <v>66</v>
      </c>
      <c r="G174" t="s">
        <v>402</v>
      </c>
      <c r="H174">
        <v>157940</v>
      </c>
      <c r="I174" t="s">
        <v>6</v>
      </c>
    </row>
    <row r="175" spans="1:9" x14ac:dyDescent="0.2">
      <c r="A175" t="s">
        <v>181</v>
      </c>
      <c r="B175" s="1">
        <v>45332</v>
      </c>
      <c r="D175" t="s">
        <v>10</v>
      </c>
      <c r="E175">
        <v>68</v>
      </c>
      <c r="G175" t="s">
        <v>402</v>
      </c>
      <c r="H175">
        <v>158910</v>
      </c>
      <c r="I175" t="s">
        <v>403</v>
      </c>
    </row>
    <row r="176" spans="1:9" x14ac:dyDescent="0.2">
      <c r="A176" t="s">
        <v>182</v>
      </c>
      <c r="B176" s="1">
        <v>45319</v>
      </c>
      <c r="C176" s="1">
        <v>45327</v>
      </c>
      <c r="D176" t="s">
        <v>7</v>
      </c>
      <c r="E176">
        <v>70</v>
      </c>
      <c r="G176" t="s">
        <v>401</v>
      </c>
      <c r="H176">
        <v>159880</v>
      </c>
      <c r="I176" t="s">
        <v>8</v>
      </c>
    </row>
    <row r="177" spans="1:9" x14ac:dyDescent="0.2">
      <c r="A177" t="s">
        <v>183</v>
      </c>
      <c r="B177" s="1">
        <v>45323</v>
      </c>
      <c r="C177" s="1">
        <v>45324</v>
      </c>
      <c r="D177" t="s">
        <v>5</v>
      </c>
      <c r="E177">
        <v>72</v>
      </c>
      <c r="G177" t="s">
        <v>402</v>
      </c>
      <c r="H177">
        <v>160850</v>
      </c>
      <c r="I177" t="s">
        <v>6</v>
      </c>
    </row>
    <row r="178" spans="1:9" x14ac:dyDescent="0.2">
      <c r="A178" t="s">
        <v>184</v>
      </c>
      <c r="B178" s="1">
        <v>45325</v>
      </c>
      <c r="C178" s="1">
        <v>45337</v>
      </c>
      <c r="D178" t="s">
        <v>12</v>
      </c>
      <c r="E178">
        <v>74</v>
      </c>
      <c r="G178" t="s">
        <v>401</v>
      </c>
      <c r="H178">
        <v>161820</v>
      </c>
      <c r="I178" t="s">
        <v>8</v>
      </c>
    </row>
    <row r="179" spans="1:9" x14ac:dyDescent="0.2">
      <c r="A179" t="s">
        <v>185</v>
      </c>
      <c r="B179" s="1">
        <v>45327</v>
      </c>
      <c r="C179" s="1">
        <v>45328</v>
      </c>
      <c r="D179" t="s">
        <v>404</v>
      </c>
      <c r="E179">
        <v>76</v>
      </c>
      <c r="G179" t="s">
        <v>402</v>
      </c>
      <c r="H179">
        <v>162790</v>
      </c>
      <c r="I179" t="s">
        <v>6</v>
      </c>
    </row>
    <row r="180" spans="1:9" x14ac:dyDescent="0.2">
      <c r="A180" t="s">
        <v>186</v>
      </c>
      <c r="B180" s="1">
        <v>45332</v>
      </c>
      <c r="D180" t="s">
        <v>10</v>
      </c>
      <c r="E180">
        <v>78</v>
      </c>
      <c r="G180" t="s">
        <v>402</v>
      </c>
      <c r="H180">
        <v>163760</v>
      </c>
      <c r="I180" t="s">
        <v>403</v>
      </c>
    </row>
    <row r="181" spans="1:9" x14ac:dyDescent="0.2">
      <c r="A181" t="s">
        <v>187</v>
      </c>
      <c r="B181" s="1">
        <v>45319</v>
      </c>
      <c r="C181" s="1">
        <v>45327</v>
      </c>
      <c r="D181" t="s">
        <v>7</v>
      </c>
      <c r="E181">
        <v>80</v>
      </c>
      <c r="G181" t="s">
        <v>401</v>
      </c>
      <c r="H181">
        <v>164730</v>
      </c>
      <c r="I181" t="s">
        <v>8</v>
      </c>
    </row>
    <row r="182" spans="1:9" x14ac:dyDescent="0.2">
      <c r="A182" t="s">
        <v>188</v>
      </c>
      <c r="B182" s="1">
        <v>45323</v>
      </c>
      <c r="C182" s="1">
        <v>45324</v>
      </c>
      <c r="D182" t="s">
        <v>5</v>
      </c>
      <c r="E182">
        <v>82</v>
      </c>
      <c r="G182" t="s">
        <v>402</v>
      </c>
      <c r="H182">
        <v>165700</v>
      </c>
      <c r="I182" t="s">
        <v>6</v>
      </c>
    </row>
    <row r="183" spans="1:9" x14ac:dyDescent="0.2">
      <c r="A183" t="s">
        <v>189</v>
      </c>
      <c r="B183" s="1">
        <v>45325</v>
      </c>
      <c r="C183" s="1">
        <v>45337</v>
      </c>
      <c r="D183" t="s">
        <v>12</v>
      </c>
      <c r="E183">
        <v>84</v>
      </c>
      <c r="G183" t="s">
        <v>401</v>
      </c>
      <c r="H183">
        <v>166670</v>
      </c>
      <c r="I183" t="s">
        <v>8</v>
      </c>
    </row>
    <row r="184" spans="1:9" x14ac:dyDescent="0.2">
      <c r="A184" t="s">
        <v>190</v>
      </c>
      <c r="B184" s="1">
        <v>45327</v>
      </c>
      <c r="C184" s="1">
        <v>45328</v>
      </c>
      <c r="D184" t="s">
        <v>404</v>
      </c>
      <c r="E184">
        <v>86</v>
      </c>
      <c r="G184" t="s">
        <v>402</v>
      </c>
      <c r="H184">
        <v>167640</v>
      </c>
      <c r="I184" t="s">
        <v>6</v>
      </c>
    </row>
    <row r="185" spans="1:9" x14ac:dyDescent="0.2">
      <c r="A185" t="s">
        <v>191</v>
      </c>
      <c r="B185" s="1">
        <v>45332</v>
      </c>
      <c r="D185" t="s">
        <v>10</v>
      </c>
      <c r="E185">
        <v>88</v>
      </c>
      <c r="G185" t="s">
        <v>402</v>
      </c>
      <c r="H185">
        <v>168610</v>
      </c>
      <c r="I185" t="s">
        <v>403</v>
      </c>
    </row>
    <row r="186" spans="1:9" x14ac:dyDescent="0.2">
      <c r="A186" t="s">
        <v>192</v>
      </c>
      <c r="B186" s="1">
        <v>45319</v>
      </c>
      <c r="C186" s="1">
        <v>45327</v>
      </c>
      <c r="D186" t="s">
        <v>7</v>
      </c>
      <c r="E186">
        <v>90</v>
      </c>
      <c r="G186" t="s">
        <v>401</v>
      </c>
      <c r="H186">
        <v>169580</v>
      </c>
      <c r="I186" t="s">
        <v>8</v>
      </c>
    </row>
    <row r="187" spans="1:9" x14ac:dyDescent="0.2">
      <c r="A187" t="s">
        <v>193</v>
      </c>
      <c r="B187" s="1">
        <v>45323</v>
      </c>
      <c r="C187" s="1">
        <v>45324</v>
      </c>
      <c r="D187" t="s">
        <v>5</v>
      </c>
      <c r="E187">
        <v>92</v>
      </c>
      <c r="G187" t="s">
        <v>402</v>
      </c>
      <c r="H187">
        <v>170550</v>
      </c>
      <c r="I187" t="s">
        <v>6</v>
      </c>
    </row>
    <row r="188" spans="1:9" x14ac:dyDescent="0.2">
      <c r="A188" t="s">
        <v>194</v>
      </c>
      <c r="B188" s="1">
        <v>45325</v>
      </c>
      <c r="C188" s="1">
        <v>45337</v>
      </c>
      <c r="D188" t="s">
        <v>12</v>
      </c>
      <c r="E188">
        <v>94</v>
      </c>
      <c r="G188" t="s">
        <v>401</v>
      </c>
      <c r="H188">
        <v>171520</v>
      </c>
      <c r="I188" t="s">
        <v>8</v>
      </c>
    </row>
    <row r="189" spans="1:9" x14ac:dyDescent="0.2">
      <c r="A189" t="s">
        <v>195</v>
      </c>
      <c r="B189" s="1">
        <v>45327</v>
      </c>
      <c r="C189" s="1">
        <v>45328</v>
      </c>
      <c r="D189" t="s">
        <v>404</v>
      </c>
      <c r="E189">
        <v>96</v>
      </c>
      <c r="G189" t="s">
        <v>402</v>
      </c>
      <c r="H189">
        <v>172490</v>
      </c>
      <c r="I189" t="s">
        <v>6</v>
      </c>
    </row>
    <row r="190" spans="1:9" x14ac:dyDescent="0.2">
      <c r="A190" t="s">
        <v>196</v>
      </c>
      <c r="B190" s="1">
        <v>45332</v>
      </c>
      <c r="D190" t="s">
        <v>10</v>
      </c>
      <c r="E190">
        <v>98</v>
      </c>
      <c r="G190" t="s">
        <v>402</v>
      </c>
      <c r="H190">
        <v>173460</v>
      </c>
      <c r="I190" t="s">
        <v>403</v>
      </c>
    </row>
    <row r="191" spans="1:9" x14ac:dyDescent="0.2">
      <c r="A191" t="s">
        <v>197</v>
      </c>
      <c r="B191" s="1">
        <v>45319</v>
      </c>
      <c r="C191" s="1">
        <v>45327</v>
      </c>
      <c r="D191" t="s">
        <v>7</v>
      </c>
      <c r="E191">
        <v>100</v>
      </c>
      <c r="G191" t="s">
        <v>401</v>
      </c>
      <c r="H191">
        <v>174430</v>
      </c>
      <c r="I191" t="s">
        <v>8</v>
      </c>
    </row>
    <row r="192" spans="1:9" x14ac:dyDescent="0.2">
      <c r="A192" t="s">
        <v>198</v>
      </c>
      <c r="B192" s="1">
        <v>45323</v>
      </c>
      <c r="C192" s="1">
        <v>45324</v>
      </c>
      <c r="D192" t="s">
        <v>5</v>
      </c>
      <c r="E192">
        <v>2</v>
      </c>
      <c r="G192" t="s">
        <v>402</v>
      </c>
      <c r="H192">
        <v>175400</v>
      </c>
      <c r="I192" t="s">
        <v>6</v>
      </c>
    </row>
    <row r="193" spans="1:9" x14ac:dyDescent="0.2">
      <c r="A193" t="s">
        <v>199</v>
      </c>
      <c r="B193" s="1">
        <v>45325</v>
      </c>
      <c r="C193" s="1">
        <v>45337</v>
      </c>
      <c r="D193" t="s">
        <v>12</v>
      </c>
      <c r="E193">
        <v>4</v>
      </c>
      <c r="G193" t="s">
        <v>401</v>
      </c>
      <c r="H193">
        <v>176370</v>
      </c>
      <c r="I193" t="s">
        <v>8</v>
      </c>
    </row>
    <row r="194" spans="1:9" x14ac:dyDescent="0.2">
      <c r="A194" t="s">
        <v>200</v>
      </c>
      <c r="B194" s="1">
        <v>45327</v>
      </c>
      <c r="C194" s="1">
        <v>45328</v>
      </c>
      <c r="D194" t="s">
        <v>404</v>
      </c>
      <c r="E194">
        <v>6</v>
      </c>
      <c r="G194" t="s">
        <v>402</v>
      </c>
      <c r="H194">
        <v>177340</v>
      </c>
      <c r="I194" t="s">
        <v>6</v>
      </c>
    </row>
    <row r="195" spans="1:9" x14ac:dyDescent="0.2">
      <c r="A195" t="s">
        <v>201</v>
      </c>
      <c r="B195" s="1">
        <v>45332</v>
      </c>
      <c r="D195" t="s">
        <v>10</v>
      </c>
      <c r="E195">
        <v>8</v>
      </c>
      <c r="G195" t="s">
        <v>402</v>
      </c>
      <c r="H195">
        <v>178310</v>
      </c>
      <c r="I195" t="s">
        <v>403</v>
      </c>
    </row>
    <row r="196" spans="1:9" x14ac:dyDescent="0.2">
      <c r="A196" t="s">
        <v>202</v>
      </c>
      <c r="B196" s="1">
        <v>45319</v>
      </c>
      <c r="C196" s="1">
        <v>45327</v>
      </c>
      <c r="D196" t="s">
        <v>7</v>
      </c>
      <c r="E196">
        <v>10</v>
      </c>
      <c r="G196" t="s">
        <v>401</v>
      </c>
      <c r="H196">
        <v>179280</v>
      </c>
      <c r="I196" t="s">
        <v>8</v>
      </c>
    </row>
    <row r="197" spans="1:9" x14ac:dyDescent="0.2">
      <c r="A197" t="s">
        <v>203</v>
      </c>
      <c r="B197" s="1">
        <v>45323</v>
      </c>
      <c r="C197" s="1">
        <v>45324</v>
      </c>
      <c r="D197" t="s">
        <v>5</v>
      </c>
      <c r="E197">
        <v>12</v>
      </c>
      <c r="G197" t="s">
        <v>402</v>
      </c>
      <c r="H197">
        <v>180250</v>
      </c>
      <c r="I197" t="s">
        <v>6</v>
      </c>
    </row>
    <row r="198" spans="1:9" x14ac:dyDescent="0.2">
      <c r="A198" t="s">
        <v>204</v>
      </c>
      <c r="B198" s="1">
        <v>45325</v>
      </c>
      <c r="C198" s="1">
        <v>45337</v>
      </c>
      <c r="D198" t="s">
        <v>12</v>
      </c>
      <c r="E198">
        <v>14</v>
      </c>
      <c r="G198" t="s">
        <v>401</v>
      </c>
      <c r="H198">
        <v>181220</v>
      </c>
      <c r="I198" t="s">
        <v>8</v>
      </c>
    </row>
    <row r="199" spans="1:9" x14ac:dyDescent="0.2">
      <c r="A199" t="s">
        <v>205</v>
      </c>
      <c r="B199" s="1">
        <v>45327</v>
      </c>
      <c r="C199" s="1">
        <v>45328</v>
      </c>
      <c r="D199" t="s">
        <v>404</v>
      </c>
      <c r="E199">
        <v>16</v>
      </c>
      <c r="G199" t="s">
        <v>402</v>
      </c>
      <c r="H199">
        <v>182190</v>
      </c>
      <c r="I199" t="s">
        <v>6</v>
      </c>
    </row>
    <row r="200" spans="1:9" x14ac:dyDescent="0.2">
      <c r="A200" t="s">
        <v>206</v>
      </c>
      <c r="B200" s="1">
        <v>45332</v>
      </c>
      <c r="D200" t="s">
        <v>10</v>
      </c>
      <c r="E200">
        <v>18</v>
      </c>
      <c r="G200" t="s">
        <v>402</v>
      </c>
      <c r="H200">
        <v>183160</v>
      </c>
      <c r="I200" t="s">
        <v>403</v>
      </c>
    </row>
    <row r="201" spans="1:9" x14ac:dyDescent="0.2">
      <c r="A201" t="s">
        <v>207</v>
      </c>
      <c r="B201" s="1">
        <v>45319</v>
      </c>
      <c r="C201" s="1">
        <v>45327</v>
      </c>
      <c r="D201" t="s">
        <v>7</v>
      </c>
      <c r="E201">
        <v>20</v>
      </c>
      <c r="G201" t="s">
        <v>401</v>
      </c>
      <c r="H201">
        <v>184130</v>
      </c>
      <c r="I201" t="s">
        <v>8</v>
      </c>
    </row>
    <row r="202" spans="1:9" x14ac:dyDescent="0.2">
      <c r="A202" t="s">
        <v>208</v>
      </c>
      <c r="B202" s="1">
        <v>45323</v>
      </c>
      <c r="C202" s="1">
        <v>45324</v>
      </c>
      <c r="D202" t="s">
        <v>5</v>
      </c>
      <c r="E202">
        <v>22</v>
      </c>
      <c r="G202" t="s">
        <v>402</v>
      </c>
      <c r="H202">
        <v>185100</v>
      </c>
      <c r="I202" t="s">
        <v>6</v>
      </c>
    </row>
    <row r="203" spans="1:9" x14ac:dyDescent="0.2">
      <c r="A203" t="s">
        <v>209</v>
      </c>
      <c r="B203" s="1">
        <v>45325</v>
      </c>
      <c r="C203" s="1">
        <v>45337</v>
      </c>
      <c r="D203" t="s">
        <v>12</v>
      </c>
      <c r="E203">
        <v>24</v>
      </c>
      <c r="G203" t="s">
        <v>401</v>
      </c>
      <c r="H203">
        <v>186070</v>
      </c>
      <c r="I203" t="s">
        <v>8</v>
      </c>
    </row>
    <row r="204" spans="1:9" x14ac:dyDescent="0.2">
      <c r="A204" t="s">
        <v>210</v>
      </c>
      <c r="B204" s="1">
        <v>45327</v>
      </c>
      <c r="C204" s="1">
        <v>45328</v>
      </c>
      <c r="D204" t="s">
        <v>404</v>
      </c>
      <c r="E204">
        <v>26</v>
      </c>
      <c r="G204" t="s">
        <v>402</v>
      </c>
      <c r="H204">
        <v>187040</v>
      </c>
      <c r="I204" t="s">
        <v>6</v>
      </c>
    </row>
    <row r="205" spans="1:9" x14ac:dyDescent="0.2">
      <c r="A205" t="s">
        <v>211</v>
      </c>
      <c r="B205" s="1">
        <v>45332</v>
      </c>
      <c r="D205" t="s">
        <v>10</v>
      </c>
      <c r="E205">
        <v>28</v>
      </c>
      <c r="G205" t="s">
        <v>402</v>
      </c>
      <c r="H205">
        <v>188010</v>
      </c>
      <c r="I205" t="s">
        <v>403</v>
      </c>
    </row>
    <row r="206" spans="1:9" x14ac:dyDescent="0.2">
      <c r="A206" t="s">
        <v>14</v>
      </c>
      <c r="B206" s="1">
        <v>45292</v>
      </c>
      <c r="C206" s="1">
        <v>45322</v>
      </c>
      <c r="D206" t="s">
        <v>504</v>
      </c>
      <c r="E206">
        <v>67</v>
      </c>
      <c r="G206" t="s">
        <v>401</v>
      </c>
      <c r="H206">
        <v>8500</v>
      </c>
      <c r="I206" t="s">
        <v>6</v>
      </c>
    </row>
    <row r="207" spans="1:9" x14ac:dyDescent="0.2">
      <c r="A207" t="s">
        <v>15</v>
      </c>
      <c r="B207" s="1">
        <v>45293</v>
      </c>
      <c r="C207" s="1">
        <v>45294</v>
      </c>
      <c r="D207" t="s">
        <v>505</v>
      </c>
      <c r="E207">
        <v>22</v>
      </c>
      <c r="G207" t="s">
        <v>402</v>
      </c>
      <c r="H207">
        <v>900</v>
      </c>
      <c r="I207" t="s">
        <v>6</v>
      </c>
    </row>
    <row r="208" spans="1:9" x14ac:dyDescent="0.2">
      <c r="A208" t="s">
        <v>16</v>
      </c>
      <c r="B208" s="1">
        <v>45296</v>
      </c>
      <c r="C208" s="1">
        <v>45311</v>
      </c>
      <c r="D208" t="s">
        <v>10</v>
      </c>
      <c r="E208">
        <v>54</v>
      </c>
      <c r="G208" t="s">
        <v>402</v>
      </c>
      <c r="H208">
        <v>15000</v>
      </c>
      <c r="I208" t="s">
        <v>8</v>
      </c>
    </row>
    <row r="209" spans="1:9" x14ac:dyDescent="0.2">
      <c r="A209" t="s">
        <v>17</v>
      </c>
      <c r="B209" s="1">
        <v>45301</v>
      </c>
      <c r="C209" s="1">
        <v>45303</v>
      </c>
      <c r="D209" t="s">
        <v>11</v>
      </c>
      <c r="E209">
        <v>8</v>
      </c>
      <c r="G209" t="s">
        <v>401</v>
      </c>
      <c r="H209">
        <v>250000</v>
      </c>
      <c r="I209" t="s">
        <v>8</v>
      </c>
    </row>
    <row r="210" spans="1:9" x14ac:dyDescent="0.2">
      <c r="A210" t="s">
        <v>18</v>
      </c>
      <c r="B210" s="1">
        <v>45303</v>
      </c>
      <c r="C210">
        <v>45305</v>
      </c>
      <c r="D210" t="s">
        <v>505</v>
      </c>
      <c r="E210">
        <v>31</v>
      </c>
      <c r="G210" t="s">
        <v>401</v>
      </c>
      <c r="H210">
        <v>1100</v>
      </c>
      <c r="I210" t="s">
        <v>6</v>
      </c>
    </row>
    <row r="211" spans="1:9" x14ac:dyDescent="0.2">
      <c r="A211" t="s">
        <v>19</v>
      </c>
      <c r="B211" s="1">
        <v>45306</v>
      </c>
      <c r="C211" s="1">
        <v>45313</v>
      </c>
      <c r="D211" t="s">
        <v>7</v>
      </c>
      <c r="E211">
        <v>72</v>
      </c>
      <c r="G211" t="s">
        <v>402</v>
      </c>
      <c r="H211">
        <v>9200</v>
      </c>
      <c r="I211" t="s">
        <v>8</v>
      </c>
    </row>
    <row r="212" spans="1:9" x14ac:dyDescent="0.2">
      <c r="A212" t="s">
        <v>20</v>
      </c>
      <c r="B212" s="1">
        <v>45309</v>
      </c>
      <c r="C212" s="1"/>
      <c r="D212" t="s">
        <v>12</v>
      </c>
      <c r="E212">
        <v>41</v>
      </c>
      <c r="G212" t="s">
        <v>401</v>
      </c>
      <c r="H212">
        <v>4500</v>
      </c>
      <c r="I212" t="s">
        <v>403</v>
      </c>
    </row>
    <row r="213" spans="1:9" x14ac:dyDescent="0.2">
      <c r="A213" t="s">
        <v>21</v>
      </c>
      <c r="B213" s="1">
        <v>45311</v>
      </c>
      <c r="C213" s="1">
        <v>45321</v>
      </c>
      <c r="D213" t="s">
        <v>13</v>
      </c>
      <c r="E213">
        <v>61</v>
      </c>
      <c r="G213" t="s">
        <v>402</v>
      </c>
      <c r="H213">
        <v>14000</v>
      </c>
      <c r="I213" t="s">
        <v>6</v>
      </c>
    </row>
    <row r="214" spans="1:9" x14ac:dyDescent="0.2">
      <c r="A214" t="s">
        <v>22</v>
      </c>
      <c r="B214" s="1">
        <v>45313</v>
      </c>
      <c r="C214" s="1">
        <v>45314</v>
      </c>
      <c r="D214" t="s">
        <v>5</v>
      </c>
      <c r="E214">
        <v>19</v>
      </c>
      <c r="G214" t="s">
        <v>401</v>
      </c>
      <c r="H214">
        <v>850</v>
      </c>
      <c r="I214" t="s">
        <v>6</v>
      </c>
    </row>
    <row r="215" spans="1:9" x14ac:dyDescent="0.2">
      <c r="A215" t="s">
        <v>23</v>
      </c>
      <c r="B215" s="1">
        <v>45316</v>
      </c>
      <c r="C215">
        <v>45319</v>
      </c>
      <c r="D215" t="s">
        <v>11</v>
      </c>
      <c r="E215">
        <v>4</v>
      </c>
      <c r="G215" t="s">
        <v>402</v>
      </c>
      <c r="H215">
        <v>180000</v>
      </c>
      <c r="I215" t="s">
        <v>6</v>
      </c>
    </row>
    <row r="216" spans="1:9" x14ac:dyDescent="0.2">
      <c r="A216" t="s">
        <v>24</v>
      </c>
      <c r="B216" s="1">
        <v>45319</v>
      </c>
      <c r="C216" s="1">
        <v>45327</v>
      </c>
      <c r="D216" t="s">
        <v>504</v>
      </c>
      <c r="E216">
        <v>55</v>
      </c>
      <c r="G216" t="s">
        <v>401</v>
      </c>
      <c r="H216">
        <v>7600</v>
      </c>
      <c r="I216" t="s">
        <v>8</v>
      </c>
    </row>
    <row r="217" spans="1:9" x14ac:dyDescent="0.2">
      <c r="A217" t="s">
        <v>212</v>
      </c>
      <c r="B217" s="1">
        <v>45323</v>
      </c>
      <c r="C217" s="1">
        <v>45324</v>
      </c>
      <c r="D217" t="s">
        <v>505</v>
      </c>
      <c r="E217">
        <v>52</v>
      </c>
      <c r="G217" t="s">
        <v>402</v>
      </c>
      <c r="H217">
        <v>199650</v>
      </c>
      <c r="I217" t="s">
        <v>6</v>
      </c>
    </row>
    <row r="218" spans="1:9" x14ac:dyDescent="0.2">
      <c r="A218" t="s">
        <v>213</v>
      </c>
      <c r="B218" s="1">
        <v>45325</v>
      </c>
      <c r="C218" s="1">
        <v>45337</v>
      </c>
      <c r="D218" t="s">
        <v>12</v>
      </c>
      <c r="E218">
        <v>54</v>
      </c>
      <c r="G218" t="s">
        <v>401</v>
      </c>
      <c r="H218">
        <v>200620</v>
      </c>
      <c r="I218" t="s">
        <v>8</v>
      </c>
    </row>
    <row r="219" spans="1:9" x14ac:dyDescent="0.2">
      <c r="A219" t="s">
        <v>214</v>
      </c>
      <c r="B219" s="1">
        <v>45327</v>
      </c>
      <c r="C219" s="1">
        <v>45328</v>
      </c>
      <c r="D219" t="s">
        <v>404</v>
      </c>
      <c r="E219">
        <v>56</v>
      </c>
      <c r="G219" t="s">
        <v>402</v>
      </c>
      <c r="H219">
        <v>201590</v>
      </c>
      <c r="I219" t="s">
        <v>6</v>
      </c>
    </row>
    <row r="220" spans="1:9" x14ac:dyDescent="0.2">
      <c r="A220" t="s">
        <v>215</v>
      </c>
      <c r="B220" s="1">
        <v>45332</v>
      </c>
      <c r="D220" t="s">
        <v>10</v>
      </c>
      <c r="E220">
        <v>58</v>
      </c>
      <c r="G220" t="s">
        <v>402</v>
      </c>
      <c r="H220">
        <v>202560</v>
      </c>
      <c r="I220" t="s">
        <v>403</v>
      </c>
    </row>
    <row r="221" spans="1:9" x14ac:dyDescent="0.2">
      <c r="A221" t="s">
        <v>216</v>
      </c>
      <c r="B221" s="1">
        <v>45319</v>
      </c>
      <c r="C221" s="1">
        <v>45327</v>
      </c>
      <c r="D221" t="s">
        <v>7</v>
      </c>
      <c r="E221">
        <v>60</v>
      </c>
      <c r="G221" t="s">
        <v>401</v>
      </c>
      <c r="H221">
        <v>203530</v>
      </c>
      <c r="I221" t="s">
        <v>8</v>
      </c>
    </row>
    <row r="222" spans="1:9" x14ac:dyDescent="0.2">
      <c r="A222" t="s">
        <v>217</v>
      </c>
      <c r="B222" s="1">
        <v>45323</v>
      </c>
      <c r="C222" s="1">
        <v>45324</v>
      </c>
      <c r="D222" t="s">
        <v>5</v>
      </c>
      <c r="E222">
        <v>62</v>
      </c>
      <c r="G222" t="s">
        <v>402</v>
      </c>
      <c r="H222">
        <v>204500</v>
      </c>
      <c r="I222" t="s">
        <v>6</v>
      </c>
    </row>
    <row r="223" spans="1:9" x14ac:dyDescent="0.2">
      <c r="A223" t="s">
        <v>218</v>
      </c>
      <c r="B223" s="1">
        <v>45325</v>
      </c>
      <c r="C223" s="1">
        <v>45337</v>
      </c>
      <c r="D223" t="s">
        <v>12</v>
      </c>
      <c r="E223">
        <v>64</v>
      </c>
      <c r="G223" t="s">
        <v>401</v>
      </c>
      <c r="H223">
        <v>205470</v>
      </c>
      <c r="I223" t="s">
        <v>8</v>
      </c>
    </row>
    <row r="224" spans="1:9" x14ac:dyDescent="0.2">
      <c r="A224" t="s">
        <v>219</v>
      </c>
      <c r="B224" s="1">
        <v>45327</v>
      </c>
      <c r="C224" s="1">
        <v>45328</v>
      </c>
      <c r="D224" t="s">
        <v>404</v>
      </c>
      <c r="E224">
        <v>66</v>
      </c>
      <c r="G224" t="s">
        <v>402</v>
      </c>
      <c r="H224">
        <v>206440</v>
      </c>
      <c r="I224" t="s">
        <v>6</v>
      </c>
    </row>
    <row r="225" spans="1:9" x14ac:dyDescent="0.2">
      <c r="A225" t="s">
        <v>220</v>
      </c>
      <c r="B225" s="1">
        <v>45332</v>
      </c>
      <c r="D225" t="s">
        <v>10</v>
      </c>
      <c r="E225">
        <v>68</v>
      </c>
      <c r="G225" t="s">
        <v>402</v>
      </c>
      <c r="H225">
        <v>207410</v>
      </c>
      <c r="I225" t="s">
        <v>403</v>
      </c>
    </row>
    <row r="226" spans="1:9" x14ac:dyDescent="0.2">
      <c r="A226" t="s">
        <v>221</v>
      </c>
      <c r="B226" s="1">
        <v>45319</v>
      </c>
      <c r="C226" s="1">
        <v>45327</v>
      </c>
      <c r="D226" t="s">
        <v>7</v>
      </c>
      <c r="E226">
        <v>70</v>
      </c>
      <c r="G226" t="s">
        <v>401</v>
      </c>
      <c r="H226">
        <v>208380</v>
      </c>
      <c r="I226" t="s">
        <v>8</v>
      </c>
    </row>
    <row r="227" spans="1:9" x14ac:dyDescent="0.2">
      <c r="A227" t="s">
        <v>222</v>
      </c>
      <c r="B227" s="1">
        <v>45323</v>
      </c>
      <c r="C227" s="1">
        <v>45324</v>
      </c>
      <c r="D227" t="s">
        <v>5</v>
      </c>
      <c r="E227">
        <v>72</v>
      </c>
      <c r="G227" t="s">
        <v>402</v>
      </c>
      <c r="H227">
        <v>209350</v>
      </c>
      <c r="I227" t="s">
        <v>6</v>
      </c>
    </row>
    <row r="228" spans="1:9" x14ac:dyDescent="0.2">
      <c r="A228" t="s">
        <v>223</v>
      </c>
      <c r="B228" s="1">
        <v>45325</v>
      </c>
      <c r="C228" s="1">
        <v>45337</v>
      </c>
      <c r="D228" t="s">
        <v>12</v>
      </c>
      <c r="E228">
        <v>74</v>
      </c>
      <c r="G228" t="s">
        <v>401</v>
      </c>
      <c r="H228">
        <v>210320</v>
      </c>
      <c r="I228" t="s">
        <v>8</v>
      </c>
    </row>
    <row r="229" spans="1:9" x14ac:dyDescent="0.2">
      <c r="A229" t="s">
        <v>224</v>
      </c>
      <c r="B229" s="1">
        <v>45327</v>
      </c>
      <c r="C229" s="1">
        <v>45328</v>
      </c>
      <c r="D229" t="s">
        <v>404</v>
      </c>
      <c r="E229">
        <v>76</v>
      </c>
      <c r="G229" t="s">
        <v>402</v>
      </c>
      <c r="H229">
        <v>211290</v>
      </c>
      <c r="I229" t="s">
        <v>6</v>
      </c>
    </row>
    <row r="230" spans="1:9" x14ac:dyDescent="0.2">
      <c r="A230" t="s">
        <v>225</v>
      </c>
      <c r="B230" s="1">
        <v>45332</v>
      </c>
      <c r="D230" t="s">
        <v>10</v>
      </c>
      <c r="E230">
        <v>78</v>
      </c>
      <c r="G230" t="s">
        <v>402</v>
      </c>
      <c r="H230">
        <v>212260</v>
      </c>
      <c r="I230" t="s">
        <v>403</v>
      </c>
    </row>
    <row r="231" spans="1:9" x14ac:dyDescent="0.2">
      <c r="A231" t="s">
        <v>226</v>
      </c>
      <c r="B231" s="1">
        <v>45319</v>
      </c>
      <c r="C231" s="1">
        <v>45327</v>
      </c>
      <c r="D231" t="s">
        <v>7</v>
      </c>
      <c r="E231">
        <v>80</v>
      </c>
      <c r="G231" t="s">
        <v>401</v>
      </c>
      <c r="H231">
        <v>213230</v>
      </c>
      <c r="I231" t="s">
        <v>8</v>
      </c>
    </row>
    <row r="232" spans="1:9" x14ac:dyDescent="0.2">
      <c r="A232" t="s">
        <v>227</v>
      </c>
      <c r="B232" s="1">
        <v>45323</v>
      </c>
      <c r="C232" s="1">
        <v>45324</v>
      </c>
      <c r="D232" t="s">
        <v>5</v>
      </c>
      <c r="E232">
        <v>82</v>
      </c>
      <c r="G232" t="s">
        <v>402</v>
      </c>
      <c r="H232">
        <v>214200</v>
      </c>
      <c r="I232" t="s">
        <v>6</v>
      </c>
    </row>
    <row r="233" spans="1:9" x14ac:dyDescent="0.2">
      <c r="A233" t="s">
        <v>228</v>
      </c>
      <c r="B233" s="1">
        <v>45325</v>
      </c>
      <c r="C233" s="1">
        <v>45337</v>
      </c>
      <c r="D233" t="s">
        <v>12</v>
      </c>
      <c r="E233">
        <v>84</v>
      </c>
      <c r="G233" t="s">
        <v>401</v>
      </c>
      <c r="H233">
        <v>215170</v>
      </c>
      <c r="I233" t="s">
        <v>8</v>
      </c>
    </row>
    <row r="234" spans="1:9" x14ac:dyDescent="0.2">
      <c r="A234" t="s">
        <v>229</v>
      </c>
      <c r="B234" s="1">
        <v>45327</v>
      </c>
      <c r="C234" s="1">
        <v>45328</v>
      </c>
      <c r="D234" t="s">
        <v>404</v>
      </c>
      <c r="E234">
        <v>86</v>
      </c>
      <c r="G234" t="s">
        <v>402</v>
      </c>
      <c r="H234">
        <v>216140</v>
      </c>
      <c r="I234" t="s">
        <v>6</v>
      </c>
    </row>
    <row r="235" spans="1:9" x14ac:dyDescent="0.2">
      <c r="A235" t="s">
        <v>230</v>
      </c>
      <c r="B235" s="1">
        <v>45332</v>
      </c>
      <c r="D235" t="s">
        <v>10</v>
      </c>
      <c r="E235">
        <v>88</v>
      </c>
      <c r="G235" t="s">
        <v>402</v>
      </c>
      <c r="H235">
        <v>217110</v>
      </c>
      <c r="I235" t="s">
        <v>403</v>
      </c>
    </row>
    <row r="236" spans="1:9" x14ac:dyDescent="0.2">
      <c r="A236" t="s">
        <v>231</v>
      </c>
      <c r="B236" s="1">
        <v>45319</v>
      </c>
      <c r="C236" s="1">
        <v>45327</v>
      </c>
      <c r="D236" t="s">
        <v>7</v>
      </c>
      <c r="E236">
        <v>90</v>
      </c>
      <c r="G236" t="s">
        <v>401</v>
      </c>
      <c r="H236">
        <v>218080</v>
      </c>
      <c r="I236" t="s">
        <v>8</v>
      </c>
    </row>
    <row r="237" spans="1:9" x14ac:dyDescent="0.2">
      <c r="A237" t="s">
        <v>232</v>
      </c>
      <c r="B237" s="1">
        <v>45323</v>
      </c>
      <c r="C237" s="1">
        <v>45324</v>
      </c>
      <c r="D237" t="s">
        <v>5</v>
      </c>
      <c r="E237">
        <v>92</v>
      </c>
      <c r="G237" t="s">
        <v>402</v>
      </c>
      <c r="H237">
        <v>219050</v>
      </c>
      <c r="I237" t="s">
        <v>6</v>
      </c>
    </row>
    <row r="238" spans="1:9" x14ac:dyDescent="0.2">
      <c r="A238" t="s">
        <v>233</v>
      </c>
      <c r="B238" s="1">
        <v>45325</v>
      </c>
      <c r="C238" s="1">
        <v>45337</v>
      </c>
      <c r="D238" t="s">
        <v>12</v>
      </c>
      <c r="E238">
        <v>94</v>
      </c>
      <c r="G238" t="s">
        <v>401</v>
      </c>
      <c r="H238">
        <v>220020</v>
      </c>
      <c r="I238" t="s">
        <v>8</v>
      </c>
    </row>
    <row r="239" spans="1:9" x14ac:dyDescent="0.2">
      <c r="A239" t="s">
        <v>184</v>
      </c>
      <c r="B239" s="1">
        <v>45327</v>
      </c>
      <c r="C239" s="1">
        <v>45328</v>
      </c>
      <c r="D239" t="s">
        <v>404</v>
      </c>
      <c r="E239">
        <v>74</v>
      </c>
      <c r="G239" t="s">
        <v>402</v>
      </c>
      <c r="H239">
        <v>220990</v>
      </c>
      <c r="I239" t="s">
        <v>6</v>
      </c>
    </row>
    <row r="240" spans="1:9" x14ac:dyDescent="0.2">
      <c r="A240" t="s">
        <v>234</v>
      </c>
      <c r="B240" s="1">
        <v>45332</v>
      </c>
      <c r="D240" t="s">
        <v>10</v>
      </c>
      <c r="E240">
        <v>98</v>
      </c>
      <c r="G240" t="s">
        <v>402</v>
      </c>
      <c r="H240">
        <v>221960</v>
      </c>
      <c r="I240" t="s">
        <v>403</v>
      </c>
    </row>
    <row r="241" spans="1:9" x14ac:dyDescent="0.2">
      <c r="A241" t="s">
        <v>235</v>
      </c>
      <c r="B241" s="1">
        <v>45319</v>
      </c>
      <c r="C241" s="1">
        <v>45327</v>
      </c>
      <c r="D241" t="s">
        <v>7</v>
      </c>
      <c r="E241">
        <v>100</v>
      </c>
      <c r="G241" t="s">
        <v>401</v>
      </c>
      <c r="H241">
        <v>222930</v>
      </c>
      <c r="I241" t="s">
        <v>8</v>
      </c>
    </row>
    <row r="242" spans="1:9" x14ac:dyDescent="0.2">
      <c r="A242" t="s">
        <v>236</v>
      </c>
      <c r="B242" s="1">
        <v>45323</v>
      </c>
      <c r="C242" s="1">
        <v>45324</v>
      </c>
      <c r="D242" t="s">
        <v>5</v>
      </c>
      <c r="E242">
        <v>2</v>
      </c>
      <c r="G242" t="s">
        <v>402</v>
      </c>
      <c r="H242">
        <v>223900</v>
      </c>
      <c r="I242" t="s">
        <v>6</v>
      </c>
    </row>
    <row r="243" spans="1:9" x14ac:dyDescent="0.2">
      <c r="A243" t="s">
        <v>237</v>
      </c>
      <c r="B243" s="1">
        <v>45325</v>
      </c>
      <c r="C243" s="1">
        <v>45337</v>
      </c>
      <c r="D243" t="s">
        <v>12</v>
      </c>
      <c r="E243">
        <v>4</v>
      </c>
      <c r="G243" t="s">
        <v>401</v>
      </c>
      <c r="H243">
        <v>224870</v>
      </c>
      <c r="I243" t="s">
        <v>8</v>
      </c>
    </row>
    <row r="244" spans="1:9" x14ac:dyDescent="0.2">
      <c r="A244" t="s">
        <v>238</v>
      </c>
      <c r="B244" s="1">
        <v>45327</v>
      </c>
      <c r="C244" s="1">
        <v>45328</v>
      </c>
      <c r="D244" t="s">
        <v>404</v>
      </c>
      <c r="E244">
        <v>6</v>
      </c>
      <c r="G244" t="s">
        <v>402</v>
      </c>
      <c r="H244">
        <v>225840</v>
      </c>
      <c r="I244" t="s">
        <v>6</v>
      </c>
    </row>
    <row r="245" spans="1:9" x14ac:dyDescent="0.2">
      <c r="A245" t="s">
        <v>239</v>
      </c>
      <c r="B245" s="1">
        <v>45332</v>
      </c>
      <c r="D245" t="s">
        <v>10</v>
      </c>
      <c r="E245">
        <v>8</v>
      </c>
      <c r="G245" t="s">
        <v>402</v>
      </c>
      <c r="H245">
        <v>226810</v>
      </c>
      <c r="I245" t="s">
        <v>403</v>
      </c>
    </row>
    <row r="246" spans="1:9" x14ac:dyDescent="0.2">
      <c r="A246" t="s">
        <v>240</v>
      </c>
      <c r="B246" s="1">
        <v>45319</v>
      </c>
      <c r="C246" s="1">
        <v>45327</v>
      </c>
      <c r="D246" t="s">
        <v>7</v>
      </c>
      <c r="E246">
        <v>10</v>
      </c>
      <c r="G246" t="s">
        <v>401</v>
      </c>
      <c r="H246">
        <v>227780</v>
      </c>
      <c r="I246" t="s">
        <v>8</v>
      </c>
    </row>
    <row r="247" spans="1:9" x14ac:dyDescent="0.2">
      <c r="A247" t="s">
        <v>241</v>
      </c>
      <c r="B247" s="1">
        <v>45323</v>
      </c>
      <c r="C247" s="1">
        <v>45324</v>
      </c>
      <c r="D247" t="s">
        <v>5</v>
      </c>
      <c r="E247">
        <v>12</v>
      </c>
      <c r="G247" t="s">
        <v>402</v>
      </c>
      <c r="H247">
        <v>228750</v>
      </c>
      <c r="I247" t="s">
        <v>6</v>
      </c>
    </row>
    <row r="248" spans="1:9" x14ac:dyDescent="0.2">
      <c r="A248" t="s">
        <v>242</v>
      </c>
      <c r="B248" s="1">
        <v>45325</v>
      </c>
      <c r="C248" s="1">
        <v>45337</v>
      </c>
      <c r="D248" t="s">
        <v>12</v>
      </c>
      <c r="E248">
        <v>14</v>
      </c>
      <c r="G248" t="s">
        <v>401</v>
      </c>
      <c r="H248">
        <v>229720</v>
      </c>
      <c r="I248" t="s">
        <v>8</v>
      </c>
    </row>
    <row r="249" spans="1:9" x14ac:dyDescent="0.2">
      <c r="A249" t="s">
        <v>243</v>
      </c>
      <c r="B249" s="1">
        <v>45327</v>
      </c>
      <c r="C249" s="1">
        <v>45328</v>
      </c>
      <c r="D249" t="s">
        <v>404</v>
      </c>
      <c r="E249">
        <v>16</v>
      </c>
      <c r="G249" t="s">
        <v>402</v>
      </c>
      <c r="H249">
        <v>230690</v>
      </c>
      <c r="I249" t="s">
        <v>6</v>
      </c>
    </row>
    <row r="250" spans="1:9" x14ac:dyDescent="0.2">
      <c r="A250" t="s">
        <v>244</v>
      </c>
      <c r="B250" s="1">
        <v>45332</v>
      </c>
      <c r="D250" t="s">
        <v>10</v>
      </c>
      <c r="E250">
        <v>18</v>
      </c>
      <c r="G250" t="s">
        <v>402</v>
      </c>
      <c r="H250">
        <v>231660</v>
      </c>
      <c r="I250" t="s">
        <v>403</v>
      </c>
    </row>
    <row r="251" spans="1:9" x14ac:dyDescent="0.2">
      <c r="A251" t="s">
        <v>245</v>
      </c>
      <c r="B251" s="1">
        <v>45319</v>
      </c>
      <c r="C251" s="1">
        <v>45327</v>
      </c>
      <c r="D251" t="s">
        <v>7</v>
      </c>
      <c r="E251">
        <v>20</v>
      </c>
      <c r="G251" t="s">
        <v>401</v>
      </c>
      <c r="H251">
        <v>232630</v>
      </c>
      <c r="I251" t="s">
        <v>8</v>
      </c>
    </row>
    <row r="252" spans="1:9" x14ac:dyDescent="0.2">
      <c r="A252" t="s">
        <v>246</v>
      </c>
      <c r="B252" s="1">
        <v>45323</v>
      </c>
      <c r="C252" s="1">
        <v>45324</v>
      </c>
      <c r="D252" t="s">
        <v>5</v>
      </c>
      <c r="E252">
        <v>22</v>
      </c>
      <c r="G252" t="s">
        <v>402</v>
      </c>
      <c r="H252">
        <v>233600</v>
      </c>
      <c r="I252" t="s">
        <v>6</v>
      </c>
    </row>
    <row r="253" spans="1:9" x14ac:dyDescent="0.2">
      <c r="A253" t="s">
        <v>247</v>
      </c>
      <c r="B253" s="1">
        <v>45325</v>
      </c>
      <c r="C253" s="1">
        <v>45337</v>
      </c>
      <c r="D253" t="s">
        <v>12</v>
      </c>
      <c r="E253">
        <v>24</v>
      </c>
      <c r="G253" t="s">
        <v>401</v>
      </c>
      <c r="H253">
        <v>234570</v>
      </c>
      <c r="I253" t="s">
        <v>8</v>
      </c>
    </row>
    <row r="254" spans="1:9" x14ac:dyDescent="0.2">
      <c r="A254" t="s">
        <v>248</v>
      </c>
      <c r="B254" s="1">
        <v>45327</v>
      </c>
      <c r="C254" s="1">
        <v>45328</v>
      </c>
      <c r="D254" t="s">
        <v>404</v>
      </c>
      <c r="E254">
        <v>26</v>
      </c>
      <c r="G254" t="s">
        <v>402</v>
      </c>
      <c r="H254">
        <v>235540</v>
      </c>
      <c r="I254" t="s">
        <v>6</v>
      </c>
    </row>
    <row r="255" spans="1:9" x14ac:dyDescent="0.2">
      <c r="A255" t="s">
        <v>249</v>
      </c>
      <c r="B255" s="1">
        <v>45332</v>
      </c>
      <c r="D255" t="s">
        <v>10</v>
      </c>
      <c r="E255">
        <v>28</v>
      </c>
      <c r="G255" t="s">
        <v>402</v>
      </c>
      <c r="H255">
        <v>236510</v>
      </c>
      <c r="I255" t="s">
        <v>403</v>
      </c>
    </row>
    <row r="256" spans="1:9" x14ac:dyDescent="0.2">
      <c r="A256" t="s">
        <v>250</v>
      </c>
      <c r="B256" s="1">
        <v>45319</v>
      </c>
      <c r="C256" s="1">
        <v>45327</v>
      </c>
      <c r="D256" t="s">
        <v>7</v>
      </c>
      <c r="E256">
        <v>30</v>
      </c>
      <c r="G256" t="s">
        <v>401</v>
      </c>
      <c r="H256">
        <v>237480</v>
      </c>
      <c r="I256" t="s">
        <v>8</v>
      </c>
    </row>
    <row r="257" spans="1:9" x14ac:dyDescent="0.2">
      <c r="A257" t="s">
        <v>251</v>
      </c>
      <c r="B257" s="1">
        <v>45323</v>
      </c>
      <c r="C257" s="1">
        <v>45324</v>
      </c>
      <c r="D257" t="s">
        <v>5</v>
      </c>
      <c r="E257">
        <v>32</v>
      </c>
      <c r="G257" t="s">
        <v>402</v>
      </c>
      <c r="H257">
        <v>238450</v>
      </c>
      <c r="I257" t="s">
        <v>6</v>
      </c>
    </row>
    <row r="258" spans="1:9" x14ac:dyDescent="0.2">
      <c r="A258" t="s">
        <v>252</v>
      </c>
      <c r="B258" s="1">
        <v>45325</v>
      </c>
      <c r="C258" s="1">
        <v>45337</v>
      </c>
      <c r="D258" t="s">
        <v>12</v>
      </c>
      <c r="E258">
        <v>34</v>
      </c>
      <c r="G258" t="s">
        <v>401</v>
      </c>
      <c r="H258">
        <v>239420</v>
      </c>
      <c r="I258" t="s">
        <v>8</v>
      </c>
    </row>
    <row r="259" spans="1:9" x14ac:dyDescent="0.2">
      <c r="A259" t="s">
        <v>253</v>
      </c>
      <c r="B259" s="1">
        <v>45327</v>
      </c>
      <c r="C259" s="1">
        <v>45328</v>
      </c>
      <c r="D259" t="s">
        <v>404</v>
      </c>
      <c r="E259">
        <v>36</v>
      </c>
      <c r="G259" t="s">
        <v>402</v>
      </c>
      <c r="H259">
        <v>240390</v>
      </c>
      <c r="I259" t="s">
        <v>6</v>
      </c>
    </row>
    <row r="260" spans="1:9" x14ac:dyDescent="0.2">
      <c r="A260" t="s">
        <v>254</v>
      </c>
      <c r="B260" s="1">
        <v>45332</v>
      </c>
      <c r="D260" t="s">
        <v>10</v>
      </c>
      <c r="E260">
        <v>38</v>
      </c>
      <c r="G260" t="s">
        <v>402</v>
      </c>
      <c r="H260">
        <v>241360</v>
      </c>
      <c r="I260" t="s">
        <v>403</v>
      </c>
    </row>
    <row r="261" spans="1:9" x14ac:dyDescent="0.2">
      <c r="A261" t="s">
        <v>255</v>
      </c>
      <c r="B261" s="1">
        <v>45319</v>
      </c>
      <c r="C261" s="1">
        <v>45327</v>
      </c>
      <c r="D261" t="s">
        <v>7</v>
      </c>
      <c r="E261">
        <v>40</v>
      </c>
      <c r="G261" t="s">
        <v>401</v>
      </c>
      <c r="H261">
        <v>242330</v>
      </c>
      <c r="I261" t="s">
        <v>8</v>
      </c>
    </row>
    <row r="262" spans="1:9" x14ac:dyDescent="0.2">
      <c r="A262" t="s">
        <v>256</v>
      </c>
      <c r="B262" s="1">
        <v>45323</v>
      </c>
      <c r="C262" s="1">
        <v>45324</v>
      </c>
      <c r="D262" t="s">
        <v>5</v>
      </c>
      <c r="E262">
        <v>42</v>
      </c>
      <c r="G262" t="s">
        <v>402</v>
      </c>
      <c r="H262">
        <v>243300</v>
      </c>
      <c r="I262" t="s">
        <v>6</v>
      </c>
    </row>
    <row r="263" spans="1:9" x14ac:dyDescent="0.2">
      <c r="A263" t="s">
        <v>257</v>
      </c>
      <c r="B263" s="1">
        <v>45325</v>
      </c>
      <c r="C263" s="1">
        <v>45337</v>
      </c>
      <c r="D263" t="s">
        <v>12</v>
      </c>
      <c r="E263">
        <v>44</v>
      </c>
      <c r="G263" t="s">
        <v>401</v>
      </c>
      <c r="H263">
        <v>244270</v>
      </c>
      <c r="I263" t="s">
        <v>8</v>
      </c>
    </row>
    <row r="264" spans="1:9" x14ac:dyDescent="0.2">
      <c r="A264" t="s">
        <v>258</v>
      </c>
      <c r="B264" s="1">
        <v>45327</v>
      </c>
      <c r="C264" s="1">
        <v>45328</v>
      </c>
      <c r="D264" t="s">
        <v>404</v>
      </c>
      <c r="E264">
        <v>46</v>
      </c>
      <c r="G264" t="s">
        <v>402</v>
      </c>
      <c r="H264">
        <v>245240</v>
      </c>
      <c r="I264" t="s">
        <v>6</v>
      </c>
    </row>
    <row r="265" spans="1:9" x14ac:dyDescent="0.2">
      <c r="A265" t="s">
        <v>259</v>
      </c>
      <c r="B265" s="1">
        <v>45332</v>
      </c>
      <c r="D265" t="s">
        <v>10</v>
      </c>
      <c r="E265">
        <v>48</v>
      </c>
      <c r="G265" t="s">
        <v>402</v>
      </c>
      <c r="H265">
        <v>246210</v>
      </c>
      <c r="I265" t="s">
        <v>403</v>
      </c>
    </row>
    <row r="266" spans="1:9" x14ac:dyDescent="0.2">
      <c r="A266" t="s">
        <v>260</v>
      </c>
      <c r="B266" s="1">
        <v>45319</v>
      </c>
      <c r="C266" s="1">
        <v>45327</v>
      </c>
      <c r="D266" t="s">
        <v>7</v>
      </c>
      <c r="E266">
        <v>50</v>
      </c>
      <c r="G266" t="s">
        <v>401</v>
      </c>
      <c r="H266">
        <v>247180</v>
      </c>
      <c r="I266" t="s">
        <v>8</v>
      </c>
    </row>
    <row r="267" spans="1:9" x14ac:dyDescent="0.2">
      <c r="A267" t="s">
        <v>261</v>
      </c>
      <c r="B267" s="1">
        <v>45323</v>
      </c>
      <c r="C267" s="1">
        <v>45324</v>
      </c>
      <c r="D267" t="s">
        <v>5</v>
      </c>
      <c r="E267">
        <v>52</v>
      </c>
      <c r="G267" t="s">
        <v>402</v>
      </c>
      <c r="H267">
        <v>248150</v>
      </c>
      <c r="I267" t="s">
        <v>6</v>
      </c>
    </row>
    <row r="268" spans="1:9" x14ac:dyDescent="0.2">
      <c r="A268" t="s">
        <v>262</v>
      </c>
      <c r="B268" s="1">
        <v>45325</v>
      </c>
      <c r="C268" s="1">
        <v>45337</v>
      </c>
      <c r="D268" t="s">
        <v>12</v>
      </c>
      <c r="E268">
        <v>54</v>
      </c>
      <c r="G268" t="s">
        <v>401</v>
      </c>
      <c r="H268">
        <v>249120</v>
      </c>
      <c r="I268" t="s">
        <v>8</v>
      </c>
    </row>
    <row r="269" spans="1:9" x14ac:dyDescent="0.2">
      <c r="A269" t="s">
        <v>263</v>
      </c>
      <c r="B269" s="1">
        <v>45327</v>
      </c>
      <c r="C269" s="1">
        <v>45328</v>
      </c>
      <c r="D269" t="s">
        <v>404</v>
      </c>
      <c r="E269">
        <v>56</v>
      </c>
      <c r="G269" t="s">
        <v>402</v>
      </c>
      <c r="H269">
        <v>250090</v>
      </c>
      <c r="I269" t="s">
        <v>6</v>
      </c>
    </row>
    <row r="270" spans="1:9" x14ac:dyDescent="0.2">
      <c r="A270" t="s">
        <v>264</v>
      </c>
      <c r="B270" s="1">
        <v>45332</v>
      </c>
      <c r="D270" t="s">
        <v>10</v>
      </c>
      <c r="E270">
        <v>58</v>
      </c>
      <c r="G270" t="s">
        <v>402</v>
      </c>
      <c r="H270">
        <v>251060</v>
      </c>
      <c r="I270" t="s">
        <v>403</v>
      </c>
    </row>
    <row r="271" spans="1:9" x14ac:dyDescent="0.2">
      <c r="A271" t="s">
        <v>265</v>
      </c>
      <c r="B271" s="1">
        <v>45319</v>
      </c>
      <c r="C271" s="1">
        <v>45327</v>
      </c>
      <c r="D271" t="s">
        <v>7</v>
      </c>
      <c r="E271">
        <v>60</v>
      </c>
      <c r="G271" t="s">
        <v>401</v>
      </c>
      <c r="H271">
        <v>252030</v>
      </c>
      <c r="I271" t="s">
        <v>8</v>
      </c>
    </row>
    <row r="272" spans="1:9" x14ac:dyDescent="0.2">
      <c r="A272" t="s">
        <v>266</v>
      </c>
      <c r="B272" s="1">
        <v>45323</v>
      </c>
      <c r="C272" s="1">
        <v>45324</v>
      </c>
      <c r="D272" t="s">
        <v>5</v>
      </c>
      <c r="E272">
        <v>62</v>
      </c>
      <c r="G272" t="s">
        <v>402</v>
      </c>
      <c r="H272">
        <v>253000</v>
      </c>
      <c r="I272" t="s">
        <v>6</v>
      </c>
    </row>
    <row r="273" spans="1:9" x14ac:dyDescent="0.2">
      <c r="A273" t="s">
        <v>267</v>
      </c>
      <c r="B273" s="1">
        <v>45325</v>
      </c>
      <c r="C273" s="1">
        <v>45337</v>
      </c>
      <c r="D273" t="s">
        <v>12</v>
      </c>
      <c r="E273">
        <v>64</v>
      </c>
      <c r="G273" t="s">
        <v>401</v>
      </c>
      <c r="H273">
        <v>253970</v>
      </c>
      <c r="I273" t="s">
        <v>8</v>
      </c>
    </row>
    <row r="274" spans="1:9" x14ac:dyDescent="0.2">
      <c r="A274" t="s">
        <v>268</v>
      </c>
      <c r="B274" s="1">
        <v>45327</v>
      </c>
      <c r="C274" s="1">
        <v>45328</v>
      </c>
      <c r="D274" t="s">
        <v>404</v>
      </c>
      <c r="E274">
        <v>66</v>
      </c>
      <c r="G274" t="s">
        <v>402</v>
      </c>
      <c r="H274">
        <v>254940</v>
      </c>
      <c r="I274" t="s">
        <v>6</v>
      </c>
    </row>
    <row r="275" spans="1:9" x14ac:dyDescent="0.2">
      <c r="A275" t="s">
        <v>269</v>
      </c>
      <c r="B275" s="1">
        <v>45332</v>
      </c>
      <c r="D275" t="s">
        <v>10</v>
      </c>
      <c r="E275">
        <v>68</v>
      </c>
      <c r="G275" t="s">
        <v>402</v>
      </c>
      <c r="H275">
        <v>255910</v>
      </c>
      <c r="I275" t="s">
        <v>403</v>
      </c>
    </row>
    <row r="276" spans="1:9" x14ac:dyDescent="0.2">
      <c r="A276" t="s">
        <v>270</v>
      </c>
      <c r="B276" s="1">
        <v>45319</v>
      </c>
      <c r="C276" s="1">
        <v>45327</v>
      </c>
      <c r="D276" t="s">
        <v>7</v>
      </c>
      <c r="E276">
        <v>70</v>
      </c>
      <c r="G276" t="s">
        <v>401</v>
      </c>
      <c r="H276">
        <v>256880</v>
      </c>
      <c r="I276" t="s">
        <v>8</v>
      </c>
    </row>
    <row r="277" spans="1:9" x14ac:dyDescent="0.2">
      <c r="A277" t="s">
        <v>271</v>
      </c>
      <c r="B277" s="1">
        <v>45323</v>
      </c>
      <c r="C277" s="1">
        <v>45324</v>
      </c>
      <c r="D277" t="s">
        <v>5</v>
      </c>
      <c r="E277">
        <v>72</v>
      </c>
      <c r="G277" t="s">
        <v>402</v>
      </c>
      <c r="H277">
        <v>257850</v>
      </c>
      <c r="I277" t="s">
        <v>6</v>
      </c>
    </row>
    <row r="278" spans="1:9" x14ac:dyDescent="0.2">
      <c r="A278" t="s">
        <v>272</v>
      </c>
      <c r="B278" s="1">
        <v>45325</v>
      </c>
      <c r="C278" s="1">
        <v>45337</v>
      </c>
      <c r="D278" t="s">
        <v>12</v>
      </c>
      <c r="E278">
        <v>74</v>
      </c>
      <c r="G278" t="s">
        <v>401</v>
      </c>
      <c r="H278">
        <v>258820</v>
      </c>
      <c r="I278" t="s">
        <v>8</v>
      </c>
    </row>
    <row r="279" spans="1:9" x14ac:dyDescent="0.2">
      <c r="A279" t="s">
        <v>273</v>
      </c>
      <c r="B279" s="1">
        <v>45327</v>
      </c>
      <c r="C279" s="1">
        <v>45328</v>
      </c>
      <c r="D279" t="s">
        <v>404</v>
      </c>
      <c r="E279">
        <v>76</v>
      </c>
      <c r="G279" t="s">
        <v>402</v>
      </c>
      <c r="H279">
        <v>259790</v>
      </c>
      <c r="I279" t="s">
        <v>6</v>
      </c>
    </row>
    <row r="280" spans="1:9" x14ac:dyDescent="0.2">
      <c r="A280" t="s">
        <v>253</v>
      </c>
      <c r="B280" s="1">
        <v>45332</v>
      </c>
      <c r="D280" t="s">
        <v>10</v>
      </c>
      <c r="E280">
        <v>36</v>
      </c>
      <c r="G280" t="s">
        <v>402</v>
      </c>
      <c r="H280">
        <v>260760</v>
      </c>
      <c r="I280" t="s">
        <v>403</v>
      </c>
    </row>
    <row r="281" spans="1:9" x14ac:dyDescent="0.2">
      <c r="A281" t="s">
        <v>274</v>
      </c>
      <c r="B281" s="1">
        <v>45319</v>
      </c>
      <c r="C281" s="1">
        <v>45327</v>
      </c>
      <c r="D281" t="s">
        <v>7</v>
      </c>
      <c r="E281">
        <v>80</v>
      </c>
      <c r="G281" t="s">
        <v>401</v>
      </c>
      <c r="H281">
        <v>261730</v>
      </c>
      <c r="I281" t="s">
        <v>8</v>
      </c>
    </row>
    <row r="282" spans="1:9" x14ac:dyDescent="0.2">
      <c r="A282" t="s">
        <v>275</v>
      </c>
      <c r="B282" s="1">
        <v>45323</v>
      </c>
      <c r="C282" s="1">
        <v>45324</v>
      </c>
      <c r="D282" t="s">
        <v>5</v>
      </c>
      <c r="E282">
        <v>82</v>
      </c>
      <c r="G282" t="s">
        <v>402</v>
      </c>
      <c r="H282">
        <v>262700</v>
      </c>
      <c r="I282" t="s">
        <v>6</v>
      </c>
    </row>
    <row r="283" spans="1:9" x14ac:dyDescent="0.2">
      <c r="A283" t="s">
        <v>276</v>
      </c>
      <c r="B283" s="1">
        <v>45325</v>
      </c>
      <c r="C283" s="1">
        <v>45337</v>
      </c>
      <c r="D283" t="s">
        <v>12</v>
      </c>
      <c r="E283">
        <v>84</v>
      </c>
      <c r="G283" t="s">
        <v>401</v>
      </c>
      <c r="H283">
        <v>263670</v>
      </c>
      <c r="I283" t="s">
        <v>8</v>
      </c>
    </row>
    <row r="284" spans="1:9" x14ac:dyDescent="0.2">
      <c r="A284" t="s">
        <v>277</v>
      </c>
      <c r="B284" s="1">
        <v>45327</v>
      </c>
      <c r="C284" s="1">
        <v>45328</v>
      </c>
      <c r="D284" t="s">
        <v>404</v>
      </c>
      <c r="E284">
        <v>86</v>
      </c>
      <c r="G284" t="s">
        <v>402</v>
      </c>
      <c r="H284">
        <v>264640</v>
      </c>
      <c r="I284" t="s">
        <v>6</v>
      </c>
    </row>
    <row r="285" spans="1:9" x14ac:dyDescent="0.2">
      <c r="A285" t="s">
        <v>278</v>
      </c>
      <c r="B285" s="1">
        <v>45332</v>
      </c>
      <c r="D285" t="s">
        <v>10</v>
      </c>
      <c r="E285">
        <v>88</v>
      </c>
      <c r="G285" t="s">
        <v>402</v>
      </c>
      <c r="H285">
        <v>265610</v>
      </c>
      <c r="I285" t="s">
        <v>403</v>
      </c>
    </row>
    <row r="286" spans="1:9" x14ac:dyDescent="0.2">
      <c r="A286" t="s">
        <v>279</v>
      </c>
      <c r="B286" s="1">
        <v>45319</v>
      </c>
      <c r="C286" s="1">
        <v>45327</v>
      </c>
      <c r="D286" t="s">
        <v>7</v>
      </c>
      <c r="E286">
        <v>90</v>
      </c>
      <c r="G286" t="s">
        <v>401</v>
      </c>
      <c r="H286">
        <v>266580</v>
      </c>
      <c r="I286" t="s">
        <v>8</v>
      </c>
    </row>
    <row r="287" spans="1:9" x14ac:dyDescent="0.2">
      <c r="A287" t="s">
        <v>280</v>
      </c>
      <c r="B287" s="1">
        <v>45323</v>
      </c>
      <c r="C287" s="1">
        <v>45324</v>
      </c>
      <c r="D287" t="s">
        <v>5</v>
      </c>
      <c r="E287">
        <v>92</v>
      </c>
      <c r="G287" t="s">
        <v>402</v>
      </c>
      <c r="H287">
        <v>267550</v>
      </c>
      <c r="I287" t="s">
        <v>6</v>
      </c>
    </row>
    <row r="288" spans="1:9" x14ac:dyDescent="0.2">
      <c r="A288" t="s">
        <v>281</v>
      </c>
      <c r="B288" s="1">
        <v>45325</v>
      </c>
      <c r="C288" s="1">
        <v>45337</v>
      </c>
      <c r="D288" t="s">
        <v>12</v>
      </c>
      <c r="E288">
        <v>94</v>
      </c>
      <c r="G288" t="s">
        <v>401</v>
      </c>
      <c r="H288">
        <v>268520</v>
      </c>
      <c r="I288" t="s">
        <v>8</v>
      </c>
    </row>
    <row r="289" spans="1:9" x14ac:dyDescent="0.2">
      <c r="A289" t="s">
        <v>282</v>
      </c>
      <c r="B289" s="1">
        <v>45327</v>
      </c>
      <c r="C289" s="1">
        <v>45328</v>
      </c>
      <c r="D289" t="s">
        <v>404</v>
      </c>
      <c r="E289">
        <v>96</v>
      </c>
      <c r="G289" t="s">
        <v>402</v>
      </c>
      <c r="H289">
        <v>269490</v>
      </c>
      <c r="I289" t="s">
        <v>6</v>
      </c>
    </row>
    <row r="290" spans="1:9" x14ac:dyDescent="0.2">
      <c r="A290" t="s">
        <v>283</v>
      </c>
      <c r="B290" s="1">
        <v>45332</v>
      </c>
      <c r="D290" t="s">
        <v>10</v>
      </c>
      <c r="E290">
        <v>98</v>
      </c>
      <c r="G290" t="s">
        <v>402</v>
      </c>
      <c r="H290">
        <v>270460</v>
      </c>
      <c r="I290" t="s">
        <v>403</v>
      </c>
    </row>
    <row r="291" spans="1:9" x14ac:dyDescent="0.2">
      <c r="A291" t="s">
        <v>284</v>
      </c>
      <c r="B291" s="1">
        <v>45319</v>
      </c>
      <c r="C291" s="1">
        <v>45327</v>
      </c>
      <c r="D291" t="s">
        <v>7</v>
      </c>
      <c r="E291">
        <v>100</v>
      </c>
      <c r="G291" t="s">
        <v>401</v>
      </c>
      <c r="H291">
        <v>271430</v>
      </c>
      <c r="I291" t="s">
        <v>8</v>
      </c>
    </row>
    <row r="292" spans="1:9" x14ac:dyDescent="0.2">
      <c r="A292" t="s">
        <v>285</v>
      </c>
      <c r="B292" s="1">
        <v>45323</v>
      </c>
      <c r="C292" s="1">
        <v>45324</v>
      </c>
      <c r="D292" t="s">
        <v>5</v>
      </c>
      <c r="E292">
        <v>2</v>
      </c>
      <c r="G292" t="s">
        <v>402</v>
      </c>
      <c r="H292">
        <v>272400</v>
      </c>
      <c r="I292" t="s">
        <v>6</v>
      </c>
    </row>
    <row r="293" spans="1:9" x14ac:dyDescent="0.2">
      <c r="A293" t="s">
        <v>286</v>
      </c>
      <c r="B293" s="1">
        <v>45325</v>
      </c>
      <c r="C293" s="1">
        <v>45337</v>
      </c>
      <c r="D293" t="s">
        <v>12</v>
      </c>
      <c r="E293">
        <v>4</v>
      </c>
      <c r="G293" t="s">
        <v>401</v>
      </c>
      <c r="H293">
        <v>273370</v>
      </c>
      <c r="I293" t="s">
        <v>8</v>
      </c>
    </row>
    <row r="294" spans="1:9" x14ac:dyDescent="0.2">
      <c r="A294" t="s">
        <v>287</v>
      </c>
      <c r="B294" s="1">
        <v>45327</v>
      </c>
      <c r="C294" s="1">
        <v>45328</v>
      </c>
      <c r="D294" t="s">
        <v>404</v>
      </c>
      <c r="E294">
        <v>6</v>
      </c>
      <c r="G294" t="s">
        <v>402</v>
      </c>
      <c r="H294">
        <v>274340</v>
      </c>
      <c r="I294" t="s">
        <v>6</v>
      </c>
    </row>
    <row r="295" spans="1:9" x14ac:dyDescent="0.2">
      <c r="A295" t="s">
        <v>288</v>
      </c>
      <c r="B295" s="1">
        <v>45332</v>
      </c>
      <c r="D295" t="s">
        <v>10</v>
      </c>
      <c r="E295">
        <v>8</v>
      </c>
      <c r="G295" t="s">
        <v>402</v>
      </c>
      <c r="H295">
        <v>275310</v>
      </c>
      <c r="I295" t="s">
        <v>403</v>
      </c>
    </row>
    <row r="296" spans="1:9" x14ac:dyDescent="0.2">
      <c r="A296" t="s">
        <v>289</v>
      </c>
      <c r="B296" s="1">
        <v>45319</v>
      </c>
      <c r="C296" s="1">
        <v>45327</v>
      </c>
      <c r="D296" t="s">
        <v>7</v>
      </c>
      <c r="E296">
        <v>10</v>
      </c>
      <c r="G296" t="s">
        <v>401</v>
      </c>
      <c r="H296">
        <v>276280</v>
      </c>
      <c r="I296" t="s">
        <v>8</v>
      </c>
    </row>
    <row r="297" spans="1:9" x14ac:dyDescent="0.2">
      <c r="A297" t="s">
        <v>290</v>
      </c>
      <c r="B297" s="1">
        <v>45323</v>
      </c>
      <c r="C297" s="1">
        <v>45324</v>
      </c>
      <c r="D297" t="s">
        <v>5</v>
      </c>
      <c r="E297">
        <v>12</v>
      </c>
      <c r="G297" t="s">
        <v>402</v>
      </c>
      <c r="H297">
        <v>277250</v>
      </c>
      <c r="I297" t="s">
        <v>6</v>
      </c>
    </row>
    <row r="298" spans="1:9" x14ac:dyDescent="0.2">
      <c r="A298" t="s">
        <v>291</v>
      </c>
      <c r="B298" s="1">
        <v>45325</v>
      </c>
      <c r="C298" s="1">
        <v>45337</v>
      </c>
      <c r="D298" t="s">
        <v>12</v>
      </c>
      <c r="E298">
        <v>14</v>
      </c>
      <c r="G298" t="s">
        <v>401</v>
      </c>
      <c r="H298">
        <v>278220</v>
      </c>
      <c r="I298" t="s">
        <v>8</v>
      </c>
    </row>
    <row r="299" spans="1:9" x14ac:dyDescent="0.2">
      <c r="A299" t="s">
        <v>292</v>
      </c>
      <c r="B299" s="1">
        <v>45327</v>
      </c>
      <c r="C299" s="1">
        <v>45328</v>
      </c>
      <c r="D299" t="s">
        <v>404</v>
      </c>
      <c r="E299">
        <v>16</v>
      </c>
      <c r="G299" t="s">
        <v>402</v>
      </c>
      <c r="H299">
        <v>279190</v>
      </c>
      <c r="I299" t="s">
        <v>6</v>
      </c>
    </row>
    <row r="300" spans="1:9" x14ac:dyDescent="0.2">
      <c r="A300" t="s">
        <v>293</v>
      </c>
      <c r="B300" s="1">
        <v>45332</v>
      </c>
      <c r="D300" t="s">
        <v>10</v>
      </c>
      <c r="E300">
        <v>18</v>
      </c>
      <c r="G300" t="s">
        <v>402</v>
      </c>
      <c r="H300">
        <v>280160</v>
      </c>
      <c r="I300" t="s">
        <v>403</v>
      </c>
    </row>
    <row r="301" spans="1:9" x14ac:dyDescent="0.2">
      <c r="A301" t="s">
        <v>294</v>
      </c>
      <c r="B301" s="1">
        <v>45319</v>
      </c>
      <c r="C301" s="1">
        <v>45327</v>
      </c>
      <c r="D301" t="s">
        <v>7</v>
      </c>
      <c r="E301">
        <v>20</v>
      </c>
      <c r="G301" t="s">
        <v>401</v>
      </c>
      <c r="H301">
        <v>281130</v>
      </c>
      <c r="I301" t="s">
        <v>8</v>
      </c>
    </row>
    <row r="302" spans="1:9" x14ac:dyDescent="0.2">
      <c r="A302" t="s">
        <v>295</v>
      </c>
      <c r="B302" s="1">
        <v>45323</v>
      </c>
      <c r="C302" s="1">
        <v>45324</v>
      </c>
      <c r="D302" t="s">
        <v>5</v>
      </c>
      <c r="E302">
        <v>22</v>
      </c>
      <c r="G302" t="s">
        <v>402</v>
      </c>
      <c r="H302">
        <v>282100</v>
      </c>
      <c r="I302" t="s">
        <v>6</v>
      </c>
    </row>
    <row r="303" spans="1:9" x14ac:dyDescent="0.2">
      <c r="A303" t="s">
        <v>296</v>
      </c>
      <c r="B303" s="1">
        <v>45325</v>
      </c>
      <c r="C303" s="1">
        <v>45337</v>
      </c>
      <c r="D303" t="s">
        <v>12</v>
      </c>
      <c r="E303">
        <v>24</v>
      </c>
      <c r="G303" t="s">
        <v>401</v>
      </c>
      <c r="H303">
        <v>283070</v>
      </c>
      <c r="I303" t="s">
        <v>8</v>
      </c>
    </row>
    <row r="304" spans="1:9" x14ac:dyDescent="0.2">
      <c r="A304" t="s">
        <v>297</v>
      </c>
      <c r="B304" s="1">
        <v>45327</v>
      </c>
      <c r="C304" s="1">
        <v>45328</v>
      </c>
      <c r="D304" t="s">
        <v>404</v>
      </c>
      <c r="E304">
        <v>26</v>
      </c>
      <c r="G304" t="s">
        <v>402</v>
      </c>
      <c r="H304">
        <v>284040</v>
      </c>
      <c r="I304" t="s">
        <v>6</v>
      </c>
    </row>
    <row r="305" spans="1:9" x14ac:dyDescent="0.2">
      <c r="A305" t="s">
        <v>298</v>
      </c>
      <c r="B305" s="1">
        <v>45332</v>
      </c>
      <c r="D305" t="s">
        <v>10</v>
      </c>
      <c r="E305">
        <v>28</v>
      </c>
      <c r="G305" t="s">
        <v>402</v>
      </c>
      <c r="H305">
        <v>285010</v>
      </c>
      <c r="I305" t="s">
        <v>403</v>
      </c>
    </row>
    <row r="306" spans="1:9" x14ac:dyDescent="0.2">
      <c r="A306" t="s">
        <v>299</v>
      </c>
      <c r="B306" s="1">
        <v>45319</v>
      </c>
      <c r="C306" s="1">
        <v>45327</v>
      </c>
      <c r="D306" t="s">
        <v>7</v>
      </c>
      <c r="E306">
        <v>30</v>
      </c>
      <c r="G306" t="s">
        <v>401</v>
      </c>
      <c r="H306">
        <v>285980</v>
      </c>
      <c r="I306" t="s">
        <v>8</v>
      </c>
    </row>
    <row r="307" spans="1:9" x14ac:dyDescent="0.2">
      <c r="A307" t="s">
        <v>300</v>
      </c>
      <c r="B307" s="1">
        <v>45323</v>
      </c>
      <c r="C307" s="1">
        <v>45324</v>
      </c>
      <c r="D307" t="s">
        <v>5</v>
      </c>
      <c r="E307">
        <v>32</v>
      </c>
      <c r="G307" t="s">
        <v>402</v>
      </c>
      <c r="H307">
        <v>286950</v>
      </c>
      <c r="I307" t="s">
        <v>6</v>
      </c>
    </row>
    <row r="308" spans="1:9" x14ac:dyDescent="0.2">
      <c r="A308" t="s">
        <v>301</v>
      </c>
      <c r="B308" s="1">
        <v>45325</v>
      </c>
      <c r="C308" s="1">
        <v>45337</v>
      </c>
      <c r="D308" t="s">
        <v>12</v>
      </c>
      <c r="E308">
        <v>34</v>
      </c>
      <c r="G308" t="s">
        <v>401</v>
      </c>
      <c r="H308">
        <v>287920</v>
      </c>
      <c r="I308" t="s">
        <v>8</v>
      </c>
    </row>
    <row r="309" spans="1:9" x14ac:dyDescent="0.2">
      <c r="A309" t="s">
        <v>302</v>
      </c>
      <c r="B309" s="1">
        <v>45327</v>
      </c>
      <c r="C309" s="1">
        <v>45328</v>
      </c>
      <c r="D309" t="s">
        <v>404</v>
      </c>
      <c r="E309">
        <v>36</v>
      </c>
      <c r="G309" t="s">
        <v>402</v>
      </c>
      <c r="H309">
        <v>288890</v>
      </c>
      <c r="I309" t="s">
        <v>6</v>
      </c>
    </row>
    <row r="310" spans="1:9" x14ac:dyDescent="0.2">
      <c r="A310" t="s">
        <v>303</v>
      </c>
      <c r="B310" s="1">
        <v>45332</v>
      </c>
      <c r="D310" t="s">
        <v>10</v>
      </c>
      <c r="E310">
        <v>38</v>
      </c>
      <c r="G310" t="s">
        <v>402</v>
      </c>
      <c r="H310">
        <v>289860</v>
      </c>
      <c r="I310" t="s">
        <v>403</v>
      </c>
    </row>
    <row r="311" spans="1:9" x14ac:dyDescent="0.2">
      <c r="A311" t="s">
        <v>304</v>
      </c>
      <c r="B311" s="1">
        <v>45319</v>
      </c>
      <c r="C311" s="1">
        <v>45327</v>
      </c>
      <c r="D311" t="s">
        <v>7</v>
      </c>
      <c r="E311">
        <v>40</v>
      </c>
      <c r="G311" t="s">
        <v>401</v>
      </c>
      <c r="H311">
        <v>290830</v>
      </c>
      <c r="I311" t="s">
        <v>8</v>
      </c>
    </row>
    <row r="312" spans="1:9" x14ac:dyDescent="0.2">
      <c r="A312" t="s">
        <v>305</v>
      </c>
      <c r="B312" s="1">
        <v>45323</v>
      </c>
      <c r="C312" s="1">
        <v>45324</v>
      </c>
      <c r="D312" t="s">
        <v>5</v>
      </c>
      <c r="E312">
        <v>42</v>
      </c>
      <c r="G312" t="s">
        <v>402</v>
      </c>
      <c r="H312">
        <v>291800</v>
      </c>
      <c r="I312" t="s">
        <v>6</v>
      </c>
    </row>
    <row r="313" spans="1:9" x14ac:dyDescent="0.2">
      <c r="A313" t="s">
        <v>306</v>
      </c>
      <c r="B313" s="1">
        <v>45325</v>
      </c>
      <c r="C313" s="1">
        <v>45337</v>
      </c>
      <c r="D313" t="s">
        <v>12</v>
      </c>
      <c r="E313">
        <v>44</v>
      </c>
      <c r="G313" t="s">
        <v>401</v>
      </c>
      <c r="H313">
        <v>292770</v>
      </c>
      <c r="I313" t="s">
        <v>8</v>
      </c>
    </row>
    <row r="314" spans="1:9" x14ac:dyDescent="0.2">
      <c r="A314" t="s">
        <v>307</v>
      </c>
      <c r="B314" s="1">
        <v>45327</v>
      </c>
      <c r="C314" s="1">
        <v>45328</v>
      </c>
      <c r="D314" t="s">
        <v>404</v>
      </c>
      <c r="E314">
        <v>46</v>
      </c>
      <c r="G314" t="s">
        <v>402</v>
      </c>
      <c r="H314">
        <v>293740</v>
      </c>
      <c r="I314" t="s">
        <v>6</v>
      </c>
    </row>
    <row r="315" spans="1:9" x14ac:dyDescent="0.2">
      <c r="A315" t="s">
        <v>308</v>
      </c>
      <c r="B315" s="1">
        <v>45332</v>
      </c>
      <c r="D315" t="s">
        <v>10</v>
      </c>
      <c r="E315">
        <v>48</v>
      </c>
      <c r="G315" t="s">
        <v>402</v>
      </c>
      <c r="H315">
        <v>294710</v>
      </c>
      <c r="I315" t="s">
        <v>403</v>
      </c>
    </row>
    <row r="316" spans="1:9" x14ac:dyDescent="0.2">
      <c r="A316" t="s">
        <v>309</v>
      </c>
      <c r="B316" s="1">
        <v>45319</v>
      </c>
      <c r="C316" s="1">
        <v>45327</v>
      </c>
      <c r="D316" t="s">
        <v>7</v>
      </c>
      <c r="E316">
        <v>50</v>
      </c>
      <c r="G316" t="s">
        <v>401</v>
      </c>
      <c r="H316">
        <v>295680</v>
      </c>
      <c r="I316" t="s">
        <v>8</v>
      </c>
    </row>
    <row r="317" spans="1:9" x14ac:dyDescent="0.2">
      <c r="A317" t="s">
        <v>310</v>
      </c>
      <c r="B317" s="1">
        <v>45323</v>
      </c>
      <c r="C317" s="1">
        <v>45324</v>
      </c>
      <c r="D317" t="s">
        <v>5</v>
      </c>
      <c r="E317">
        <v>52</v>
      </c>
      <c r="G317" t="s">
        <v>402</v>
      </c>
      <c r="H317">
        <v>296650</v>
      </c>
      <c r="I317" t="s">
        <v>6</v>
      </c>
    </row>
    <row r="318" spans="1:9" x14ac:dyDescent="0.2">
      <c r="A318" t="s">
        <v>311</v>
      </c>
      <c r="B318" s="1">
        <v>45325</v>
      </c>
      <c r="C318" s="1">
        <v>45337</v>
      </c>
      <c r="D318" t="s">
        <v>12</v>
      </c>
      <c r="E318">
        <v>54</v>
      </c>
      <c r="G318" t="s">
        <v>401</v>
      </c>
      <c r="H318">
        <v>297620</v>
      </c>
      <c r="I318" t="s">
        <v>8</v>
      </c>
    </row>
    <row r="319" spans="1:9" x14ac:dyDescent="0.2">
      <c r="A319" t="s">
        <v>312</v>
      </c>
      <c r="B319" s="1">
        <v>45327</v>
      </c>
      <c r="C319" s="1">
        <v>45328</v>
      </c>
      <c r="D319" t="s">
        <v>404</v>
      </c>
      <c r="E319">
        <v>56</v>
      </c>
      <c r="G319" t="s">
        <v>402</v>
      </c>
      <c r="H319">
        <v>298590</v>
      </c>
      <c r="I319" t="s">
        <v>6</v>
      </c>
    </row>
    <row r="320" spans="1:9" x14ac:dyDescent="0.2">
      <c r="A320" t="s">
        <v>313</v>
      </c>
      <c r="B320" s="1">
        <v>45332</v>
      </c>
      <c r="D320" t="s">
        <v>10</v>
      </c>
      <c r="E320">
        <v>58</v>
      </c>
      <c r="G320" t="s">
        <v>402</v>
      </c>
      <c r="H320">
        <v>299560</v>
      </c>
      <c r="I320" t="s">
        <v>403</v>
      </c>
    </row>
    <row r="321" spans="1:9" x14ac:dyDescent="0.2">
      <c r="A321" t="s">
        <v>314</v>
      </c>
      <c r="B321" s="1">
        <v>45319</v>
      </c>
      <c r="C321" s="1">
        <v>45327</v>
      </c>
      <c r="D321" t="s">
        <v>7</v>
      </c>
      <c r="E321">
        <v>60</v>
      </c>
      <c r="G321" t="s">
        <v>401</v>
      </c>
      <c r="H321">
        <v>300530</v>
      </c>
      <c r="I321" t="s">
        <v>8</v>
      </c>
    </row>
    <row r="322" spans="1:9" x14ac:dyDescent="0.2">
      <c r="A322" t="s">
        <v>315</v>
      </c>
      <c r="B322" s="1">
        <v>45323</v>
      </c>
      <c r="C322" s="1">
        <v>45324</v>
      </c>
      <c r="D322" t="s">
        <v>5</v>
      </c>
      <c r="E322">
        <v>62</v>
      </c>
      <c r="G322" t="s">
        <v>402</v>
      </c>
      <c r="H322">
        <v>301500</v>
      </c>
      <c r="I322" t="s">
        <v>6</v>
      </c>
    </row>
    <row r="323" spans="1:9" x14ac:dyDescent="0.2">
      <c r="A323" t="s">
        <v>316</v>
      </c>
      <c r="B323" s="1">
        <v>45325</v>
      </c>
      <c r="C323" s="1">
        <v>45337</v>
      </c>
      <c r="D323" t="s">
        <v>12</v>
      </c>
      <c r="E323">
        <v>64</v>
      </c>
      <c r="G323" t="s">
        <v>401</v>
      </c>
      <c r="H323">
        <v>302470</v>
      </c>
      <c r="I323" t="s">
        <v>8</v>
      </c>
    </row>
    <row r="324" spans="1:9" x14ac:dyDescent="0.2">
      <c r="A324" t="s">
        <v>317</v>
      </c>
      <c r="B324" s="1">
        <v>45327</v>
      </c>
      <c r="C324" s="1">
        <v>45328</v>
      </c>
      <c r="D324" t="s">
        <v>404</v>
      </c>
      <c r="E324">
        <v>66</v>
      </c>
      <c r="G324" t="s">
        <v>402</v>
      </c>
      <c r="H324">
        <v>303440</v>
      </c>
      <c r="I324" t="s">
        <v>6</v>
      </c>
    </row>
    <row r="325" spans="1:9" x14ac:dyDescent="0.2">
      <c r="A325" t="s">
        <v>318</v>
      </c>
      <c r="B325" s="1">
        <v>45332</v>
      </c>
      <c r="D325" t="s">
        <v>10</v>
      </c>
      <c r="E325">
        <v>68</v>
      </c>
      <c r="G325" t="s">
        <v>402</v>
      </c>
      <c r="H325">
        <v>304410</v>
      </c>
      <c r="I325" t="s">
        <v>403</v>
      </c>
    </row>
    <row r="326" spans="1:9" x14ac:dyDescent="0.2">
      <c r="A326" t="s">
        <v>319</v>
      </c>
      <c r="B326" s="1">
        <v>45319</v>
      </c>
      <c r="C326" s="1">
        <v>45327</v>
      </c>
      <c r="D326" t="s">
        <v>7</v>
      </c>
      <c r="E326">
        <v>70</v>
      </c>
      <c r="G326" t="s">
        <v>401</v>
      </c>
      <c r="H326">
        <v>305380</v>
      </c>
      <c r="I326" t="s">
        <v>8</v>
      </c>
    </row>
    <row r="327" spans="1:9" x14ac:dyDescent="0.2">
      <c r="A327" t="s">
        <v>320</v>
      </c>
      <c r="B327" s="1">
        <v>45323</v>
      </c>
      <c r="C327" s="1">
        <v>45324</v>
      </c>
      <c r="D327" t="s">
        <v>5</v>
      </c>
      <c r="E327">
        <v>72</v>
      </c>
      <c r="G327" t="s">
        <v>402</v>
      </c>
      <c r="H327">
        <v>306350</v>
      </c>
      <c r="I327" t="s">
        <v>6</v>
      </c>
    </row>
    <row r="328" spans="1:9" x14ac:dyDescent="0.2">
      <c r="A328" t="s">
        <v>321</v>
      </c>
      <c r="B328" s="1">
        <v>45325</v>
      </c>
      <c r="C328" s="1">
        <v>45337</v>
      </c>
      <c r="D328" t="s">
        <v>12</v>
      </c>
      <c r="E328">
        <v>74</v>
      </c>
      <c r="G328" t="s">
        <v>401</v>
      </c>
      <c r="H328">
        <v>307320</v>
      </c>
      <c r="I328" t="s">
        <v>8</v>
      </c>
    </row>
    <row r="329" spans="1:9" x14ac:dyDescent="0.2">
      <c r="A329" t="s">
        <v>322</v>
      </c>
      <c r="B329" s="1">
        <v>45327</v>
      </c>
      <c r="C329" s="1">
        <v>45328</v>
      </c>
      <c r="D329" t="s">
        <v>404</v>
      </c>
      <c r="E329">
        <v>76</v>
      </c>
      <c r="G329" t="s">
        <v>402</v>
      </c>
      <c r="H329">
        <v>308290</v>
      </c>
      <c r="I329" t="s">
        <v>6</v>
      </c>
    </row>
    <row r="330" spans="1:9" x14ac:dyDescent="0.2">
      <c r="A330" t="s">
        <v>323</v>
      </c>
      <c r="B330" s="1">
        <v>45332</v>
      </c>
      <c r="D330" t="s">
        <v>10</v>
      </c>
      <c r="E330">
        <v>78</v>
      </c>
      <c r="G330" t="s">
        <v>402</v>
      </c>
      <c r="H330">
        <v>309260</v>
      </c>
      <c r="I330" t="s">
        <v>403</v>
      </c>
    </row>
    <row r="331" spans="1:9" x14ac:dyDescent="0.2">
      <c r="A331" t="s">
        <v>324</v>
      </c>
      <c r="B331" s="1">
        <v>45319</v>
      </c>
      <c r="C331" s="1">
        <v>45327</v>
      </c>
      <c r="D331" t="s">
        <v>7</v>
      </c>
      <c r="E331">
        <v>80</v>
      </c>
      <c r="G331" t="s">
        <v>401</v>
      </c>
      <c r="H331">
        <v>310230</v>
      </c>
      <c r="I331" t="s">
        <v>8</v>
      </c>
    </row>
    <row r="332" spans="1:9" x14ac:dyDescent="0.2">
      <c r="A332" t="s">
        <v>325</v>
      </c>
      <c r="B332" s="1">
        <v>45323</v>
      </c>
      <c r="C332" s="1">
        <v>45324</v>
      </c>
      <c r="D332" t="s">
        <v>5</v>
      </c>
      <c r="E332">
        <v>82</v>
      </c>
      <c r="G332" t="s">
        <v>402</v>
      </c>
      <c r="H332">
        <v>311200</v>
      </c>
      <c r="I332" t="s">
        <v>6</v>
      </c>
    </row>
    <row r="333" spans="1:9" x14ac:dyDescent="0.2">
      <c r="A333" t="s">
        <v>326</v>
      </c>
      <c r="B333" s="1">
        <v>45325</v>
      </c>
      <c r="C333" s="1">
        <v>45337</v>
      </c>
      <c r="D333" t="s">
        <v>12</v>
      </c>
      <c r="E333">
        <v>84</v>
      </c>
      <c r="G333" t="s">
        <v>401</v>
      </c>
      <c r="H333">
        <v>312170</v>
      </c>
      <c r="I333" t="s">
        <v>8</v>
      </c>
    </row>
    <row r="334" spans="1:9" x14ac:dyDescent="0.2">
      <c r="A334" t="s">
        <v>327</v>
      </c>
      <c r="B334" s="1">
        <v>45327</v>
      </c>
      <c r="C334" s="1">
        <v>45328</v>
      </c>
      <c r="D334" t="s">
        <v>404</v>
      </c>
      <c r="E334">
        <v>86</v>
      </c>
      <c r="G334" t="s">
        <v>402</v>
      </c>
      <c r="H334">
        <v>313140</v>
      </c>
      <c r="I334" t="s">
        <v>6</v>
      </c>
    </row>
    <row r="335" spans="1:9" x14ac:dyDescent="0.2">
      <c r="A335" t="s">
        <v>328</v>
      </c>
      <c r="B335" s="1">
        <v>45332</v>
      </c>
      <c r="D335" t="s">
        <v>10</v>
      </c>
      <c r="E335">
        <v>88</v>
      </c>
      <c r="G335" t="s">
        <v>402</v>
      </c>
      <c r="H335">
        <v>314110</v>
      </c>
      <c r="I335" t="s">
        <v>403</v>
      </c>
    </row>
    <row r="336" spans="1:9" x14ac:dyDescent="0.2">
      <c r="A336" t="s">
        <v>329</v>
      </c>
      <c r="B336" s="1">
        <v>45319</v>
      </c>
      <c r="C336" s="1">
        <v>45327</v>
      </c>
      <c r="D336" t="s">
        <v>7</v>
      </c>
      <c r="E336">
        <v>90</v>
      </c>
      <c r="G336" t="s">
        <v>401</v>
      </c>
      <c r="H336">
        <v>315080</v>
      </c>
      <c r="I336" t="s">
        <v>8</v>
      </c>
    </row>
    <row r="337" spans="1:9" x14ac:dyDescent="0.2">
      <c r="A337" t="s">
        <v>330</v>
      </c>
      <c r="B337" s="1">
        <v>45323</v>
      </c>
      <c r="C337" s="1">
        <v>45324</v>
      </c>
      <c r="D337" t="s">
        <v>5</v>
      </c>
      <c r="E337">
        <v>92</v>
      </c>
      <c r="G337" t="s">
        <v>402</v>
      </c>
      <c r="H337">
        <v>316050</v>
      </c>
      <c r="I337" t="s">
        <v>6</v>
      </c>
    </row>
    <row r="338" spans="1:9" x14ac:dyDescent="0.2">
      <c r="A338" t="s">
        <v>331</v>
      </c>
      <c r="B338" s="1">
        <v>45325</v>
      </c>
      <c r="C338" s="1">
        <v>45337</v>
      </c>
      <c r="D338" t="s">
        <v>12</v>
      </c>
      <c r="E338">
        <v>94</v>
      </c>
      <c r="G338" t="s">
        <v>401</v>
      </c>
      <c r="H338">
        <v>317020</v>
      </c>
      <c r="I338" t="s">
        <v>8</v>
      </c>
    </row>
    <row r="339" spans="1:9" x14ac:dyDescent="0.2">
      <c r="A339" t="s">
        <v>332</v>
      </c>
      <c r="B339" s="1">
        <v>45327</v>
      </c>
      <c r="C339" s="1">
        <v>45328</v>
      </c>
      <c r="D339" t="s">
        <v>404</v>
      </c>
      <c r="E339">
        <v>96</v>
      </c>
      <c r="G339" t="s">
        <v>402</v>
      </c>
      <c r="H339">
        <v>317990</v>
      </c>
      <c r="I339" t="s">
        <v>6</v>
      </c>
    </row>
    <row r="340" spans="1:9" x14ac:dyDescent="0.2">
      <c r="A340" t="s">
        <v>333</v>
      </c>
      <c r="B340" s="1">
        <v>45332</v>
      </c>
      <c r="D340" t="s">
        <v>10</v>
      </c>
      <c r="E340">
        <v>98</v>
      </c>
      <c r="G340" t="s">
        <v>402</v>
      </c>
      <c r="H340">
        <v>318960</v>
      </c>
      <c r="I340" t="s">
        <v>403</v>
      </c>
    </row>
    <row r="341" spans="1:9" x14ac:dyDescent="0.2">
      <c r="A341" t="s">
        <v>334</v>
      </c>
      <c r="B341" s="1">
        <v>45319</v>
      </c>
      <c r="C341" s="1">
        <v>45327</v>
      </c>
      <c r="D341" t="s">
        <v>7</v>
      </c>
      <c r="E341">
        <v>100</v>
      </c>
      <c r="G341" t="s">
        <v>401</v>
      </c>
      <c r="H341">
        <v>319930</v>
      </c>
      <c r="I341" t="s">
        <v>8</v>
      </c>
    </row>
    <row r="342" spans="1:9" x14ac:dyDescent="0.2">
      <c r="A342" t="s">
        <v>335</v>
      </c>
      <c r="B342" s="1">
        <v>45323</v>
      </c>
      <c r="C342" s="1">
        <v>45324</v>
      </c>
      <c r="D342" t="s">
        <v>5</v>
      </c>
      <c r="E342">
        <v>2</v>
      </c>
      <c r="G342" t="s">
        <v>402</v>
      </c>
      <c r="H342">
        <v>320900</v>
      </c>
      <c r="I342" t="s">
        <v>6</v>
      </c>
    </row>
    <row r="343" spans="1:9" x14ac:dyDescent="0.2">
      <c r="A343" t="s">
        <v>336</v>
      </c>
      <c r="B343" s="1">
        <v>45325</v>
      </c>
      <c r="C343" s="1">
        <v>45337</v>
      </c>
      <c r="D343" t="s">
        <v>12</v>
      </c>
      <c r="E343">
        <v>4</v>
      </c>
      <c r="G343" t="s">
        <v>401</v>
      </c>
      <c r="H343">
        <v>321870</v>
      </c>
      <c r="I343" t="s">
        <v>8</v>
      </c>
    </row>
    <row r="344" spans="1:9" x14ac:dyDescent="0.2">
      <c r="A344" t="s">
        <v>337</v>
      </c>
      <c r="B344" s="1">
        <v>45327</v>
      </c>
      <c r="C344" s="1">
        <v>45328</v>
      </c>
      <c r="D344" t="s">
        <v>404</v>
      </c>
      <c r="E344">
        <v>6</v>
      </c>
      <c r="G344" t="s">
        <v>402</v>
      </c>
      <c r="H344">
        <v>322840</v>
      </c>
      <c r="I344" t="s">
        <v>6</v>
      </c>
    </row>
    <row r="345" spans="1:9" x14ac:dyDescent="0.2">
      <c r="A345" t="s">
        <v>338</v>
      </c>
      <c r="B345" s="1">
        <v>45332</v>
      </c>
      <c r="D345" t="s">
        <v>10</v>
      </c>
      <c r="E345">
        <v>8</v>
      </c>
      <c r="G345" t="s">
        <v>402</v>
      </c>
      <c r="H345">
        <v>323810</v>
      </c>
      <c r="I345" t="s">
        <v>403</v>
      </c>
    </row>
    <row r="346" spans="1:9" x14ac:dyDescent="0.2">
      <c r="A346" t="s">
        <v>339</v>
      </c>
      <c r="B346" s="1">
        <v>45319</v>
      </c>
      <c r="C346" s="1">
        <v>45327</v>
      </c>
      <c r="D346" t="s">
        <v>7</v>
      </c>
      <c r="E346">
        <v>10</v>
      </c>
      <c r="G346" t="s">
        <v>401</v>
      </c>
      <c r="H346">
        <v>324780</v>
      </c>
      <c r="I346" t="s">
        <v>8</v>
      </c>
    </row>
    <row r="347" spans="1:9" x14ac:dyDescent="0.2">
      <c r="A347" t="s">
        <v>340</v>
      </c>
      <c r="B347" s="1">
        <v>45323</v>
      </c>
      <c r="C347" s="1">
        <v>45324</v>
      </c>
      <c r="D347" t="s">
        <v>5</v>
      </c>
      <c r="E347">
        <v>12</v>
      </c>
      <c r="G347" t="s">
        <v>402</v>
      </c>
      <c r="H347">
        <v>325750</v>
      </c>
      <c r="I347" t="s">
        <v>6</v>
      </c>
    </row>
    <row r="348" spans="1:9" x14ac:dyDescent="0.2">
      <c r="A348" t="s">
        <v>341</v>
      </c>
      <c r="B348" s="1">
        <v>45325</v>
      </c>
      <c r="C348" s="1">
        <v>45337</v>
      </c>
      <c r="D348" t="s">
        <v>12</v>
      </c>
      <c r="E348">
        <v>14</v>
      </c>
      <c r="G348" t="s">
        <v>401</v>
      </c>
      <c r="H348">
        <v>326720</v>
      </c>
      <c r="I348" t="s">
        <v>8</v>
      </c>
    </row>
    <row r="349" spans="1:9" x14ac:dyDescent="0.2">
      <c r="A349" t="s">
        <v>342</v>
      </c>
      <c r="B349" s="1">
        <v>45327</v>
      </c>
      <c r="C349" s="1">
        <v>45328</v>
      </c>
      <c r="D349" t="s">
        <v>404</v>
      </c>
      <c r="E349">
        <v>16</v>
      </c>
      <c r="G349" t="s">
        <v>402</v>
      </c>
      <c r="H349">
        <v>327690</v>
      </c>
      <c r="I349" t="s">
        <v>6</v>
      </c>
    </row>
    <row r="350" spans="1:9" x14ac:dyDescent="0.2">
      <c r="A350" t="s">
        <v>343</v>
      </c>
      <c r="B350" s="1">
        <v>45332</v>
      </c>
      <c r="D350" t="s">
        <v>10</v>
      </c>
      <c r="E350">
        <v>18</v>
      </c>
      <c r="G350" t="s">
        <v>402</v>
      </c>
      <c r="H350">
        <v>328660</v>
      </c>
      <c r="I350" t="s">
        <v>403</v>
      </c>
    </row>
    <row r="351" spans="1:9" x14ac:dyDescent="0.2">
      <c r="A351" t="s">
        <v>288</v>
      </c>
      <c r="B351" s="1">
        <v>45319</v>
      </c>
      <c r="C351" s="1">
        <v>45327</v>
      </c>
      <c r="D351" t="s">
        <v>7</v>
      </c>
      <c r="E351">
        <v>8</v>
      </c>
      <c r="G351" t="s">
        <v>401</v>
      </c>
      <c r="H351">
        <v>329630</v>
      </c>
      <c r="I351" t="s">
        <v>8</v>
      </c>
    </row>
    <row r="352" spans="1:9" x14ac:dyDescent="0.2">
      <c r="A352" t="s">
        <v>344</v>
      </c>
      <c r="B352" s="1">
        <v>45323</v>
      </c>
      <c r="C352" s="1">
        <v>45324</v>
      </c>
      <c r="D352" t="s">
        <v>5</v>
      </c>
      <c r="E352">
        <v>22</v>
      </c>
      <c r="G352" t="s">
        <v>402</v>
      </c>
      <c r="H352">
        <v>330600</v>
      </c>
      <c r="I352" t="s">
        <v>6</v>
      </c>
    </row>
    <row r="353" spans="1:9" x14ac:dyDescent="0.2">
      <c r="A353" t="s">
        <v>345</v>
      </c>
      <c r="B353" s="1">
        <v>45325</v>
      </c>
      <c r="C353" s="1">
        <v>45337</v>
      </c>
      <c r="D353" t="s">
        <v>12</v>
      </c>
      <c r="E353">
        <v>24</v>
      </c>
      <c r="G353" t="s">
        <v>401</v>
      </c>
      <c r="H353">
        <v>331570</v>
      </c>
      <c r="I353" t="s">
        <v>8</v>
      </c>
    </row>
    <row r="354" spans="1:9" x14ac:dyDescent="0.2">
      <c r="A354" t="s">
        <v>346</v>
      </c>
      <c r="B354" s="1">
        <v>45327</v>
      </c>
      <c r="C354" s="1">
        <v>45328</v>
      </c>
      <c r="D354" t="s">
        <v>404</v>
      </c>
      <c r="E354">
        <v>26</v>
      </c>
      <c r="G354" t="s">
        <v>402</v>
      </c>
      <c r="H354">
        <v>332540</v>
      </c>
      <c r="I354" t="s">
        <v>6</v>
      </c>
    </row>
    <row r="355" spans="1:9" x14ac:dyDescent="0.2">
      <c r="A355" t="s">
        <v>347</v>
      </c>
      <c r="B355" s="1">
        <v>45332</v>
      </c>
      <c r="D355" t="s">
        <v>10</v>
      </c>
      <c r="E355">
        <v>28</v>
      </c>
      <c r="G355" t="s">
        <v>402</v>
      </c>
      <c r="H355">
        <v>333510</v>
      </c>
      <c r="I355" t="s">
        <v>403</v>
      </c>
    </row>
    <row r="356" spans="1:9" x14ac:dyDescent="0.2">
      <c r="A356" t="s">
        <v>348</v>
      </c>
      <c r="B356" s="1">
        <v>45319</v>
      </c>
      <c r="C356" s="1">
        <v>45327</v>
      </c>
      <c r="D356" t="s">
        <v>7</v>
      </c>
      <c r="E356">
        <v>30</v>
      </c>
      <c r="G356" t="s">
        <v>401</v>
      </c>
      <c r="H356">
        <v>334480</v>
      </c>
      <c r="I356" t="s">
        <v>8</v>
      </c>
    </row>
    <row r="357" spans="1:9" x14ac:dyDescent="0.2">
      <c r="A357" t="s">
        <v>349</v>
      </c>
      <c r="B357" s="1">
        <v>45323</v>
      </c>
      <c r="C357" s="1">
        <v>45324</v>
      </c>
      <c r="D357" t="s">
        <v>5</v>
      </c>
      <c r="E357">
        <v>32</v>
      </c>
      <c r="G357" t="s">
        <v>402</v>
      </c>
      <c r="H357">
        <v>335450</v>
      </c>
      <c r="I357" t="s">
        <v>6</v>
      </c>
    </row>
    <row r="358" spans="1:9" x14ac:dyDescent="0.2">
      <c r="A358" t="s">
        <v>350</v>
      </c>
      <c r="B358" s="1">
        <v>45325</v>
      </c>
      <c r="C358" s="1">
        <v>45337</v>
      </c>
      <c r="D358" t="s">
        <v>12</v>
      </c>
      <c r="E358">
        <v>34</v>
      </c>
      <c r="G358" t="s">
        <v>401</v>
      </c>
      <c r="H358">
        <v>336420</v>
      </c>
      <c r="I358" t="s">
        <v>8</v>
      </c>
    </row>
    <row r="359" spans="1:9" x14ac:dyDescent="0.2">
      <c r="A359" t="s">
        <v>351</v>
      </c>
      <c r="B359" s="1">
        <v>45327</v>
      </c>
      <c r="C359" s="1">
        <v>45328</v>
      </c>
      <c r="D359" t="s">
        <v>404</v>
      </c>
      <c r="E359">
        <v>36</v>
      </c>
      <c r="G359" t="s">
        <v>402</v>
      </c>
      <c r="H359">
        <v>337390</v>
      </c>
      <c r="I359" t="s">
        <v>6</v>
      </c>
    </row>
    <row r="360" spans="1:9" x14ac:dyDescent="0.2">
      <c r="A360" t="s">
        <v>352</v>
      </c>
      <c r="B360" s="1">
        <v>45332</v>
      </c>
      <c r="D360" t="s">
        <v>10</v>
      </c>
      <c r="E360">
        <v>38</v>
      </c>
      <c r="G360" t="s">
        <v>402</v>
      </c>
      <c r="H360">
        <v>338360</v>
      </c>
      <c r="I360" t="s">
        <v>403</v>
      </c>
    </row>
    <row r="361" spans="1:9" x14ac:dyDescent="0.2">
      <c r="A361" t="s">
        <v>353</v>
      </c>
      <c r="B361" s="1">
        <v>45319</v>
      </c>
      <c r="C361" s="1">
        <v>45327</v>
      </c>
      <c r="D361" t="s">
        <v>7</v>
      </c>
      <c r="E361">
        <v>40</v>
      </c>
      <c r="G361" t="s">
        <v>401</v>
      </c>
      <c r="H361">
        <v>339330</v>
      </c>
      <c r="I361" t="s">
        <v>8</v>
      </c>
    </row>
    <row r="362" spans="1:9" x14ac:dyDescent="0.2">
      <c r="A362" t="s">
        <v>354</v>
      </c>
      <c r="B362" s="1">
        <v>45323</v>
      </c>
      <c r="C362" s="1">
        <v>45324</v>
      </c>
      <c r="D362" t="s">
        <v>5</v>
      </c>
      <c r="E362">
        <v>42</v>
      </c>
      <c r="G362" t="s">
        <v>402</v>
      </c>
      <c r="H362">
        <v>340300</v>
      </c>
      <c r="I362" t="s">
        <v>6</v>
      </c>
    </row>
    <row r="363" spans="1:9" x14ac:dyDescent="0.2">
      <c r="A363" t="s">
        <v>355</v>
      </c>
      <c r="B363" s="1">
        <v>45325</v>
      </c>
      <c r="C363" s="1">
        <v>45337</v>
      </c>
      <c r="D363" t="s">
        <v>12</v>
      </c>
      <c r="E363">
        <v>44</v>
      </c>
      <c r="G363" t="s">
        <v>401</v>
      </c>
      <c r="H363">
        <v>341270</v>
      </c>
      <c r="I363" t="s">
        <v>8</v>
      </c>
    </row>
    <row r="364" spans="1:9" x14ac:dyDescent="0.2">
      <c r="A364" t="s">
        <v>356</v>
      </c>
      <c r="B364" s="1">
        <v>45327</v>
      </c>
      <c r="C364" s="1">
        <v>45328</v>
      </c>
      <c r="D364" t="s">
        <v>404</v>
      </c>
      <c r="E364">
        <v>46</v>
      </c>
      <c r="G364" t="s">
        <v>402</v>
      </c>
      <c r="H364">
        <v>342240</v>
      </c>
      <c r="I364" t="s">
        <v>6</v>
      </c>
    </row>
    <row r="365" spans="1:9" x14ac:dyDescent="0.2">
      <c r="A365" t="s">
        <v>357</v>
      </c>
      <c r="B365" s="1">
        <v>45332</v>
      </c>
      <c r="D365" t="s">
        <v>10</v>
      </c>
      <c r="E365">
        <v>48</v>
      </c>
      <c r="G365" t="s">
        <v>402</v>
      </c>
      <c r="H365">
        <v>343210</v>
      </c>
      <c r="I365" t="s">
        <v>403</v>
      </c>
    </row>
    <row r="366" spans="1:9" x14ac:dyDescent="0.2">
      <c r="A366" t="s">
        <v>358</v>
      </c>
      <c r="B366" s="1">
        <v>45319</v>
      </c>
      <c r="C366" s="1">
        <v>45327</v>
      </c>
      <c r="D366" t="s">
        <v>7</v>
      </c>
      <c r="E366">
        <v>50</v>
      </c>
      <c r="G366" t="s">
        <v>401</v>
      </c>
      <c r="H366">
        <v>344180</v>
      </c>
      <c r="I366" t="s">
        <v>8</v>
      </c>
    </row>
    <row r="367" spans="1:9" x14ac:dyDescent="0.2">
      <c r="A367" t="s">
        <v>359</v>
      </c>
      <c r="B367" s="1">
        <v>45323</v>
      </c>
      <c r="C367" s="1">
        <v>45324</v>
      </c>
      <c r="D367" t="s">
        <v>5</v>
      </c>
      <c r="E367">
        <v>52</v>
      </c>
      <c r="G367" t="s">
        <v>402</v>
      </c>
      <c r="H367">
        <v>345150</v>
      </c>
      <c r="I367" t="s">
        <v>6</v>
      </c>
    </row>
    <row r="368" spans="1:9" x14ac:dyDescent="0.2">
      <c r="A368" t="s">
        <v>360</v>
      </c>
      <c r="B368" s="1">
        <v>45325</v>
      </c>
      <c r="C368" s="1">
        <v>45337</v>
      </c>
      <c r="D368" t="s">
        <v>12</v>
      </c>
      <c r="E368">
        <v>54</v>
      </c>
      <c r="G368" t="s">
        <v>401</v>
      </c>
      <c r="H368">
        <v>346120</v>
      </c>
      <c r="I368" t="s">
        <v>8</v>
      </c>
    </row>
    <row r="369" spans="1:9" x14ac:dyDescent="0.2">
      <c r="A369" t="s">
        <v>361</v>
      </c>
      <c r="B369" s="1">
        <v>45327</v>
      </c>
      <c r="C369" s="1">
        <v>45328</v>
      </c>
      <c r="D369" t="s">
        <v>404</v>
      </c>
      <c r="E369">
        <v>56</v>
      </c>
      <c r="G369" t="s">
        <v>402</v>
      </c>
      <c r="H369">
        <v>347090</v>
      </c>
      <c r="I369" t="s">
        <v>6</v>
      </c>
    </row>
    <row r="370" spans="1:9" x14ac:dyDescent="0.2">
      <c r="A370" t="s">
        <v>362</v>
      </c>
      <c r="B370" s="1">
        <v>45332</v>
      </c>
      <c r="D370" t="s">
        <v>10</v>
      </c>
      <c r="E370">
        <v>58</v>
      </c>
      <c r="G370" t="s">
        <v>402</v>
      </c>
      <c r="H370">
        <v>348060</v>
      </c>
      <c r="I370" t="s">
        <v>403</v>
      </c>
    </row>
    <row r="371" spans="1:9" x14ac:dyDescent="0.2">
      <c r="A371" t="s">
        <v>363</v>
      </c>
      <c r="B371" s="1">
        <v>45319</v>
      </c>
      <c r="C371" s="1">
        <v>45327</v>
      </c>
      <c r="D371" t="s">
        <v>7</v>
      </c>
      <c r="E371">
        <v>60</v>
      </c>
      <c r="G371" t="s">
        <v>401</v>
      </c>
      <c r="H371">
        <v>349030</v>
      </c>
      <c r="I371" t="s">
        <v>8</v>
      </c>
    </row>
    <row r="372" spans="1:9" x14ac:dyDescent="0.2">
      <c r="A372" t="s">
        <v>364</v>
      </c>
      <c r="B372" s="1">
        <v>45323</v>
      </c>
      <c r="C372" s="1">
        <v>45324</v>
      </c>
      <c r="D372" t="s">
        <v>5</v>
      </c>
      <c r="E372">
        <v>62</v>
      </c>
      <c r="G372" t="s">
        <v>402</v>
      </c>
      <c r="H372">
        <v>350000</v>
      </c>
      <c r="I372" t="s">
        <v>6</v>
      </c>
    </row>
    <row r="373" spans="1:9" x14ac:dyDescent="0.2">
      <c r="A373" t="s">
        <v>365</v>
      </c>
      <c r="B373" s="1">
        <v>45325</v>
      </c>
      <c r="C373" s="1">
        <v>45337</v>
      </c>
      <c r="D373" t="s">
        <v>12</v>
      </c>
      <c r="E373">
        <v>64</v>
      </c>
      <c r="G373" t="s">
        <v>401</v>
      </c>
      <c r="H373">
        <v>350970</v>
      </c>
      <c r="I373" t="s">
        <v>8</v>
      </c>
    </row>
    <row r="374" spans="1:9" x14ac:dyDescent="0.2">
      <c r="A374" t="s">
        <v>366</v>
      </c>
      <c r="B374" s="1">
        <v>45327</v>
      </c>
      <c r="C374" s="1">
        <v>45328</v>
      </c>
      <c r="D374" t="s">
        <v>404</v>
      </c>
      <c r="E374">
        <v>66</v>
      </c>
      <c r="G374" t="s">
        <v>402</v>
      </c>
      <c r="H374">
        <v>351940</v>
      </c>
      <c r="I374" t="s">
        <v>6</v>
      </c>
    </row>
    <row r="375" spans="1:9" x14ac:dyDescent="0.2">
      <c r="A375" t="s">
        <v>367</v>
      </c>
      <c r="B375" s="1">
        <v>45332</v>
      </c>
      <c r="D375" t="s">
        <v>10</v>
      </c>
      <c r="E375">
        <v>68</v>
      </c>
      <c r="G375" t="s">
        <v>402</v>
      </c>
      <c r="H375">
        <v>352910</v>
      </c>
      <c r="I375" t="s">
        <v>403</v>
      </c>
    </row>
    <row r="376" spans="1:9" x14ac:dyDescent="0.2">
      <c r="A376" t="s">
        <v>368</v>
      </c>
      <c r="B376" s="1">
        <v>45319</v>
      </c>
      <c r="C376" s="1">
        <v>45327</v>
      </c>
      <c r="D376" t="s">
        <v>7</v>
      </c>
      <c r="E376">
        <v>70</v>
      </c>
      <c r="G376" t="s">
        <v>401</v>
      </c>
      <c r="H376">
        <v>353880</v>
      </c>
      <c r="I376" t="s">
        <v>8</v>
      </c>
    </row>
    <row r="377" spans="1:9" x14ac:dyDescent="0.2">
      <c r="A377" t="s">
        <v>369</v>
      </c>
      <c r="B377" s="1">
        <v>45323</v>
      </c>
      <c r="C377" s="1">
        <v>45324</v>
      </c>
      <c r="D377" t="s">
        <v>5</v>
      </c>
      <c r="E377">
        <v>72</v>
      </c>
      <c r="G377" t="s">
        <v>402</v>
      </c>
      <c r="H377">
        <v>354850</v>
      </c>
      <c r="I377" t="s">
        <v>6</v>
      </c>
    </row>
    <row r="378" spans="1:9" x14ac:dyDescent="0.2">
      <c r="A378" t="s">
        <v>370</v>
      </c>
      <c r="B378" s="1">
        <v>45325</v>
      </c>
      <c r="C378" s="1">
        <v>45337</v>
      </c>
      <c r="D378" t="s">
        <v>12</v>
      </c>
      <c r="E378">
        <v>74</v>
      </c>
      <c r="G378" t="s">
        <v>401</v>
      </c>
      <c r="H378">
        <v>355820</v>
      </c>
      <c r="I378" t="s">
        <v>8</v>
      </c>
    </row>
    <row r="379" spans="1:9" x14ac:dyDescent="0.2">
      <c r="A379" t="s">
        <v>371</v>
      </c>
      <c r="B379" s="1">
        <v>45327</v>
      </c>
      <c r="C379" s="1">
        <v>45328</v>
      </c>
      <c r="D379" t="s">
        <v>404</v>
      </c>
      <c r="E379">
        <v>76</v>
      </c>
      <c r="G379" t="s">
        <v>402</v>
      </c>
      <c r="H379">
        <v>356790</v>
      </c>
      <c r="I379" t="s">
        <v>6</v>
      </c>
    </row>
    <row r="380" spans="1:9" x14ac:dyDescent="0.2">
      <c r="A380" t="s">
        <v>372</v>
      </c>
      <c r="B380" s="1">
        <v>45332</v>
      </c>
      <c r="D380" t="s">
        <v>10</v>
      </c>
      <c r="E380">
        <v>78</v>
      </c>
      <c r="G380" t="s">
        <v>402</v>
      </c>
      <c r="H380">
        <v>357760</v>
      </c>
      <c r="I380" t="s">
        <v>403</v>
      </c>
    </row>
    <row r="381" spans="1:9" x14ac:dyDescent="0.2">
      <c r="A381" t="s">
        <v>373</v>
      </c>
      <c r="B381" s="1">
        <v>45319</v>
      </c>
      <c r="C381" s="1">
        <v>45327</v>
      </c>
      <c r="D381" t="s">
        <v>7</v>
      </c>
      <c r="E381">
        <v>80</v>
      </c>
      <c r="G381" t="s">
        <v>401</v>
      </c>
      <c r="H381">
        <v>358730</v>
      </c>
      <c r="I381" t="s">
        <v>8</v>
      </c>
    </row>
    <row r="382" spans="1:9" x14ac:dyDescent="0.2">
      <c r="A382" t="s">
        <v>374</v>
      </c>
      <c r="B382" s="1">
        <v>45323</v>
      </c>
      <c r="C382" s="1">
        <v>45324</v>
      </c>
      <c r="D382" t="s">
        <v>5</v>
      </c>
      <c r="E382">
        <v>82</v>
      </c>
      <c r="G382" t="s">
        <v>402</v>
      </c>
      <c r="H382">
        <v>359700</v>
      </c>
      <c r="I382" t="s">
        <v>6</v>
      </c>
    </row>
    <row r="383" spans="1:9" x14ac:dyDescent="0.2">
      <c r="A383" t="s">
        <v>375</v>
      </c>
      <c r="B383" s="1">
        <v>45325</v>
      </c>
      <c r="C383" s="1">
        <v>45337</v>
      </c>
      <c r="D383" t="s">
        <v>12</v>
      </c>
      <c r="E383">
        <v>84</v>
      </c>
      <c r="G383" t="s">
        <v>401</v>
      </c>
      <c r="H383">
        <v>360670</v>
      </c>
      <c r="I383" t="s">
        <v>8</v>
      </c>
    </row>
    <row r="384" spans="1:9" x14ac:dyDescent="0.2">
      <c r="A384" t="s">
        <v>376</v>
      </c>
      <c r="B384" s="1">
        <v>45327</v>
      </c>
      <c r="C384" s="1">
        <v>45328</v>
      </c>
      <c r="D384" t="s">
        <v>404</v>
      </c>
      <c r="E384">
        <v>86</v>
      </c>
      <c r="G384" t="s">
        <v>402</v>
      </c>
      <c r="H384">
        <v>361640</v>
      </c>
      <c r="I384" t="s">
        <v>6</v>
      </c>
    </row>
    <row r="385" spans="1:9" x14ac:dyDescent="0.2">
      <c r="A385" t="s">
        <v>377</v>
      </c>
      <c r="B385" s="1">
        <v>45332</v>
      </c>
      <c r="D385" t="s">
        <v>10</v>
      </c>
      <c r="E385">
        <v>88</v>
      </c>
      <c r="G385" t="s">
        <v>402</v>
      </c>
      <c r="H385">
        <v>362610</v>
      </c>
      <c r="I385" t="s">
        <v>403</v>
      </c>
    </row>
    <row r="386" spans="1:9" x14ac:dyDescent="0.2">
      <c r="A386" t="s">
        <v>378</v>
      </c>
      <c r="B386" s="1">
        <v>45319</v>
      </c>
      <c r="C386" s="1">
        <v>45327</v>
      </c>
      <c r="D386" t="s">
        <v>7</v>
      </c>
      <c r="E386">
        <v>90</v>
      </c>
      <c r="G386" t="s">
        <v>401</v>
      </c>
      <c r="H386">
        <v>363580</v>
      </c>
      <c r="I386" t="s">
        <v>8</v>
      </c>
    </row>
    <row r="387" spans="1:9" x14ac:dyDescent="0.2">
      <c r="A387" t="s">
        <v>379</v>
      </c>
      <c r="B387" s="1">
        <v>45323</v>
      </c>
      <c r="C387" s="1">
        <v>45324</v>
      </c>
      <c r="D387" t="s">
        <v>5</v>
      </c>
      <c r="E387">
        <v>92</v>
      </c>
      <c r="G387" t="s">
        <v>402</v>
      </c>
      <c r="H387">
        <v>364550</v>
      </c>
      <c r="I387" t="s">
        <v>6</v>
      </c>
    </row>
    <row r="388" spans="1:9" x14ac:dyDescent="0.2">
      <c r="A388" t="s">
        <v>380</v>
      </c>
      <c r="B388" s="1">
        <v>45325</v>
      </c>
      <c r="C388" s="1">
        <v>45337</v>
      </c>
      <c r="D388" t="s">
        <v>12</v>
      </c>
      <c r="E388">
        <v>94</v>
      </c>
      <c r="G388" t="s">
        <v>401</v>
      </c>
      <c r="H388">
        <v>365520</v>
      </c>
      <c r="I388" t="s">
        <v>8</v>
      </c>
    </row>
    <row r="389" spans="1:9" x14ac:dyDescent="0.2">
      <c r="A389" t="s">
        <v>381</v>
      </c>
      <c r="B389" s="1">
        <v>45327</v>
      </c>
      <c r="C389" s="1">
        <v>45328</v>
      </c>
      <c r="D389" t="s">
        <v>404</v>
      </c>
      <c r="E389">
        <v>96</v>
      </c>
      <c r="G389" t="s">
        <v>402</v>
      </c>
      <c r="H389">
        <v>366490</v>
      </c>
      <c r="I389" t="s">
        <v>6</v>
      </c>
    </row>
    <row r="390" spans="1:9" x14ac:dyDescent="0.2">
      <c r="A390" t="s">
        <v>382</v>
      </c>
      <c r="B390" s="1">
        <v>45332</v>
      </c>
      <c r="D390" t="s">
        <v>10</v>
      </c>
      <c r="E390">
        <v>98</v>
      </c>
      <c r="G390" t="s">
        <v>402</v>
      </c>
      <c r="H390">
        <v>367460</v>
      </c>
      <c r="I390" t="s">
        <v>403</v>
      </c>
    </row>
    <row r="391" spans="1:9" x14ac:dyDescent="0.2">
      <c r="A391" t="s">
        <v>383</v>
      </c>
      <c r="B391" s="1">
        <v>45319</v>
      </c>
      <c r="C391" s="1">
        <v>45327</v>
      </c>
      <c r="D391" t="s">
        <v>7</v>
      </c>
      <c r="E391">
        <v>100</v>
      </c>
      <c r="G391" t="s">
        <v>401</v>
      </c>
      <c r="H391">
        <v>368430</v>
      </c>
      <c r="I391" t="s">
        <v>8</v>
      </c>
    </row>
    <row r="392" spans="1:9" x14ac:dyDescent="0.2">
      <c r="A392" t="s">
        <v>384</v>
      </c>
      <c r="B392" s="1">
        <v>45323</v>
      </c>
      <c r="C392" s="1">
        <v>45324</v>
      </c>
      <c r="D392" t="s">
        <v>5</v>
      </c>
      <c r="E392">
        <v>2</v>
      </c>
      <c r="G392" t="s">
        <v>402</v>
      </c>
      <c r="H392">
        <v>369400</v>
      </c>
      <c r="I392" t="s">
        <v>6</v>
      </c>
    </row>
    <row r="393" spans="1:9" x14ac:dyDescent="0.2">
      <c r="A393" t="s">
        <v>385</v>
      </c>
      <c r="B393" s="1">
        <v>45325</v>
      </c>
      <c r="C393" s="1">
        <v>45337</v>
      </c>
      <c r="D393" t="s">
        <v>12</v>
      </c>
      <c r="E393">
        <v>4</v>
      </c>
      <c r="G393" t="s">
        <v>401</v>
      </c>
      <c r="H393">
        <v>370370</v>
      </c>
      <c r="I393" t="s">
        <v>8</v>
      </c>
    </row>
    <row r="394" spans="1:9" x14ac:dyDescent="0.2">
      <c r="A394" t="s">
        <v>386</v>
      </c>
      <c r="B394" s="1">
        <v>45327</v>
      </c>
      <c r="C394" s="1">
        <v>45328</v>
      </c>
      <c r="D394" t="s">
        <v>404</v>
      </c>
      <c r="E394">
        <v>6</v>
      </c>
      <c r="G394" t="s">
        <v>402</v>
      </c>
      <c r="H394">
        <v>371340</v>
      </c>
      <c r="I394" t="s">
        <v>6</v>
      </c>
    </row>
    <row r="395" spans="1:9" x14ac:dyDescent="0.2">
      <c r="A395" t="s">
        <v>387</v>
      </c>
      <c r="B395" s="1">
        <v>45332</v>
      </c>
      <c r="D395" t="s">
        <v>10</v>
      </c>
      <c r="E395">
        <v>8</v>
      </c>
      <c r="G395" t="s">
        <v>402</v>
      </c>
      <c r="H395">
        <v>372310</v>
      </c>
      <c r="I395" t="s">
        <v>403</v>
      </c>
    </row>
    <row r="396" spans="1:9" x14ac:dyDescent="0.2">
      <c r="A396" t="s">
        <v>388</v>
      </c>
      <c r="B396" s="1">
        <v>45319</v>
      </c>
      <c r="C396" s="1">
        <v>45327</v>
      </c>
      <c r="D396" t="s">
        <v>7</v>
      </c>
      <c r="E396">
        <v>10</v>
      </c>
      <c r="G396" t="s">
        <v>401</v>
      </c>
      <c r="H396">
        <v>373280</v>
      </c>
      <c r="I396" t="s">
        <v>8</v>
      </c>
    </row>
    <row r="397" spans="1:9" x14ac:dyDescent="0.2">
      <c r="A397" t="s">
        <v>389</v>
      </c>
      <c r="B397" s="1">
        <v>45323</v>
      </c>
      <c r="C397" s="1">
        <v>45324</v>
      </c>
      <c r="D397" t="s">
        <v>5</v>
      </c>
      <c r="E397">
        <v>12</v>
      </c>
      <c r="G397" t="s">
        <v>402</v>
      </c>
      <c r="H397">
        <v>374250</v>
      </c>
      <c r="I397" t="s">
        <v>6</v>
      </c>
    </row>
    <row r="398" spans="1:9" x14ac:dyDescent="0.2">
      <c r="A398" t="s">
        <v>390</v>
      </c>
      <c r="B398" s="1">
        <v>45325</v>
      </c>
      <c r="C398" s="1">
        <v>45337</v>
      </c>
      <c r="D398" t="s">
        <v>12</v>
      </c>
      <c r="E398">
        <v>14</v>
      </c>
      <c r="G398" t="s">
        <v>401</v>
      </c>
      <c r="H398">
        <v>375220</v>
      </c>
      <c r="I398" t="s">
        <v>8</v>
      </c>
    </row>
    <row r="399" spans="1:9" x14ac:dyDescent="0.2">
      <c r="A399" t="s">
        <v>391</v>
      </c>
      <c r="B399" s="1">
        <v>45327</v>
      </c>
      <c r="C399" s="1">
        <v>45328</v>
      </c>
      <c r="D399" t="s">
        <v>404</v>
      </c>
      <c r="E399">
        <v>16</v>
      </c>
      <c r="G399" t="s">
        <v>402</v>
      </c>
      <c r="H399">
        <v>376190</v>
      </c>
      <c r="I399" t="s">
        <v>6</v>
      </c>
    </row>
    <row r="400" spans="1:9" x14ac:dyDescent="0.2">
      <c r="A400" t="s">
        <v>392</v>
      </c>
      <c r="B400" s="1">
        <v>45332</v>
      </c>
      <c r="D400" t="s">
        <v>10</v>
      </c>
      <c r="E400">
        <v>18</v>
      </c>
      <c r="G400" t="s">
        <v>402</v>
      </c>
      <c r="H400">
        <v>377160</v>
      </c>
      <c r="I400" t="s">
        <v>403</v>
      </c>
    </row>
    <row r="401" spans="1:9" x14ac:dyDescent="0.2">
      <c r="A401" t="s">
        <v>393</v>
      </c>
      <c r="B401" s="1">
        <v>45319</v>
      </c>
      <c r="C401" s="1">
        <v>45327</v>
      </c>
      <c r="D401" t="s">
        <v>7</v>
      </c>
      <c r="E401">
        <v>20</v>
      </c>
      <c r="G401" t="s">
        <v>401</v>
      </c>
      <c r="H401">
        <v>378130</v>
      </c>
      <c r="I401" t="s">
        <v>8</v>
      </c>
    </row>
    <row r="402" spans="1:9" x14ac:dyDescent="0.2">
      <c r="A402" t="s">
        <v>394</v>
      </c>
      <c r="B402" s="1">
        <v>45323</v>
      </c>
      <c r="C402" s="1">
        <v>45324</v>
      </c>
      <c r="D402" t="s">
        <v>5</v>
      </c>
      <c r="E402">
        <v>22</v>
      </c>
      <c r="G402" t="s">
        <v>402</v>
      </c>
      <c r="H402">
        <v>379100</v>
      </c>
      <c r="I402" t="s">
        <v>6</v>
      </c>
    </row>
    <row r="403" spans="1:9" x14ac:dyDescent="0.2">
      <c r="A403" t="s">
        <v>395</v>
      </c>
      <c r="B403" s="1">
        <v>45325</v>
      </c>
      <c r="C403" s="1">
        <v>45337</v>
      </c>
      <c r="D403" t="s">
        <v>12</v>
      </c>
      <c r="E403">
        <v>24</v>
      </c>
      <c r="G403" t="s">
        <v>401</v>
      </c>
      <c r="H403">
        <v>380070</v>
      </c>
      <c r="I403" t="s">
        <v>8</v>
      </c>
    </row>
    <row r="404" spans="1:9" x14ac:dyDescent="0.2">
      <c r="A404" t="s">
        <v>396</v>
      </c>
      <c r="B404" s="1">
        <v>45327</v>
      </c>
      <c r="C404" s="1">
        <v>45328</v>
      </c>
      <c r="D404" t="s">
        <v>404</v>
      </c>
      <c r="E404">
        <v>26</v>
      </c>
      <c r="G404" t="s">
        <v>402</v>
      </c>
      <c r="H404">
        <v>381040</v>
      </c>
      <c r="I404" t="s">
        <v>6</v>
      </c>
    </row>
    <row r="405" spans="1:9" x14ac:dyDescent="0.2">
      <c r="A405" t="s">
        <v>397</v>
      </c>
      <c r="B405" s="1">
        <v>45332</v>
      </c>
      <c r="D405" t="s">
        <v>10</v>
      </c>
      <c r="E405">
        <v>28</v>
      </c>
      <c r="G405" t="s">
        <v>402</v>
      </c>
      <c r="H405">
        <v>382010</v>
      </c>
      <c r="I405" t="s">
        <v>403</v>
      </c>
    </row>
    <row r="406" spans="1:9" x14ac:dyDescent="0.2">
      <c r="A406" t="s">
        <v>405</v>
      </c>
      <c r="B406" s="1">
        <v>45319</v>
      </c>
      <c r="C406" s="1">
        <v>45327</v>
      </c>
      <c r="D406" t="s">
        <v>7</v>
      </c>
      <c r="E406">
        <v>30</v>
      </c>
      <c r="G406" t="s">
        <v>401</v>
      </c>
      <c r="H406">
        <v>382980</v>
      </c>
      <c r="I406" t="s">
        <v>8</v>
      </c>
    </row>
    <row r="407" spans="1:9" x14ac:dyDescent="0.2">
      <c r="A407" t="s">
        <v>406</v>
      </c>
      <c r="B407" s="1">
        <v>45323</v>
      </c>
      <c r="C407" s="1">
        <v>45324</v>
      </c>
      <c r="D407" t="s">
        <v>5</v>
      </c>
      <c r="E407">
        <v>32</v>
      </c>
      <c r="G407" t="s">
        <v>402</v>
      </c>
      <c r="H407">
        <v>383950</v>
      </c>
      <c r="I407" t="s">
        <v>6</v>
      </c>
    </row>
    <row r="408" spans="1:9" x14ac:dyDescent="0.2">
      <c r="A408" t="s">
        <v>407</v>
      </c>
      <c r="B408" s="1">
        <v>45325</v>
      </c>
      <c r="C408" s="1">
        <v>45337</v>
      </c>
      <c r="D408" t="s">
        <v>12</v>
      </c>
      <c r="E408">
        <v>34</v>
      </c>
      <c r="G408" t="s">
        <v>401</v>
      </c>
      <c r="H408">
        <v>384920</v>
      </c>
      <c r="I408" t="s">
        <v>8</v>
      </c>
    </row>
    <row r="409" spans="1:9" x14ac:dyDescent="0.2">
      <c r="A409" t="s">
        <v>408</v>
      </c>
      <c r="B409" s="1">
        <v>45327</v>
      </c>
      <c r="C409" s="1">
        <v>45328</v>
      </c>
      <c r="D409" t="s">
        <v>404</v>
      </c>
      <c r="E409">
        <v>36</v>
      </c>
      <c r="G409" t="s">
        <v>402</v>
      </c>
      <c r="H409">
        <v>385890</v>
      </c>
      <c r="I409" t="s">
        <v>6</v>
      </c>
    </row>
    <row r="410" spans="1:9" x14ac:dyDescent="0.2">
      <c r="A410" t="s">
        <v>409</v>
      </c>
      <c r="B410" s="1">
        <v>45332</v>
      </c>
      <c r="D410" t="s">
        <v>10</v>
      </c>
      <c r="E410">
        <v>38</v>
      </c>
      <c r="G410" t="s">
        <v>402</v>
      </c>
      <c r="H410">
        <v>386860</v>
      </c>
      <c r="I410" t="s">
        <v>403</v>
      </c>
    </row>
    <row r="411" spans="1:9" x14ac:dyDescent="0.2">
      <c r="A411" t="s">
        <v>410</v>
      </c>
      <c r="B411" s="1">
        <v>45319</v>
      </c>
      <c r="C411" s="1">
        <v>45327</v>
      </c>
      <c r="D411" t="s">
        <v>7</v>
      </c>
      <c r="E411">
        <v>40</v>
      </c>
      <c r="G411" t="s">
        <v>401</v>
      </c>
      <c r="H411">
        <v>387830</v>
      </c>
      <c r="I411" t="s">
        <v>8</v>
      </c>
    </row>
    <row r="412" spans="1:9" x14ac:dyDescent="0.2">
      <c r="A412" t="s">
        <v>411</v>
      </c>
      <c r="B412" s="1">
        <v>45323</v>
      </c>
      <c r="C412" s="1">
        <v>45324</v>
      </c>
      <c r="D412" t="s">
        <v>5</v>
      </c>
      <c r="E412">
        <v>42</v>
      </c>
      <c r="G412" t="s">
        <v>402</v>
      </c>
      <c r="H412">
        <v>388800</v>
      </c>
      <c r="I412" t="s">
        <v>6</v>
      </c>
    </row>
    <row r="413" spans="1:9" x14ac:dyDescent="0.2">
      <c r="A413" t="s">
        <v>412</v>
      </c>
      <c r="B413" s="1">
        <v>45325</v>
      </c>
      <c r="C413" s="1">
        <v>45337</v>
      </c>
      <c r="D413" t="s">
        <v>12</v>
      </c>
      <c r="E413">
        <v>44</v>
      </c>
      <c r="G413" t="s">
        <v>401</v>
      </c>
      <c r="H413">
        <v>389770</v>
      </c>
      <c r="I413" t="s">
        <v>8</v>
      </c>
    </row>
    <row r="414" spans="1:9" x14ac:dyDescent="0.2">
      <c r="A414" t="s">
        <v>413</v>
      </c>
      <c r="B414" s="1">
        <v>45327</v>
      </c>
      <c r="C414" s="1">
        <v>45328</v>
      </c>
      <c r="D414" t="s">
        <v>404</v>
      </c>
      <c r="E414">
        <v>46</v>
      </c>
      <c r="G414" t="s">
        <v>402</v>
      </c>
      <c r="H414">
        <v>390740</v>
      </c>
      <c r="I414" t="s">
        <v>6</v>
      </c>
    </row>
    <row r="415" spans="1:9" x14ac:dyDescent="0.2">
      <c r="A415" t="s">
        <v>414</v>
      </c>
      <c r="B415" s="1">
        <v>45332</v>
      </c>
      <c r="D415" t="s">
        <v>10</v>
      </c>
      <c r="E415">
        <v>48</v>
      </c>
      <c r="G415" t="s">
        <v>402</v>
      </c>
      <c r="H415">
        <v>391710</v>
      </c>
      <c r="I415" t="s">
        <v>403</v>
      </c>
    </row>
    <row r="416" spans="1:9" x14ac:dyDescent="0.2">
      <c r="A416" t="s">
        <v>415</v>
      </c>
      <c r="B416" s="1">
        <v>45319</v>
      </c>
      <c r="C416" s="1">
        <v>45327</v>
      </c>
      <c r="D416" t="s">
        <v>7</v>
      </c>
      <c r="E416">
        <v>50</v>
      </c>
      <c r="G416" t="s">
        <v>401</v>
      </c>
      <c r="H416">
        <v>392680</v>
      </c>
      <c r="I416" t="s">
        <v>8</v>
      </c>
    </row>
    <row r="417" spans="1:9" x14ac:dyDescent="0.2">
      <c r="A417" t="s">
        <v>416</v>
      </c>
      <c r="B417" s="1">
        <v>45323</v>
      </c>
      <c r="C417" s="1">
        <v>45324</v>
      </c>
      <c r="D417" t="s">
        <v>5</v>
      </c>
      <c r="E417">
        <v>52</v>
      </c>
      <c r="G417" t="s">
        <v>402</v>
      </c>
      <c r="H417">
        <v>393650</v>
      </c>
      <c r="I417" t="s">
        <v>6</v>
      </c>
    </row>
    <row r="418" spans="1:9" x14ac:dyDescent="0.2">
      <c r="A418" t="s">
        <v>417</v>
      </c>
      <c r="B418" s="1">
        <v>45325</v>
      </c>
      <c r="C418" s="1">
        <v>45337</v>
      </c>
      <c r="D418" t="s">
        <v>12</v>
      </c>
      <c r="E418">
        <v>54</v>
      </c>
      <c r="G418" t="s">
        <v>401</v>
      </c>
      <c r="H418">
        <v>394620</v>
      </c>
      <c r="I418" t="s">
        <v>8</v>
      </c>
    </row>
    <row r="419" spans="1:9" x14ac:dyDescent="0.2">
      <c r="A419" t="s">
        <v>418</v>
      </c>
      <c r="B419" s="1">
        <v>45327</v>
      </c>
      <c r="C419" s="1">
        <v>45328</v>
      </c>
      <c r="D419" t="s">
        <v>404</v>
      </c>
      <c r="E419">
        <v>56</v>
      </c>
      <c r="G419" t="s">
        <v>402</v>
      </c>
      <c r="H419">
        <v>395590</v>
      </c>
      <c r="I419" t="s">
        <v>6</v>
      </c>
    </row>
    <row r="420" spans="1:9" x14ac:dyDescent="0.2">
      <c r="A420" t="s">
        <v>419</v>
      </c>
      <c r="B420" s="1">
        <v>45332</v>
      </c>
      <c r="D420" t="s">
        <v>10</v>
      </c>
      <c r="E420">
        <v>58</v>
      </c>
      <c r="G420" t="s">
        <v>402</v>
      </c>
      <c r="H420">
        <v>396560</v>
      </c>
      <c r="I420" t="s">
        <v>403</v>
      </c>
    </row>
    <row r="421" spans="1:9" x14ac:dyDescent="0.2">
      <c r="A421" t="s">
        <v>420</v>
      </c>
      <c r="B421" s="1">
        <v>45319</v>
      </c>
      <c r="C421" s="1">
        <v>45327</v>
      </c>
      <c r="D421" t="s">
        <v>7</v>
      </c>
      <c r="E421">
        <v>60</v>
      </c>
      <c r="G421" t="s">
        <v>401</v>
      </c>
      <c r="H421">
        <v>397530</v>
      </c>
      <c r="I421" t="s">
        <v>8</v>
      </c>
    </row>
    <row r="422" spans="1:9" x14ac:dyDescent="0.2">
      <c r="A422" t="s">
        <v>421</v>
      </c>
      <c r="B422" s="1">
        <v>45323</v>
      </c>
      <c r="C422" s="1">
        <v>45324</v>
      </c>
      <c r="D422" t="s">
        <v>5</v>
      </c>
      <c r="E422">
        <v>62</v>
      </c>
      <c r="G422" t="s">
        <v>402</v>
      </c>
      <c r="H422">
        <v>398500</v>
      </c>
      <c r="I422" t="s">
        <v>6</v>
      </c>
    </row>
    <row r="423" spans="1:9" x14ac:dyDescent="0.2">
      <c r="A423" t="s">
        <v>422</v>
      </c>
      <c r="B423" s="1">
        <v>45325</v>
      </c>
      <c r="C423" s="1">
        <v>45337</v>
      </c>
      <c r="D423" t="s">
        <v>12</v>
      </c>
      <c r="E423">
        <v>64</v>
      </c>
      <c r="G423" t="s">
        <v>401</v>
      </c>
      <c r="H423">
        <v>399470</v>
      </c>
      <c r="I423" t="s">
        <v>8</v>
      </c>
    </row>
    <row r="424" spans="1:9" x14ac:dyDescent="0.2">
      <c r="A424" t="s">
        <v>423</v>
      </c>
      <c r="B424" s="1">
        <v>45327</v>
      </c>
      <c r="C424" s="1">
        <v>45328</v>
      </c>
      <c r="D424" t="s">
        <v>404</v>
      </c>
      <c r="E424">
        <v>66</v>
      </c>
      <c r="G424" t="s">
        <v>402</v>
      </c>
      <c r="H424">
        <v>400440</v>
      </c>
      <c r="I424" t="s">
        <v>6</v>
      </c>
    </row>
    <row r="425" spans="1:9" x14ac:dyDescent="0.2">
      <c r="A425" t="s">
        <v>424</v>
      </c>
      <c r="B425" s="1">
        <v>45332</v>
      </c>
      <c r="D425" t="s">
        <v>10</v>
      </c>
      <c r="E425">
        <v>68</v>
      </c>
      <c r="G425" t="s">
        <v>402</v>
      </c>
      <c r="H425">
        <v>401410</v>
      </c>
      <c r="I425" t="s">
        <v>403</v>
      </c>
    </row>
    <row r="426" spans="1:9" x14ac:dyDescent="0.2">
      <c r="A426" t="s">
        <v>425</v>
      </c>
      <c r="B426" s="1">
        <v>45319</v>
      </c>
      <c r="C426" s="1">
        <v>45327</v>
      </c>
      <c r="D426" t="s">
        <v>7</v>
      </c>
      <c r="E426">
        <v>70</v>
      </c>
      <c r="G426" t="s">
        <v>401</v>
      </c>
      <c r="H426">
        <v>402380</v>
      </c>
      <c r="I426" t="s">
        <v>8</v>
      </c>
    </row>
    <row r="427" spans="1:9" x14ac:dyDescent="0.2">
      <c r="A427" t="s">
        <v>426</v>
      </c>
      <c r="B427" s="1">
        <v>45323</v>
      </c>
      <c r="C427" s="1">
        <v>45324</v>
      </c>
      <c r="D427" t="s">
        <v>5</v>
      </c>
      <c r="E427">
        <v>72</v>
      </c>
      <c r="G427" t="s">
        <v>402</v>
      </c>
      <c r="H427">
        <v>403350</v>
      </c>
      <c r="I427" t="s">
        <v>6</v>
      </c>
    </row>
    <row r="428" spans="1:9" x14ac:dyDescent="0.2">
      <c r="A428" t="s">
        <v>427</v>
      </c>
      <c r="B428" s="1">
        <v>45325</v>
      </c>
      <c r="C428" s="1">
        <v>45337</v>
      </c>
      <c r="D428" t="s">
        <v>12</v>
      </c>
      <c r="E428">
        <v>74</v>
      </c>
      <c r="G428" t="s">
        <v>401</v>
      </c>
      <c r="H428">
        <v>404320</v>
      </c>
      <c r="I428" t="s">
        <v>8</v>
      </c>
    </row>
    <row r="429" spans="1:9" x14ac:dyDescent="0.2">
      <c r="A429" t="s">
        <v>428</v>
      </c>
      <c r="B429" s="1">
        <v>45327</v>
      </c>
      <c r="C429" s="1">
        <v>45328</v>
      </c>
      <c r="D429" t="s">
        <v>404</v>
      </c>
      <c r="E429">
        <v>76</v>
      </c>
      <c r="G429" t="s">
        <v>402</v>
      </c>
      <c r="H429">
        <v>405290</v>
      </c>
      <c r="I429" t="s">
        <v>6</v>
      </c>
    </row>
    <row r="430" spans="1:9" x14ac:dyDescent="0.2">
      <c r="A430" t="s">
        <v>429</v>
      </c>
      <c r="B430" s="1">
        <v>45332</v>
      </c>
      <c r="D430" t="s">
        <v>10</v>
      </c>
      <c r="E430">
        <v>78</v>
      </c>
      <c r="G430" t="s">
        <v>402</v>
      </c>
      <c r="H430">
        <v>406260</v>
      </c>
      <c r="I430" t="s">
        <v>403</v>
      </c>
    </row>
    <row r="431" spans="1:9" x14ac:dyDescent="0.2">
      <c r="A431" t="s">
        <v>430</v>
      </c>
      <c r="B431" s="1">
        <v>45319</v>
      </c>
      <c r="C431" s="1">
        <v>45327</v>
      </c>
      <c r="D431" t="s">
        <v>7</v>
      </c>
      <c r="E431">
        <v>80</v>
      </c>
      <c r="G431" t="s">
        <v>401</v>
      </c>
      <c r="H431">
        <v>407230</v>
      </c>
      <c r="I431" t="s">
        <v>8</v>
      </c>
    </row>
    <row r="432" spans="1:9" x14ac:dyDescent="0.2">
      <c r="A432" t="s">
        <v>431</v>
      </c>
      <c r="B432" s="1">
        <v>45323</v>
      </c>
      <c r="C432" s="1">
        <v>45324</v>
      </c>
      <c r="D432" t="s">
        <v>5</v>
      </c>
      <c r="E432">
        <v>82</v>
      </c>
      <c r="G432" t="s">
        <v>402</v>
      </c>
      <c r="H432">
        <v>408200</v>
      </c>
      <c r="I432" t="s">
        <v>6</v>
      </c>
    </row>
    <row r="433" spans="1:9" x14ac:dyDescent="0.2">
      <c r="A433" t="s">
        <v>432</v>
      </c>
      <c r="B433" s="1">
        <v>45325</v>
      </c>
      <c r="C433" s="1">
        <v>45337</v>
      </c>
      <c r="D433" t="s">
        <v>12</v>
      </c>
      <c r="E433">
        <v>84</v>
      </c>
      <c r="G433" t="s">
        <v>401</v>
      </c>
      <c r="H433">
        <v>409170</v>
      </c>
      <c r="I433" t="s">
        <v>8</v>
      </c>
    </row>
    <row r="434" spans="1:9" x14ac:dyDescent="0.2">
      <c r="A434" t="s">
        <v>433</v>
      </c>
      <c r="B434" s="1">
        <v>45327</v>
      </c>
      <c r="C434" s="1">
        <v>45328</v>
      </c>
      <c r="D434" t="s">
        <v>404</v>
      </c>
      <c r="E434">
        <v>86</v>
      </c>
      <c r="G434" t="s">
        <v>402</v>
      </c>
      <c r="H434">
        <v>410140</v>
      </c>
      <c r="I434" t="s">
        <v>6</v>
      </c>
    </row>
    <row r="435" spans="1:9" x14ac:dyDescent="0.2">
      <c r="A435" t="s">
        <v>434</v>
      </c>
      <c r="B435" s="1">
        <v>45332</v>
      </c>
      <c r="D435" t="s">
        <v>10</v>
      </c>
      <c r="E435">
        <v>88</v>
      </c>
      <c r="G435" t="s">
        <v>402</v>
      </c>
      <c r="H435">
        <v>411110</v>
      </c>
      <c r="I435" t="s">
        <v>403</v>
      </c>
    </row>
    <row r="436" spans="1:9" x14ac:dyDescent="0.2">
      <c r="A436" t="s">
        <v>435</v>
      </c>
      <c r="B436" s="1">
        <v>45319</v>
      </c>
      <c r="C436" s="1">
        <v>45327</v>
      </c>
      <c r="D436" t="s">
        <v>7</v>
      </c>
      <c r="E436">
        <v>90</v>
      </c>
      <c r="G436" t="s">
        <v>401</v>
      </c>
      <c r="H436">
        <v>412080</v>
      </c>
      <c r="I436" t="s">
        <v>8</v>
      </c>
    </row>
    <row r="437" spans="1:9" x14ac:dyDescent="0.2">
      <c r="A437" t="s">
        <v>436</v>
      </c>
      <c r="B437" s="1">
        <v>45323</v>
      </c>
      <c r="C437" s="1">
        <v>45324</v>
      </c>
      <c r="D437" t="s">
        <v>5</v>
      </c>
      <c r="E437">
        <v>92</v>
      </c>
      <c r="G437" t="s">
        <v>402</v>
      </c>
      <c r="H437">
        <v>413050</v>
      </c>
      <c r="I437" t="s">
        <v>6</v>
      </c>
    </row>
    <row r="438" spans="1:9" x14ac:dyDescent="0.2">
      <c r="A438" t="s">
        <v>437</v>
      </c>
      <c r="B438" s="1">
        <v>45325</v>
      </c>
      <c r="C438" s="1">
        <v>45337</v>
      </c>
      <c r="D438" t="s">
        <v>12</v>
      </c>
      <c r="E438">
        <v>94</v>
      </c>
      <c r="G438" t="s">
        <v>401</v>
      </c>
      <c r="H438">
        <v>414020</v>
      </c>
      <c r="I438" t="s">
        <v>8</v>
      </c>
    </row>
    <row r="439" spans="1:9" x14ac:dyDescent="0.2">
      <c r="A439" t="s">
        <v>438</v>
      </c>
      <c r="B439" s="1">
        <v>45327</v>
      </c>
      <c r="C439" s="1">
        <v>45328</v>
      </c>
      <c r="D439" t="s">
        <v>404</v>
      </c>
      <c r="E439">
        <v>96</v>
      </c>
      <c r="G439" t="s">
        <v>402</v>
      </c>
      <c r="H439">
        <v>414990</v>
      </c>
      <c r="I439" t="s">
        <v>6</v>
      </c>
    </row>
    <row r="440" spans="1:9" x14ac:dyDescent="0.2">
      <c r="A440" t="s">
        <v>439</v>
      </c>
      <c r="B440" s="1">
        <v>45332</v>
      </c>
      <c r="D440" t="s">
        <v>10</v>
      </c>
      <c r="E440">
        <v>98</v>
      </c>
      <c r="G440" t="s">
        <v>402</v>
      </c>
      <c r="H440">
        <v>415960</v>
      </c>
      <c r="I440" t="s">
        <v>403</v>
      </c>
    </row>
    <row r="441" spans="1:9" x14ac:dyDescent="0.2">
      <c r="A441" t="s">
        <v>440</v>
      </c>
      <c r="B441" s="1">
        <v>45319</v>
      </c>
      <c r="C441" s="1">
        <v>45327</v>
      </c>
      <c r="D441" t="s">
        <v>7</v>
      </c>
      <c r="E441">
        <v>100</v>
      </c>
      <c r="G441" t="s">
        <v>401</v>
      </c>
      <c r="H441">
        <v>416930</v>
      </c>
      <c r="I441" t="s">
        <v>8</v>
      </c>
    </row>
    <row r="442" spans="1:9" x14ac:dyDescent="0.2">
      <c r="A442" t="s">
        <v>441</v>
      </c>
      <c r="B442" s="1">
        <v>45323</v>
      </c>
      <c r="C442" s="1">
        <v>45324</v>
      </c>
      <c r="D442" t="s">
        <v>5</v>
      </c>
      <c r="E442">
        <v>2</v>
      </c>
      <c r="G442" t="s">
        <v>402</v>
      </c>
      <c r="H442">
        <v>417900</v>
      </c>
      <c r="I442" t="s">
        <v>6</v>
      </c>
    </row>
    <row r="443" spans="1:9" x14ac:dyDescent="0.2">
      <c r="A443" t="s">
        <v>442</v>
      </c>
      <c r="B443" s="1">
        <v>45325</v>
      </c>
      <c r="C443" s="1">
        <v>45337</v>
      </c>
      <c r="D443" t="s">
        <v>12</v>
      </c>
      <c r="E443">
        <v>4</v>
      </c>
      <c r="G443" t="s">
        <v>401</v>
      </c>
      <c r="H443">
        <v>418870</v>
      </c>
      <c r="I443" t="s">
        <v>8</v>
      </c>
    </row>
    <row r="444" spans="1:9" x14ac:dyDescent="0.2">
      <c r="A444" t="s">
        <v>443</v>
      </c>
      <c r="B444" s="1">
        <v>45327</v>
      </c>
      <c r="C444" s="1">
        <v>45328</v>
      </c>
      <c r="D444" t="s">
        <v>404</v>
      </c>
      <c r="E444">
        <v>6</v>
      </c>
      <c r="G444" t="s">
        <v>402</v>
      </c>
      <c r="H444">
        <v>419840</v>
      </c>
      <c r="I444" t="s">
        <v>6</v>
      </c>
    </row>
    <row r="445" spans="1:9" x14ac:dyDescent="0.2">
      <c r="A445" t="s">
        <v>444</v>
      </c>
      <c r="B445" s="1">
        <v>45332</v>
      </c>
      <c r="D445" t="s">
        <v>10</v>
      </c>
      <c r="E445">
        <v>8</v>
      </c>
      <c r="G445" t="s">
        <v>402</v>
      </c>
      <c r="H445">
        <v>420810</v>
      </c>
      <c r="I445" t="s">
        <v>403</v>
      </c>
    </row>
    <row r="446" spans="1:9" x14ac:dyDescent="0.2">
      <c r="A446" t="s">
        <v>445</v>
      </c>
      <c r="B446" s="1">
        <v>45319</v>
      </c>
      <c r="C446" s="1">
        <v>45327</v>
      </c>
      <c r="D446" t="s">
        <v>7</v>
      </c>
      <c r="E446">
        <v>10</v>
      </c>
      <c r="G446" t="s">
        <v>401</v>
      </c>
      <c r="H446">
        <v>421780</v>
      </c>
      <c r="I446" t="s">
        <v>8</v>
      </c>
    </row>
    <row r="447" spans="1:9" x14ac:dyDescent="0.2">
      <c r="A447" t="s">
        <v>446</v>
      </c>
      <c r="B447" s="1">
        <v>45323</v>
      </c>
      <c r="C447" s="1">
        <v>45324</v>
      </c>
      <c r="D447" t="s">
        <v>5</v>
      </c>
      <c r="E447">
        <v>12</v>
      </c>
      <c r="G447" t="s">
        <v>402</v>
      </c>
      <c r="H447">
        <v>422750</v>
      </c>
      <c r="I447" t="s">
        <v>6</v>
      </c>
    </row>
    <row r="448" spans="1:9" x14ac:dyDescent="0.2">
      <c r="A448" t="s">
        <v>447</v>
      </c>
      <c r="B448" s="1">
        <v>45325</v>
      </c>
      <c r="C448" s="1">
        <v>45337</v>
      </c>
      <c r="D448" t="s">
        <v>12</v>
      </c>
      <c r="E448">
        <v>14</v>
      </c>
      <c r="G448" t="s">
        <v>401</v>
      </c>
      <c r="H448">
        <v>423720</v>
      </c>
      <c r="I448" t="s">
        <v>8</v>
      </c>
    </row>
    <row r="449" spans="1:9" x14ac:dyDescent="0.2">
      <c r="A449" t="s">
        <v>448</v>
      </c>
      <c r="B449" s="1">
        <v>45327</v>
      </c>
      <c r="C449" s="1">
        <v>45328</v>
      </c>
      <c r="D449" t="s">
        <v>404</v>
      </c>
      <c r="E449">
        <v>16</v>
      </c>
      <c r="G449" t="s">
        <v>402</v>
      </c>
      <c r="H449">
        <v>424690</v>
      </c>
      <c r="I449" t="s">
        <v>6</v>
      </c>
    </row>
    <row r="450" spans="1:9" x14ac:dyDescent="0.2">
      <c r="A450" t="s">
        <v>449</v>
      </c>
      <c r="B450" s="1">
        <v>45332</v>
      </c>
      <c r="D450" t="s">
        <v>10</v>
      </c>
      <c r="E450">
        <v>18</v>
      </c>
      <c r="G450" t="s">
        <v>402</v>
      </c>
      <c r="H450">
        <v>425660</v>
      </c>
      <c r="I450" t="s">
        <v>403</v>
      </c>
    </row>
    <row r="451" spans="1:9" x14ac:dyDescent="0.2">
      <c r="A451" t="s">
        <v>450</v>
      </c>
      <c r="B451" s="1">
        <v>45319</v>
      </c>
      <c r="C451" s="1">
        <v>45327</v>
      </c>
      <c r="D451" t="s">
        <v>7</v>
      </c>
      <c r="E451">
        <v>20</v>
      </c>
      <c r="G451" t="s">
        <v>401</v>
      </c>
      <c r="H451">
        <v>426630</v>
      </c>
      <c r="I451" t="s">
        <v>8</v>
      </c>
    </row>
    <row r="452" spans="1:9" x14ac:dyDescent="0.2">
      <c r="A452" t="s">
        <v>451</v>
      </c>
      <c r="B452" s="1">
        <v>45323</v>
      </c>
      <c r="C452" s="1">
        <v>45324</v>
      </c>
      <c r="D452" t="s">
        <v>5</v>
      </c>
      <c r="E452">
        <v>22</v>
      </c>
      <c r="G452" t="s">
        <v>402</v>
      </c>
      <c r="H452">
        <v>427600</v>
      </c>
      <c r="I452" t="s">
        <v>6</v>
      </c>
    </row>
    <row r="453" spans="1:9" x14ac:dyDescent="0.2">
      <c r="A453" t="s">
        <v>452</v>
      </c>
      <c r="B453" s="1">
        <v>45325</v>
      </c>
      <c r="C453" s="1">
        <v>45337</v>
      </c>
      <c r="D453" t="s">
        <v>12</v>
      </c>
      <c r="E453">
        <v>24</v>
      </c>
      <c r="G453" t="s">
        <v>401</v>
      </c>
      <c r="H453">
        <v>428570</v>
      </c>
      <c r="I453" t="s">
        <v>8</v>
      </c>
    </row>
    <row r="454" spans="1:9" x14ac:dyDescent="0.2">
      <c r="A454" t="s">
        <v>453</v>
      </c>
      <c r="B454" s="1">
        <v>45327</v>
      </c>
      <c r="C454" s="1">
        <v>45328</v>
      </c>
      <c r="D454" t="s">
        <v>404</v>
      </c>
      <c r="E454">
        <v>26</v>
      </c>
      <c r="G454" t="s">
        <v>402</v>
      </c>
      <c r="H454">
        <v>429540</v>
      </c>
      <c r="I454" t="s">
        <v>6</v>
      </c>
    </row>
    <row r="455" spans="1:9" x14ac:dyDescent="0.2">
      <c r="A455" t="s">
        <v>454</v>
      </c>
      <c r="B455" s="1">
        <v>45332</v>
      </c>
      <c r="D455" t="s">
        <v>10</v>
      </c>
      <c r="E455">
        <v>28</v>
      </c>
      <c r="G455" t="s">
        <v>402</v>
      </c>
      <c r="H455">
        <v>430510</v>
      </c>
      <c r="I455" t="s">
        <v>403</v>
      </c>
    </row>
    <row r="456" spans="1:9" x14ac:dyDescent="0.2">
      <c r="A456" t="s">
        <v>455</v>
      </c>
      <c r="B456" s="1">
        <v>45319</v>
      </c>
      <c r="C456" s="1">
        <v>45327</v>
      </c>
      <c r="D456" t="s">
        <v>7</v>
      </c>
      <c r="E456">
        <v>30</v>
      </c>
      <c r="G456" t="s">
        <v>401</v>
      </c>
      <c r="H456">
        <v>431480</v>
      </c>
      <c r="I456" t="s">
        <v>8</v>
      </c>
    </row>
    <row r="457" spans="1:9" x14ac:dyDescent="0.2">
      <c r="A457" t="s">
        <v>456</v>
      </c>
      <c r="B457" s="1">
        <v>45323</v>
      </c>
      <c r="C457" s="1">
        <v>45324</v>
      </c>
      <c r="D457" t="s">
        <v>5</v>
      </c>
      <c r="E457">
        <v>32</v>
      </c>
      <c r="G457" t="s">
        <v>402</v>
      </c>
      <c r="H457">
        <v>432450</v>
      </c>
      <c r="I457" t="s">
        <v>6</v>
      </c>
    </row>
    <row r="458" spans="1:9" x14ac:dyDescent="0.2">
      <c r="A458" t="s">
        <v>457</v>
      </c>
      <c r="B458" s="1">
        <v>45325</v>
      </c>
      <c r="C458" s="1">
        <v>45337</v>
      </c>
      <c r="D458" t="s">
        <v>12</v>
      </c>
      <c r="E458">
        <v>34</v>
      </c>
      <c r="G458" t="s">
        <v>401</v>
      </c>
      <c r="H458">
        <v>433420</v>
      </c>
      <c r="I458" t="s">
        <v>8</v>
      </c>
    </row>
    <row r="459" spans="1:9" x14ac:dyDescent="0.2">
      <c r="A459" t="s">
        <v>458</v>
      </c>
      <c r="B459" s="1">
        <v>45327</v>
      </c>
      <c r="C459" s="1">
        <v>45328</v>
      </c>
      <c r="D459" t="s">
        <v>404</v>
      </c>
      <c r="E459">
        <v>36</v>
      </c>
      <c r="G459" t="s">
        <v>402</v>
      </c>
      <c r="H459">
        <v>434390</v>
      </c>
      <c r="I459" t="s">
        <v>6</v>
      </c>
    </row>
    <row r="460" spans="1:9" x14ac:dyDescent="0.2">
      <c r="A460" t="s">
        <v>459</v>
      </c>
      <c r="B460" s="1">
        <v>45332</v>
      </c>
      <c r="D460" t="s">
        <v>10</v>
      </c>
      <c r="E460">
        <v>38</v>
      </c>
      <c r="G460" t="s">
        <v>402</v>
      </c>
      <c r="H460">
        <v>435360</v>
      </c>
      <c r="I460" t="s">
        <v>403</v>
      </c>
    </row>
    <row r="461" spans="1:9" x14ac:dyDescent="0.2">
      <c r="A461" t="s">
        <v>460</v>
      </c>
      <c r="B461" s="1">
        <v>45319</v>
      </c>
      <c r="C461" s="1">
        <v>45327</v>
      </c>
      <c r="D461" t="s">
        <v>7</v>
      </c>
      <c r="E461">
        <v>40</v>
      </c>
      <c r="G461" t="s">
        <v>401</v>
      </c>
      <c r="H461">
        <v>436330</v>
      </c>
      <c r="I461" t="s">
        <v>8</v>
      </c>
    </row>
    <row r="462" spans="1:9" x14ac:dyDescent="0.2">
      <c r="A462" t="s">
        <v>461</v>
      </c>
      <c r="B462" s="1">
        <v>45323</v>
      </c>
      <c r="C462" s="1">
        <v>45324</v>
      </c>
      <c r="D462" t="s">
        <v>5</v>
      </c>
      <c r="E462">
        <v>42</v>
      </c>
      <c r="G462" t="s">
        <v>402</v>
      </c>
      <c r="H462">
        <v>437300</v>
      </c>
      <c r="I462" t="s">
        <v>6</v>
      </c>
    </row>
    <row r="463" spans="1:9" x14ac:dyDescent="0.2">
      <c r="A463" t="s">
        <v>462</v>
      </c>
      <c r="B463" s="1">
        <v>45325</v>
      </c>
      <c r="C463" s="1">
        <v>45337</v>
      </c>
      <c r="D463" t="s">
        <v>12</v>
      </c>
      <c r="E463">
        <v>44</v>
      </c>
      <c r="G463" t="s">
        <v>401</v>
      </c>
      <c r="H463">
        <v>438270</v>
      </c>
      <c r="I463" t="s">
        <v>8</v>
      </c>
    </row>
    <row r="464" spans="1:9" x14ac:dyDescent="0.2">
      <c r="A464" t="s">
        <v>463</v>
      </c>
      <c r="B464" s="1">
        <v>45327</v>
      </c>
      <c r="C464" s="1">
        <v>45328</v>
      </c>
      <c r="D464" t="s">
        <v>404</v>
      </c>
      <c r="E464">
        <v>46</v>
      </c>
      <c r="G464" t="s">
        <v>402</v>
      </c>
      <c r="H464">
        <v>439240</v>
      </c>
      <c r="I464" t="s">
        <v>6</v>
      </c>
    </row>
    <row r="465" spans="1:9" x14ac:dyDescent="0.2">
      <c r="A465" t="s">
        <v>464</v>
      </c>
      <c r="B465" s="1">
        <v>45332</v>
      </c>
      <c r="D465" t="s">
        <v>10</v>
      </c>
      <c r="E465">
        <v>48</v>
      </c>
      <c r="G465" t="s">
        <v>402</v>
      </c>
      <c r="H465">
        <v>440210</v>
      </c>
      <c r="I465" t="s">
        <v>403</v>
      </c>
    </row>
    <row r="466" spans="1:9" x14ac:dyDescent="0.2">
      <c r="A466" t="s">
        <v>465</v>
      </c>
      <c r="B466" s="1">
        <v>45319</v>
      </c>
      <c r="C466" s="1">
        <v>45327</v>
      </c>
      <c r="D466" t="s">
        <v>7</v>
      </c>
      <c r="E466">
        <v>50</v>
      </c>
      <c r="G466" t="s">
        <v>401</v>
      </c>
      <c r="H466">
        <v>441180</v>
      </c>
      <c r="I466" t="s">
        <v>8</v>
      </c>
    </row>
    <row r="467" spans="1:9" x14ac:dyDescent="0.2">
      <c r="A467" t="s">
        <v>466</v>
      </c>
      <c r="B467" s="1">
        <v>45323</v>
      </c>
      <c r="C467" s="1">
        <v>45324</v>
      </c>
      <c r="D467" t="s">
        <v>5</v>
      </c>
      <c r="E467">
        <v>52</v>
      </c>
      <c r="G467" t="s">
        <v>402</v>
      </c>
      <c r="H467">
        <v>442150</v>
      </c>
      <c r="I467" t="s">
        <v>6</v>
      </c>
    </row>
    <row r="468" spans="1:9" x14ac:dyDescent="0.2">
      <c r="A468" t="s">
        <v>467</v>
      </c>
      <c r="B468" s="1">
        <v>45325</v>
      </c>
      <c r="C468" s="1">
        <v>45337</v>
      </c>
      <c r="D468" t="s">
        <v>12</v>
      </c>
      <c r="E468">
        <v>54</v>
      </c>
      <c r="G468" t="s">
        <v>401</v>
      </c>
      <c r="H468">
        <v>443120</v>
      </c>
      <c r="I468" t="s">
        <v>8</v>
      </c>
    </row>
    <row r="469" spans="1:9" x14ac:dyDescent="0.2">
      <c r="A469" t="s">
        <v>468</v>
      </c>
      <c r="B469" s="1">
        <v>45327</v>
      </c>
      <c r="C469" s="1">
        <v>45328</v>
      </c>
      <c r="D469" t="s">
        <v>404</v>
      </c>
      <c r="E469">
        <v>56</v>
      </c>
      <c r="G469" t="s">
        <v>402</v>
      </c>
      <c r="H469">
        <v>444090</v>
      </c>
      <c r="I469" t="s">
        <v>6</v>
      </c>
    </row>
    <row r="470" spans="1:9" x14ac:dyDescent="0.2">
      <c r="A470" t="s">
        <v>469</v>
      </c>
      <c r="B470" s="1">
        <v>45332</v>
      </c>
      <c r="D470" t="s">
        <v>10</v>
      </c>
      <c r="E470">
        <v>58</v>
      </c>
      <c r="G470" t="s">
        <v>402</v>
      </c>
      <c r="H470">
        <v>445060</v>
      </c>
      <c r="I470" t="s">
        <v>403</v>
      </c>
    </row>
    <row r="471" spans="1:9" x14ac:dyDescent="0.2">
      <c r="A471" t="s">
        <v>470</v>
      </c>
      <c r="B471" s="1">
        <v>45319</v>
      </c>
      <c r="C471" s="1">
        <v>45327</v>
      </c>
      <c r="D471" t="s">
        <v>7</v>
      </c>
      <c r="E471">
        <v>60</v>
      </c>
      <c r="G471" t="s">
        <v>401</v>
      </c>
      <c r="H471">
        <v>446030</v>
      </c>
      <c r="I471" t="s">
        <v>8</v>
      </c>
    </row>
    <row r="472" spans="1:9" x14ac:dyDescent="0.2">
      <c r="A472" t="s">
        <v>471</v>
      </c>
      <c r="B472" s="1">
        <v>45323</v>
      </c>
      <c r="C472" s="1">
        <v>45324</v>
      </c>
      <c r="D472" t="s">
        <v>5</v>
      </c>
      <c r="E472">
        <v>62</v>
      </c>
      <c r="G472" t="s">
        <v>402</v>
      </c>
      <c r="H472">
        <v>447000</v>
      </c>
      <c r="I472" t="s">
        <v>6</v>
      </c>
    </row>
    <row r="473" spans="1:9" x14ac:dyDescent="0.2">
      <c r="A473" t="s">
        <v>472</v>
      </c>
      <c r="B473" s="1">
        <v>45325</v>
      </c>
      <c r="C473" s="1">
        <v>45337</v>
      </c>
      <c r="D473" t="s">
        <v>12</v>
      </c>
      <c r="E473">
        <v>64</v>
      </c>
      <c r="G473" t="s">
        <v>401</v>
      </c>
      <c r="H473">
        <v>447970</v>
      </c>
      <c r="I473" t="s">
        <v>8</v>
      </c>
    </row>
    <row r="474" spans="1:9" x14ac:dyDescent="0.2">
      <c r="A474" t="s">
        <v>473</v>
      </c>
      <c r="B474" s="1">
        <v>45327</v>
      </c>
      <c r="C474" s="1">
        <v>45328</v>
      </c>
      <c r="D474" t="s">
        <v>404</v>
      </c>
      <c r="E474">
        <v>66</v>
      </c>
      <c r="G474" t="s">
        <v>402</v>
      </c>
      <c r="H474">
        <v>448940</v>
      </c>
      <c r="I474" t="s">
        <v>6</v>
      </c>
    </row>
    <row r="475" spans="1:9" x14ac:dyDescent="0.2">
      <c r="A475" t="s">
        <v>474</v>
      </c>
      <c r="B475" s="1">
        <v>45332</v>
      </c>
      <c r="D475" t="s">
        <v>10</v>
      </c>
      <c r="E475">
        <v>68</v>
      </c>
      <c r="G475" t="s">
        <v>402</v>
      </c>
      <c r="H475">
        <v>449910</v>
      </c>
      <c r="I475" t="s">
        <v>403</v>
      </c>
    </row>
    <row r="476" spans="1:9" x14ac:dyDescent="0.2">
      <c r="A476" t="s">
        <v>475</v>
      </c>
      <c r="B476" s="1">
        <v>45319</v>
      </c>
      <c r="C476" s="1">
        <v>45327</v>
      </c>
      <c r="D476" t="s">
        <v>7</v>
      </c>
      <c r="E476">
        <v>70</v>
      </c>
      <c r="G476" t="s">
        <v>401</v>
      </c>
      <c r="H476">
        <v>450880</v>
      </c>
      <c r="I476" t="s">
        <v>8</v>
      </c>
    </row>
    <row r="477" spans="1:9" x14ac:dyDescent="0.2">
      <c r="A477" t="s">
        <v>476</v>
      </c>
      <c r="B477" s="1">
        <v>45323</v>
      </c>
      <c r="C477" s="1">
        <v>45324</v>
      </c>
      <c r="D477" t="s">
        <v>5</v>
      </c>
      <c r="E477">
        <v>72</v>
      </c>
      <c r="G477" t="s">
        <v>402</v>
      </c>
      <c r="H477">
        <v>451850</v>
      </c>
      <c r="I477" t="s">
        <v>6</v>
      </c>
    </row>
    <row r="478" spans="1:9" x14ac:dyDescent="0.2">
      <c r="A478" t="s">
        <v>477</v>
      </c>
      <c r="B478" s="1">
        <v>45325</v>
      </c>
      <c r="C478" s="1">
        <v>45337</v>
      </c>
      <c r="D478" t="s">
        <v>12</v>
      </c>
      <c r="E478">
        <v>74</v>
      </c>
      <c r="G478" t="s">
        <v>401</v>
      </c>
      <c r="H478">
        <v>452820</v>
      </c>
      <c r="I478" t="s">
        <v>8</v>
      </c>
    </row>
    <row r="479" spans="1:9" x14ac:dyDescent="0.2">
      <c r="A479" t="s">
        <v>478</v>
      </c>
      <c r="B479" s="1">
        <v>45327</v>
      </c>
      <c r="C479" s="1">
        <v>45328</v>
      </c>
      <c r="D479" t="s">
        <v>404</v>
      </c>
      <c r="E479">
        <v>76</v>
      </c>
      <c r="G479" t="s">
        <v>402</v>
      </c>
      <c r="H479">
        <v>453790</v>
      </c>
      <c r="I479" t="s">
        <v>6</v>
      </c>
    </row>
    <row r="480" spans="1:9" x14ac:dyDescent="0.2">
      <c r="A480" t="s">
        <v>479</v>
      </c>
      <c r="B480" s="1">
        <v>45332</v>
      </c>
      <c r="D480" t="s">
        <v>10</v>
      </c>
      <c r="E480">
        <v>78</v>
      </c>
      <c r="G480" t="s">
        <v>402</v>
      </c>
      <c r="H480">
        <v>454760</v>
      </c>
      <c r="I480" t="s">
        <v>403</v>
      </c>
    </row>
    <row r="481" spans="1:9" x14ac:dyDescent="0.2">
      <c r="A481" t="s">
        <v>480</v>
      </c>
      <c r="B481" s="1">
        <v>45319</v>
      </c>
      <c r="C481" s="1">
        <v>45327</v>
      </c>
      <c r="D481" t="s">
        <v>7</v>
      </c>
      <c r="E481">
        <v>80</v>
      </c>
      <c r="G481" t="s">
        <v>401</v>
      </c>
      <c r="H481">
        <v>455730</v>
      </c>
      <c r="I481" t="s">
        <v>8</v>
      </c>
    </row>
    <row r="482" spans="1:9" x14ac:dyDescent="0.2">
      <c r="A482" t="s">
        <v>481</v>
      </c>
      <c r="B482" s="1">
        <v>45323</v>
      </c>
      <c r="C482" s="1">
        <v>45324</v>
      </c>
      <c r="D482" t="s">
        <v>5</v>
      </c>
      <c r="E482">
        <v>82</v>
      </c>
      <c r="G482" t="s">
        <v>402</v>
      </c>
      <c r="H482">
        <v>456700</v>
      </c>
      <c r="I482" t="s">
        <v>6</v>
      </c>
    </row>
    <row r="483" spans="1:9" x14ac:dyDescent="0.2">
      <c r="A483" t="s">
        <v>482</v>
      </c>
      <c r="B483" s="1">
        <v>45325</v>
      </c>
      <c r="C483" s="1">
        <v>45337</v>
      </c>
      <c r="D483" t="s">
        <v>12</v>
      </c>
      <c r="E483">
        <v>84</v>
      </c>
      <c r="G483" t="s">
        <v>401</v>
      </c>
      <c r="H483">
        <v>457670</v>
      </c>
      <c r="I483" t="s">
        <v>8</v>
      </c>
    </row>
    <row r="484" spans="1:9" x14ac:dyDescent="0.2">
      <c r="A484" t="s">
        <v>483</v>
      </c>
      <c r="B484" s="1">
        <v>45327</v>
      </c>
      <c r="C484" s="1">
        <v>45328</v>
      </c>
      <c r="D484" t="s">
        <v>404</v>
      </c>
      <c r="E484">
        <v>86</v>
      </c>
      <c r="G484" t="s">
        <v>402</v>
      </c>
      <c r="H484">
        <v>458640</v>
      </c>
      <c r="I484" t="s">
        <v>6</v>
      </c>
    </row>
    <row r="485" spans="1:9" x14ac:dyDescent="0.2">
      <c r="A485" t="s">
        <v>342</v>
      </c>
      <c r="B485" s="1">
        <v>45332</v>
      </c>
      <c r="D485" t="s">
        <v>10</v>
      </c>
      <c r="E485">
        <v>16</v>
      </c>
      <c r="G485" t="s">
        <v>402</v>
      </c>
      <c r="H485">
        <v>459610</v>
      </c>
      <c r="I485" t="s">
        <v>403</v>
      </c>
    </row>
    <row r="486" spans="1:9" x14ac:dyDescent="0.2">
      <c r="A486" t="s">
        <v>484</v>
      </c>
      <c r="B486" s="1">
        <v>45319</v>
      </c>
      <c r="C486" s="1">
        <v>45327</v>
      </c>
      <c r="D486" t="s">
        <v>7</v>
      </c>
      <c r="E486">
        <v>90</v>
      </c>
      <c r="G486" t="s">
        <v>401</v>
      </c>
      <c r="H486">
        <v>460580</v>
      </c>
      <c r="I486" t="s">
        <v>8</v>
      </c>
    </row>
    <row r="487" spans="1:9" x14ac:dyDescent="0.2">
      <c r="A487" t="s">
        <v>485</v>
      </c>
      <c r="B487" s="1">
        <v>45323</v>
      </c>
      <c r="C487" s="1">
        <v>45324</v>
      </c>
      <c r="D487" t="s">
        <v>5</v>
      </c>
      <c r="E487">
        <v>92</v>
      </c>
      <c r="G487" t="s">
        <v>402</v>
      </c>
      <c r="H487">
        <v>461550</v>
      </c>
      <c r="I487" t="s">
        <v>6</v>
      </c>
    </row>
    <row r="488" spans="1:9" x14ac:dyDescent="0.2">
      <c r="A488" t="s">
        <v>486</v>
      </c>
      <c r="B488" s="1">
        <v>45325</v>
      </c>
      <c r="C488" s="1">
        <v>45337</v>
      </c>
      <c r="D488" t="s">
        <v>12</v>
      </c>
      <c r="E488">
        <v>94</v>
      </c>
      <c r="G488" t="s">
        <v>401</v>
      </c>
      <c r="H488">
        <v>462520</v>
      </c>
      <c r="I488" t="s">
        <v>8</v>
      </c>
    </row>
    <row r="489" spans="1:9" x14ac:dyDescent="0.2">
      <c r="A489" t="s">
        <v>487</v>
      </c>
      <c r="B489" s="1">
        <v>45327</v>
      </c>
      <c r="C489" s="1">
        <v>45328</v>
      </c>
      <c r="D489" t="s">
        <v>404</v>
      </c>
      <c r="E489">
        <v>96</v>
      </c>
      <c r="G489" t="s">
        <v>402</v>
      </c>
      <c r="H489">
        <v>463490</v>
      </c>
      <c r="I489" t="s">
        <v>6</v>
      </c>
    </row>
    <row r="490" spans="1:9" x14ac:dyDescent="0.2">
      <c r="A490" t="s">
        <v>488</v>
      </c>
      <c r="B490" s="1">
        <v>45332</v>
      </c>
      <c r="D490" t="s">
        <v>10</v>
      </c>
      <c r="E490">
        <v>98</v>
      </c>
      <c r="G490" t="s">
        <v>402</v>
      </c>
      <c r="H490">
        <v>464460</v>
      </c>
      <c r="I490" t="s">
        <v>403</v>
      </c>
    </row>
    <row r="491" spans="1:9" x14ac:dyDescent="0.2">
      <c r="A491" t="s">
        <v>489</v>
      </c>
      <c r="B491" s="1">
        <v>45319</v>
      </c>
      <c r="C491" s="1">
        <v>45327</v>
      </c>
      <c r="D491" t="s">
        <v>7</v>
      </c>
      <c r="E491">
        <v>100</v>
      </c>
      <c r="G491" t="s">
        <v>401</v>
      </c>
      <c r="H491">
        <v>465430</v>
      </c>
      <c r="I491" t="s">
        <v>8</v>
      </c>
    </row>
    <row r="492" spans="1:9" x14ac:dyDescent="0.2">
      <c r="A492" t="s">
        <v>490</v>
      </c>
      <c r="B492" s="1">
        <v>45323</v>
      </c>
      <c r="C492" s="1">
        <v>45324</v>
      </c>
      <c r="D492" t="s">
        <v>5</v>
      </c>
      <c r="E492">
        <v>2</v>
      </c>
      <c r="G492" t="s">
        <v>402</v>
      </c>
      <c r="H492">
        <v>466400</v>
      </c>
      <c r="I492" t="s">
        <v>6</v>
      </c>
    </row>
    <row r="493" spans="1:9" x14ac:dyDescent="0.2">
      <c r="A493" t="s">
        <v>491</v>
      </c>
      <c r="B493" s="1">
        <v>45325</v>
      </c>
      <c r="C493" s="1">
        <v>45337</v>
      </c>
      <c r="D493" t="s">
        <v>12</v>
      </c>
      <c r="E493">
        <v>4</v>
      </c>
      <c r="G493" t="s">
        <v>401</v>
      </c>
      <c r="H493">
        <v>467370</v>
      </c>
      <c r="I493" t="s">
        <v>8</v>
      </c>
    </row>
    <row r="494" spans="1:9" x14ac:dyDescent="0.2">
      <c r="A494" t="s">
        <v>492</v>
      </c>
      <c r="B494" s="1">
        <v>45327</v>
      </c>
      <c r="C494" s="1">
        <v>45328</v>
      </c>
      <c r="D494" t="s">
        <v>404</v>
      </c>
      <c r="E494">
        <v>6</v>
      </c>
      <c r="G494" t="s">
        <v>402</v>
      </c>
      <c r="H494">
        <v>468340</v>
      </c>
      <c r="I494" t="s">
        <v>6</v>
      </c>
    </row>
    <row r="495" spans="1:9" x14ac:dyDescent="0.2">
      <c r="A495" t="s">
        <v>493</v>
      </c>
      <c r="B495" s="1">
        <v>45332</v>
      </c>
      <c r="D495" t="s">
        <v>10</v>
      </c>
      <c r="E495">
        <v>8</v>
      </c>
      <c r="G495" t="s">
        <v>402</v>
      </c>
      <c r="H495">
        <v>469310</v>
      </c>
      <c r="I495" t="s">
        <v>403</v>
      </c>
    </row>
    <row r="496" spans="1:9" x14ac:dyDescent="0.2">
      <c r="A496" t="s">
        <v>494</v>
      </c>
      <c r="B496" s="1">
        <v>45319</v>
      </c>
      <c r="C496" s="1">
        <v>45327</v>
      </c>
      <c r="D496" t="s">
        <v>7</v>
      </c>
      <c r="E496">
        <v>10</v>
      </c>
      <c r="G496" t="s">
        <v>401</v>
      </c>
      <c r="H496">
        <v>470280</v>
      </c>
      <c r="I496" t="s">
        <v>8</v>
      </c>
    </row>
    <row r="497" spans="1:9" x14ac:dyDescent="0.2">
      <c r="A497" t="s">
        <v>495</v>
      </c>
      <c r="B497" s="1">
        <v>45323</v>
      </c>
      <c r="C497" s="1">
        <v>45324</v>
      </c>
      <c r="D497" t="s">
        <v>5</v>
      </c>
      <c r="E497">
        <v>12</v>
      </c>
      <c r="G497" t="s">
        <v>402</v>
      </c>
      <c r="H497">
        <v>471250</v>
      </c>
      <c r="I497" t="s">
        <v>6</v>
      </c>
    </row>
    <row r="498" spans="1:9" x14ac:dyDescent="0.2">
      <c r="A498" t="s">
        <v>496</v>
      </c>
      <c r="B498" s="1">
        <v>45325</v>
      </c>
      <c r="C498" s="1">
        <v>45337</v>
      </c>
      <c r="D498" t="s">
        <v>12</v>
      </c>
      <c r="E498">
        <v>14</v>
      </c>
      <c r="G498" t="s">
        <v>401</v>
      </c>
      <c r="H498">
        <v>472220</v>
      </c>
      <c r="I498" t="s">
        <v>8</v>
      </c>
    </row>
    <row r="499" spans="1:9" x14ac:dyDescent="0.2">
      <c r="A499" t="s">
        <v>497</v>
      </c>
      <c r="B499" s="1">
        <v>45327</v>
      </c>
      <c r="C499" s="1">
        <v>45328</v>
      </c>
      <c r="D499" t="s">
        <v>404</v>
      </c>
      <c r="E499">
        <v>16</v>
      </c>
      <c r="G499" t="s">
        <v>402</v>
      </c>
      <c r="H499">
        <v>473190</v>
      </c>
      <c r="I499" t="s">
        <v>6</v>
      </c>
    </row>
    <row r="500" spans="1:9" x14ac:dyDescent="0.2">
      <c r="A500" t="s">
        <v>498</v>
      </c>
      <c r="B500" s="1">
        <v>45332</v>
      </c>
      <c r="D500" t="s">
        <v>10</v>
      </c>
      <c r="E500">
        <v>18</v>
      </c>
      <c r="G500" t="s">
        <v>402</v>
      </c>
      <c r="H500">
        <v>474160</v>
      </c>
      <c r="I500" t="s">
        <v>403</v>
      </c>
    </row>
    <row r="501" spans="1:9" x14ac:dyDescent="0.2">
      <c r="A501" t="s">
        <v>499</v>
      </c>
      <c r="B501" s="1">
        <v>45319</v>
      </c>
      <c r="C501" s="1">
        <v>45327</v>
      </c>
      <c r="D501" t="s">
        <v>7</v>
      </c>
      <c r="E501">
        <v>20</v>
      </c>
      <c r="G501" t="s">
        <v>401</v>
      </c>
      <c r="H501">
        <v>475130</v>
      </c>
      <c r="I501" t="s">
        <v>8</v>
      </c>
    </row>
    <row r="502" spans="1:9" x14ac:dyDescent="0.2">
      <c r="A502" t="s">
        <v>500</v>
      </c>
      <c r="B502" s="1">
        <v>45323</v>
      </c>
      <c r="C502" s="1">
        <v>45324</v>
      </c>
      <c r="D502" t="s">
        <v>5</v>
      </c>
      <c r="E502">
        <v>22</v>
      </c>
      <c r="G502" t="s">
        <v>402</v>
      </c>
      <c r="H502">
        <v>476100</v>
      </c>
      <c r="I502" t="s">
        <v>6</v>
      </c>
    </row>
    <row r="503" spans="1:9" x14ac:dyDescent="0.2">
      <c r="A503" t="s">
        <v>501</v>
      </c>
      <c r="B503" s="1">
        <v>45325</v>
      </c>
      <c r="C503" s="1">
        <v>45337</v>
      </c>
      <c r="D503" t="s">
        <v>12</v>
      </c>
      <c r="E503">
        <v>24</v>
      </c>
      <c r="G503" t="s">
        <v>401</v>
      </c>
      <c r="H503">
        <v>477070</v>
      </c>
      <c r="I503" t="s">
        <v>8</v>
      </c>
    </row>
    <row r="504" spans="1:9" x14ac:dyDescent="0.2">
      <c r="A504" t="s">
        <v>502</v>
      </c>
      <c r="B504" s="1">
        <v>45327</v>
      </c>
      <c r="C504" s="1">
        <v>45328</v>
      </c>
      <c r="D504" t="s">
        <v>404</v>
      </c>
      <c r="E504">
        <v>26</v>
      </c>
      <c r="G504" t="s">
        <v>402</v>
      </c>
      <c r="H504">
        <v>478040</v>
      </c>
      <c r="I504" t="s">
        <v>6</v>
      </c>
    </row>
    <row r="505" spans="1:9" x14ac:dyDescent="0.2">
      <c r="A505" t="s">
        <v>503</v>
      </c>
      <c r="B505" s="1">
        <v>45332</v>
      </c>
      <c r="D505" t="s">
        <v>10</v>
      </c>
      <c r="E505">
        <v>28</v>
      </c>
      <c r="G505" t="s">
        <v>402</v>
      </c>
      <c r="H505">
        <v>479010</v>
      </c>
      <c r="I505" t="s">
        <v>403</v>
      </c>
    </row>
  </sheetData>
  <autoFilter ref="A1:K32" xr:uid="{F4BA4A6D-360A-41FA-835D-56009EA52370}"/>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69ABD-0A4C-42CA-AD54-007243226144}">
  <dimension ref="A1:D6"/>
  <sheetViews>
    <sheetView workbookViewId="0">
      <selection activeCell="G13" sqref="G13"/>
    </sheetView>
  </sheetViews>
  <sheetFormatPr baseColWidth="10" defaultColWidth="8.83203125" defaultRowHeight="15" x14ac:dyDescent="0.2"/>
  <cols>
    <col min="1" max="1" width="16" bestFit="1" customWidth="1"/>
    <col min="2" max="2" width="9.6640625" bestFit="1" customWidth="1"/>
    <col min="3" max="3" width="14.5" bestFit="1" customWidth="1"/>
    <col min="4" max="4" width="12.5" bestFit="1" customWidth="1"/>
  </cols>
  <sheetData>
    <row r="1" spans="1:4" x14ac:dyDescent="0.2">
      <c r="A1" t="s">
        <v>521</v>
      </c>
      <c r="B1" t="s">
        <v>514</v>
      </c>
      <c r="C1" t="s">
        <v>515</v>
      </c>
      <c r="D1" t="s">
        <v>516</v>
      </c>
    </row>
    <row r="2" spans="1:4" x14ac:dyDescent="0.2">
      <c r="A2" t="s">
        <v>7</v>
      </c>
      <c r="B2" t="s">
        <v>522</v>
      </c>
      <c r="C2">
        <v>301</v>
      </c>
      <c r="D2" t="s">
        <v>517</v>
      </c>
    </row>
    <row r="3" spans="1:4" x14ac:dyDescent="0.2">
      <c r="A3" t="s">
        <v>528</v>
      </c>
      <c r="B3" t="s">
        <v>523</v>
      </c>
      <c r="C3">
        <v>102</v>
      </c>
      <c r="D3" t="s">
        <v>518</v>
      </c>
    </row>
    <row r="4" spans="1:4" x14ac:dyDescent="0.2">
      <c r="A4" t="s">
        <v>10</v>
      </c>
      <c r="B4" t="s">
        <v>524</v>
      </c>
      <c r="C4">
        <v>405</v>
      </c>
      <c r="D4" t="s">
        <v>517</v>
      </c>
    </row>
    <row r="5" spans="1:4" x14ac:dyDescent="0.2">
      <c r="A5" t="s">
        <v>11</v>
      </c>
      <c r="B5" t="s">
        <v>525</v>
      </c>
      <c r="C5">
        <v>210</v>
      </c>
      <c r="D5" t="s">
        <v>519</v>
      </c>
    </row>
    <row r="6" spans="1:4" x14ac:dyDescent="0.2">
      <c r="A6" t="s">
        <v>12</v>
      </c>
      <c r="B6" t="s">
        <v>526</v>
      </c>
      <c r="C6">
        <v>502</v>
      </c>
      <c r="D6" t="s">
        <v>518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Analysis</vt:lpstr>
      <vt:lpstr>Pivot Table</vt:lpstr>
      <vt:lpstr>Wire Frame</vt:lpstr>
      <vt:lpstr>Calculated Metrics</vt:lpstr>
      <vt:lpstr>Cleaned Data</vt:lpstr>
      <vt:lpstr>Raw Data</vt:lpstr>
      <vt:lpstr>Doctor_Info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victor ajayi</cp:lastModifiedBy>
  <dcterms:created xsi:type="dcterms:W3CDTF">2025-12-30T11:39:58Z</dcterms:created>
  <dcterms:modified xsi:type="dcterms:W3CDTF">2026-05-02T16:02:21Z</dcterms:modified>
</cp:coreProperties>
</file>